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mahendra/Documents/"/>
    </mc:Choice>
  </mc:AlternateContent>
  <xr:revisionPtr revIDLastSave="0" documentId="8_{A91365FE-28C9-B84B-BB5A-6308E388ECF4}" xr6:coauthVersionLast="47" xr6:coauthVersionMax="47" xr10:uidLastSave="{00000000-0000-0000-0000-000000000000}"/>
  <bookViews>
    <workbookView xWindow="0" yWindow="740" windowWidth="28800" windowHeight="17040" activeTab="1" xr2:uid="{3178E345-44F0-F444-B2A1-0F196EB03705}"/>
  </bookViews>
  <sheets>
    <sheet name="Note" sheetId="13" r:id="rId1"/>
    <sheet name="Projections" sheetId="6" r:id="rId2"/>
    <sheet name="Points Simulation" sheetId="12" r:id="rId3"/>
    <sheet name="Player Stats" sheetId="7" r:id="rId4"/>
    <sheet name="Assists" sheetId="11" r:id="rId5"/>
    <sheet name="Points Allowed" sheetId="10" r:id="rId6"/>
    <sheet name="PACE" sheetId="2" r:id="rId7"/>
    <sheet name="Off Reb %" sheetId="3" r:id="rId8"/>
    <sheet name="Def Reb %" sheetId="4" r:id="rId9"/>
    <sheet name="Team ID" sheetId="5" r:id="rId10"/>
  </sheets>
  <definedNames>
    <definedName name="NBA_2023_24_Defensive_Reb" localSheetId="8">'Def Reb %'!$A$1:$H$31</definedName>
    <definedName name="NBA_2023_24_Offensive_Reb" localSheetId="7">'Off Reb %'!$A$1:$H$31</definedName>
    <definedName name="NBA_2023_24_PACE_Stats" localSheetId="6">PACE!$A$1:$H$31</definedName>
    <definedName name="nba_assists_rank_25" localSheetId="4">Assists!$A$1:$H$31</definedName>
    <definedName name="nba_points_conceded_rank_25" localSheetId="5">'Points Allowed'!$A$1:$H$31</definedName>
    <definedName name="nba_ref_per_game_24_25" localSheetId="3">'Player Stats'!$A$1:$AE$534</definedName>
    <definedName name="players">#REF!:OFFSET(#REF!,#REF!-1,0)</definedName>
    <definedName name="teams">'Team ID'!$B$2:$B$31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6" l="1"/>
  <c r="H8" i="6" s="1"/>
  <c r="B1" i="12"/>
  <c r="I11" i="6"/>
  <c r="F8" i="6"/>
  <c r="L11" i="6"/>
  <c r="A3" i="12" a="1"/>
  <c r="A3" i="12" s="1"/>
  <c r="I14" i="6"/>
  <c r="H14" i="6"/>
  <c r="K11" i="6"/>
  <c r="J11" i="6"/>
  <c r="H11" i="6"/>
  <c r="F11" i="6"/>
  <c r="G11" i="6"/>
  <c r="E11" i="6"/>
  <c r="G8" i="6"/>
  <c r="AG3" i="7" a="1"/>
  <c r="AG3" i="7" s="1"/>
  <c r="AH3" i="7" l="1" a="1"/>
  <c r="AH3" i="7" s="1"/>
  <c r="I8" i="6" s="1" a="1"/>
  <c r="I8" i="6" s="1"/>
  <c r="J8" i="6" s="1"/>
  <c r="C33" i="4" l="1"/>
  <c r="L8" i="6" s="1"/>
  <c r="C33" i="3"/>
  <c r="K8" i="6" s="1"/>
  <c r="E8" i="6"/>
  <c r="I17" i="6" s="1"/>
  <c r="I19" i="6" l="1"/>
  <c r="I18" i="6"/>
  <c r="I21" i="6" s="1"/>
  <c r="B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5D6B62-2309-854B-8407-76961783354A}" name="Connection" type="4" refreshedVersion="8" background="1" saveData="1">
    <webPr consecutive="1" url="https://www.teamrankings.com/nba/stat/opponent-points-per-game" htmlTables="1" htmlFormat="all"/>
  </connection>
  <connection id="2" xr16:uid="{E4A1CB59-C37D-104C-A08D-84329081A206}" name="Connection1" type="4" refreshedVersion="8" background="1" saveData="1">
    <webPr consecutive="1" xl2000="1" url="https://www.teamrankings.com/nba/stat/possessions-per-game" htmlTables="1" htmlFormat="all"/>
  </connection>
  <connection id="3" xr16:uid="{6037B79F-20E7-134C-8B9A-114030F96FE5}" name="Connection2" type="4" refreshedVersion="8" background="1" saveData="1">
    <webPr consecutive="1" url="https://www.teamrankings.com/nba/stat/offensive-rebounding-pct" htmlTables="1" htmlFormat="all"/>
  </connection>
  <connection id="4" xr16:uid="{F0EEF31B-6331-4D4C-9D19-1DFB49DB59EF}" name="Connection3" type="4" refreshedVersion="8" background="1" saveData="1">
    <webPr consecutive="1" url="https://www.teamrankings.com/nba/stat/defensive-rebounding-pct" htmlTables="1" htmlFormat="all"/>
  </connection>
  <connection id="5" xr16:uid="{8BBC7031-9403-A945-90ED-6F51FED0D202}" name="Connection4" type="4" refreshedVersion="8" background="1" saveData="1">
    <webPr consecutive="1" url="https://www.basketball-reference.com/leagues/NBA_2025_per_game.html" htmlTables="1" htmlFormat="all"/>
  </connection>
  <connection id="6" xr16:uid="{2B84C704-82A3-8443-9EF0-1A8C09BED66E}" name="Connection5" type="4" refreshedVersion="8" background="1" saveData="1">
    <webPr consecutive="1" url="https://www.teamrankings.com/nba/stat/opponent-assists-per-game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<sst xmlns="http://schemas.openxmlformats.org/spreadsheetml/2006/main" count="1935" uniqueCount="681">
  <si>
    <t>Rk</t>
  </si>
  <si>
    <t>Player</t>
  </si>
  <si>
    <t>Pos</t>
  </si>
  <si>
    <t>Age</t>
  </si>
  <si>
    <t>G</t>
  </si>
  <si>
    <t>GS</t>
  </si>
  <si>
    <t>MP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</si>
  <si>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</si>
  <si>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</si>
  <si>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</si>
  <si>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</si>
  <si>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</si>
  <si>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</si>
  <si>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</si>
  <si>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</si>
  <si>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</si>
  <si>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</si>
  <si>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</si>
  <si>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</si>
  <si>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</si>
  <si>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</si>
  <si>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</si>
  <si>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</si>
  <si>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</si>
  <si>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</si>
  <si>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</si>
  <si>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</si>
  <si>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</si>
  <si>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PTS</t>
  </si>
  <si>
    <t>C</t>
  </si>
  <si>
    <t>TOR</t>
  </si>
  <si>
    <t>NYK</t>
  </si>
  <si>
    <t>Bam Adebayo</t>
  </si>
  <si>
    <t>MIA</t>
  </si>
  <si>
    <t>Ochai Agbaji</t>
  </si>
  <si>
    <t>SG</t>
  </si>
  <si>
    <t>UTA</t>
  </si>
  <si>
    <t>Santi Aldama</t>
  </si>
  <si>
    <t>MEM</t>
  </si>
  <si>
    <t>Nickeil Alexander-Walker</t>
  </si>
  <si>
    <t>MIN</t>
  </si>
  <si>
    <t>Grayson Allen</t>
  </si>
  <si>
    <t>PHO</t>
  </si>
  <si>
    <t>Jarrett Allen</t>
  </si>
  <si>
    <t>CLE</t>
  </si>
  <si>
    <t>Jose Alvarado</t>
  </si>
  <si>
    <t>PG</t>
  </si>
  <si>
    <t>NOP</t>
  </si>
  <si>
    <t>Kyle Anderson</t>
  </si>
  <si>
    <t>Giannis Antetokounmpo</t>
  </si>
  <si>
    <t>MIL</t>
  </si>
  <si>
    <t>Cole Anthony</t>
  </si>
  <si>
    <t>ORL</t>
  </si>
  <si>
    <t>OG Anunoby</t>
  </si>
  <si>
    <t>SF</t>
  </si>
  <si>
    <t>Deni Avdija</t>
  </si>
  <si>
    <t>WAS</t>
  </si>
  <si>
    <t>Deandre Ayton</t>
  </si>
  <si>
    <t>POR</t>
  </si>
  <si>
    <t>Marvin Bagley III</t>
  </si>
  <si>
    <t>DET</t>
  </si>
  <si>
    <t>CHO</t>
  </si>
  <si>
    <t>Patrick Baldwin Jr.</t>
  </si>
  <si>
    <t>LaMelo Ball</t>
  </si>
  <si>
    <t>PHI</t>
  </si>
  <si>
    <t>Paolo Banchero</t>
  </si>
  <si>
    <t>Desmond Bane</t>
  </si>
  <si>
    <t>Dalano Banton</t>
  </si>
  <si>
    <t>BOS</t>
  </si>
  <si>
    <t>Dominick Barlow</t>
  </si>
  <si>
    <t>SAS</t>
  </si>
  <si>
    <t>Harrison Barnes</t>
  </si>
  <si>
    <t>SAC</t>
  </si>
  <si>
    <t>Scottie Barnes</t>
  </si>
  <si>
    <t>RJ Barrett</t>
  </si>
  <si>
    <t>Charles Bassey</t>
  </si>
  <si>
    <t>Nicolas Batum</t>
  </si>
  <si>
    <t>LAC</t>
  </si>
  <si>
    <t>Bradley Beal</t>
  </si>
  <si>
    <t>Malik Beasley</t>
  </si>
  <si>
    <t>MarJon Beauchamp</t>
  </si>
  <si>
    <t>OKC</t>
  </si>
  <si>
    <t>ATL</t>
  </si>
  <si>
    <t>Goga Bitadze</t>
  </si>
  <si>
    <t>CHI</t>
  </si>
  <si>
    <t>Anthony Black</t>
  </si>
  <si>
    <t>Bogdan Bogdanović</t>
  </si>
  <si>
    <t>Bol Bol</t>
  </si>
  <si>
    <t>Devin Booker</t>
  </si>
  <si>
    <t>Brandon Boston Jr.</t>
  </si>
  <si>
    <t>Chris Boucher</t>
  </si>
  <si>
    <t>Malaki Branham</t>
  </si>
  <si>
    <t>Christian Braun</t>
  </si>
  <si>
    <t>DEN</t>
  </si>
  <si>
    <t>Mikal Bridges</t>
  </si>
  <si>
    <t>BRK</t>
  </si>
  <si>
    <t>Miles Bridges</t>
  </si>
  <si>
    <t>Dillon Brooks</t>
  </si>
  <si>
    <t>HOU</t>
  </si>
  <si>
    <t>IND</t>
  </si>
  <si>
    <t>DAL</t>
  </si>
  <si>
    <t>Jaylen Brown</t>
  </si>
  <si>
    <t>Kobe Brown</t>
  </si>
  <si>
    <t>Jalen Brunson</t>
  </si>
  <si>
    <t>Thomas Bryant</t>
  </si>
  <si>
    <t>Alec Burks</t>
  </si>
  <si>
    <t>Jared Butler</t>
  </si>
  <si>
    <t>Jimmy Butler</t>
  </si>
  <si>
    <t>Jamal Cain</t>
  </si>
  <si>
    <t>Kentavious Caldwell-Pope</t>
  </si>
  <si>
    <t>Toumani Camara</t>
  </si>
  <si>
    <t>Clint Capela</t>
  </si>
  <si>
    <t>Jevon Carter</t>
  </si>
  <si>
    <t>Wendell Carter Jr.</t>
  </si>
  <si>
    <t>Alex Caruso</t>
  </si>
  <si>
    <t>Colin Castleton</t>
  </si>
  <si>
    <t>LAL</t>
  </si>
  <si>
    <t>Julian Champagnie</t>
  </si>
  <si>
    <t>Max Christie</t>
  </si>
  <si>
    <t>Sidy Cissoko</t>
  </si>
  <si>
    <t>Jordan Clarkson</t>
  </si>
  <si>
    <t>Nic Claxton</t>
  </si>
  <si>
    <t>Noah Clowney</t>
  </si>
  <si>
    <t>Amir Coffey</t>
  </si>
  <si>
    <t>John Collins</t>
  </si>
  <si>
    <t>Zach Collins</t>
  </si>
  <si>
    <t>Mike Conley</t>
  </si>
  <si>
    <t>Pat Connaughton</t>
  </si>
  <si>
    <t>Bilal Coulibaly</t>
  </si>
  <si>
    <t>Ricky Council IV</t>
  </si>
  <si>
    <t>Torrey Craig</t>
  </si>
  <si>
    <t>Cade Cunningham</t>
  </si>
  <si>
    <t>Seth Curry</t>
  </si>
  <si>
    <t>Stephen Curry</t>
  </si>
  <si>
    <t>GSW</t>
  </si>
  <si>
    <t>Dyson Daniels</t>
  </si>
  <si>
    <t>Anthony Davis</t>
  </si>
  <si>
    <t>Johnny Davis</t>
  </si>
  <si>
    <t>JD Davison</t>
  </si>
  <si>
    <t>DeMar DeRozan</t>
  </si>
  <si>
    <t>Moussa Diabaté</t>
  </si>
  <si>
    <t>Gradey Dick</t>
  </si>
  <si>
    <t>Ousmane Dieng</t>
  </si>
  <si>
    <t>Spencer Dinwiddie</t>
  </si>
  <si>
    <t>Donte DiVincenzo</t>
  </si>
  <si>
    <t>Luka Dončić</t>
  </si>
  <si>
    <t>Luguentz Dort</t>
  </si>
  <si>
    <t>Ayo Dosunmu</t>
  </si>
  <si>
    <t>Andre Drummond</t>
  </si>
  <si>
    <t>Chris Duarte</t>
  </si>
  <si>
    <t>Kris Dunn</t>
  </si>
  <si>
    <t>Kevin Durant</t>
  </si>
  <si>
    <t>Jalen Duren</t>
  </si>
  <si>
    <t>Tari Eason</t>
  </si>
  <si>
    <t>Anthony Edwards</t>
  </si>
  <si>
    <t>Kessler Edwards</t>
  </si>
  <si>
    <t>Keon Ellis</t>
  </si>
  <si>
    <t>Joel Embiid</t>
  </si>
  <si>
    <t>Drew Eubanks</t>
  </si>
  <si>
    <t>Bruno Fernando</t>
  </si>
  <si>
    <t>Dorian Finney-Smith</t>
  </si>
  <si>
    <t>Simone Fontecchio</t>
  </si>
  <si>
    <t>De'Aaron Fox</t>
  </si>
  <si>
    <t>Daniel Gafford</t>
  </si>
  <si>
    <t>Darius Garland</t>
  </si>
  <si>
    <t>Luka Garza</t>
  </si>
  <si>
    <t>Keyonte George</t>
  </si>
  <si>
    <t>Paul George</t>
  </si>
  <si>
    <t>Taj Gibson</t>
  </si>
  <si>
    <t>Josh Giddey</t>
  </si>
  <si>
    <t>Shai Gilgeous-Alexander</t>
  </si>
  <si>
    <t>Anthony Gill</t>
  </si>
  <si>
    <t>Collin Gillespie</t>
  </si>
  <si>
    <t>Rudy Gobert</t>
  </si>
  <si>
    <t>Aaron Gordon</t>
  </si>
  <si>
    <t>Eric Gordon</t>
  </si>
  <si>
    <t>Jerami Grant</t>
  </si>
  <si>
    <t>A.J. Green</t>
  </si>
  <si>
    <t>Draymond Green</t>
  </si>
  <si>
    <t>Jalen Green</t>
  </si>
  <si>
    <t>Jeff Green</t>
  </si>
  <si>
    <t>Josh Green</t>
  </si>
  <si>
    <t>Quentin Grimes</t>
  </si>
  <si>
    <t>Mouhamed Gueye</t>
  </si>
  <si>
    <t>Rui Hachimura</t>
  </si>
  <si>
    <t>Tyrese Haliburton</t>
  </si>
  <si>
    <t>Tim Hardaway Jr.</t>
  </si>
  <si>
    <t>James Harden</t>
  </si>
  <si>
    <t>Jaden Hardy</t>
  </si>
  <si>
    <t>Gary Harris</t>
  </si>
  <si>
    <t>Tobias Harris</t>
  </si>
  <si>
    <t>Josh Hart</t>
  </si>
  <si>
    <t>Sam Hauser</t>
  </si>
  <si>
    <t>Jordan Hawkins</t>
  </si>
  <si>
    <t>Jaxson Hayes</t>
  </si>
  <si>
    <t>Scoot Henderson</t>
  </si>
  <si>
    <t>Taylor Hendricks</t>
  </si>
  <si>
    <t>Tyler Herro</t>
  </si>
  <si>
    <t>Buddy Hield</t>
  </si>
  <si>
    <t>Haywood Highsmith</t>
  </si>
  <si>
    <t>Aaron Holiday</t>
  </si>
  <si>
    <t>Jrue Holiday</t>
  </si>
  <si>
    <t>Richaun Holmes</t>
  </si>
  <si>
    <t>Chet Holmgren</t>
  </si>
  <si>
    <t>Jalen Hood-Schifino</t>
  </si>
  <si>
    <t>Al Horford</t>
  </si>
  <si>
    <t>Talen Horton-Tucker</t>
  </si>
  <si>
    <t>Caleb Houstan</t>
  </si>
  <si>
    <t>Jett Howard</t>
  </si>
  <si>
    <t>Kevin Huerter</t>
  </si>
  <si>
    <t>Jay Huff</t>
  </si>
  <si>
    <t>De'Andre Hunter</t>
  </si>
  <si>
    <t>Bones Hyland</t>
  </si>
  <si>
    <t>Joe Ingles</t>
  </si>
  <si>
    <t>Brandon Ingram</t>
  </si>
  <si>
    <t>Kyrie Irving</t>
  </si>
  <si>
    <t>Jonathan Isaac</t>
  </si>
  <si>
    <t>Jaden Ivey</t>
  </si>
  <si>
    <t>Andre Jackson Jr.</t>
  </si>
  <si>
    <t>Isaiah Jackson</t>
  </si>
  <si>
    <t>Jaren Jackson Jr.</t>
  </si>
  <si>
    <t>Reggie Jackson</t>
  </si>
  <si>
    <t>Trayce Jackson-Davis</t>
  </si>
  <si>
    <t>LeBron James</t>
  </si>
  <si>
    <t>Jaime Jaquez Jr.</t>
  </si>
  <si>
    <t>Trey Jemison</t>
  </si>
  <si>
    <t>Ty Jerome</t>
  </si>
  <si>
    <t>Isaiah Joe</t>
  </si>
  <si>
    <t>Cameron Johnson</t>
  </si>
  <si>
    <t>Jalen Johnson</t>
  </si>
  <si>
    <t>James Johnson</t>
  </si>
  <si>
    <t>Keldon Johnson</t>
  </si>
  <si>
    <t>Keon Johnson</t>
  </si>
  <si>
    <t>Nikola Jokić</t>
  </si>
  <si>
    <t>Colby Jones</t>
  </si>
  <si>
    <t>Derrick Jones Jr.</t>
  </si>
  <si>
    <t>Herbert Jones</t>
  </si>
  <si>
    <t>Tre Jones</t>
  </si>
  <si>
    <t>Tyus Jones</t>
  </si>
  <si>
    <t>DeAndre Jordan</t>
  </si>
  <si>
    <t>Cory Joseph</t>
  </si>
  <si>
    <t>Nikola Jović</t>
  </si>
  <si>
    <t>Johnny Juzang</t>
  </si>
  <si>
    <t>Luke Kennard</t>
  </si>
  <si>
    <t>Walker Kessler</t>
  </si>
  <si>
    <t>Corey Kispert</t>
  </si>
  <si>
    <t>Maxi Kleber</t>
  </si>
  <si>
    <t>John Konchar</t>
  </si>
  <si>
    <t>Luke Kornet</t>
  </si>
  <si>
    <t>Jonathan Kuminga</t>
  </si>
  <si>
    <t>Kyle Kuzma</t>
  </si>
  <si>
    <t>Jock Landale</t>
  </si>
  <si>
    <t>Jake LaRavia</t>
  </si>
  <si>
    <t>Zach LaVine</t>
  </si>
  <si>
    <t>Alex Len</t>
  </si>
  <si>
    <t>Caris LeVert</t>
  </si>
  <si>
    <t>Maxwell Lewis</t>
  </si>
  <si>
    <t>E.J. Liddell</t>
  </si>
  <si>
    <t>Damian Lillard</t>
  </si>
  <si>
    <t>Dereck Lively II</t>
  </si>
  <si>
    <t>Chris Livingston</t>
  </si>
  <si>
    <t>Kevon Looney</t>
  </si>
  <si>
    <t>Brook Lopez</t>
  </si>
  <si>
    <t>Kevin Love</t>
  </si>
  <si>
    <t>Kyle Lowry</t>
  </si>
  <si>
    <t>Trey Lyles</t>
  </si>
  <si>
    <t>Sandro Mamukelashvili</t>
  </si>
  <si>
    <t>Terance Mann</t>
  </si>
  <si>
    <t>Tre Mann</t>
  </si>
  <si>
    <t>Lauri Markkanen</t>
  </si>
  <si>
    <t>Naji Marshall</t>
  </si>
  <si>
    <t>Caleb Martin</t>
  </si>
  <si>
    <t>Cody Martin</t>
  </si>
  <si>
    <t>KJ Martin</t>
  </si>
  <si>
    <t>Garrison Mathews</t>
  </si>
  <si>
    <t>Bennedict Mathurin</t>
  </si>
  <si>
    <t>Tyrese Maxey</t>
  </si>
  <si>
    <t>Miles McBride</t>
  </si>
  <si>
    <t>CJ McCollum</t>
  </si>
  <si>
    <t>T.J. McConnell</t>
  </si>
  <si>
    <t>Jaden McDaniels</t>
  </si>
  <si>
    <t>Doug McDermott</t>
  </si>
  <si>
    <t>Jordan McLaughlin</t>
  </si>
  <si>
    <t>De'Anthony Melton</t>
  </si>
  <si>
    <t>Sam Merrill</t>
  </si>
  <si>
    <t>Vasilije Micić</t>
  </si>
  <si>
    <t>Brandon Miller</t>
  </si>
  <si>
    <t>Jordan Miller</t>
  </si>
  <si>
    <t>Dariq Whitehead</t>
  </si>
  <si>
    <t>Patty Mills</t>
  </si>
  <si>
    <t>Shake Milton</t>
  </si>
  <si>
    <t>Josh Minott</t>
  </si>
  <si>
    <t>Davion Mitchell</t>
  </si>
  <si>
    <t>Donovan Mitchell</t>
  </si>
  <si>
    <t>Evan Mobley</t>
  </si>
  <si>
    <t>Malik Monk</t>
  </si>
  <si>
    <t>Moses Moody</t>
  </si>
  <si>
    <t>Wendell Moore Jr.</t>
  </si>
  <si>
    <t>Ja Morant</t>
  </si>
  <si>
    <t>Markieff Morris</t>
  </si>
  <si>
    <t>Monte Morris</t>
  </si>
  <si>
    <t>Trey Murphy III</t>
  </si>
  <si>
    <t>Dejounte Murray</t>
  </si>
  <si>
    <t>Jamal Murray</t>
  </si>
  <si>
    <t>Keegan Murray</t>
  </si>
  <si>
    <t>Kris Murray</t>
  </si>
  <si>
    <t>Svi Mykhailiuk</t>
  </si>
  <si>
    <t>Larry Nance Jr.</t>
  </si>
  <si>
    <t>Andrew Nembhard</t>
  </si>
  <si>
    <t>Aaron Nesmith</t>
  </si>
  <si>
    <t>Georges Niang</t>
  </si>
  <si>
    <t>Zeke Nnaji</t>
  </si>
  <si>
    <t>Jaylen Nowell</t>
  </si>
  <si>
    <t>Jusuf Nurkić</t>
  </si>
  <si>
    <t>Royce O'Neale</t>
  </si>
  <si>
    <t>Josh Okogie</t>
  </si>
  <si>
    <t>Onyeka Okongwu</t>
  </si>
  <si>
    <t>Isaac Okoro</t>
  </si>
  <si>
    <t>Kelly Oubre Jr.</t>
  </si>
  <si>
    <t>Chris Paul</t>
  </si>
  <si>
    <t>Cameron Payne</t>
  </si>
  <si>
    <t>Gary Payton II</t>
  </si>
  <si>
    <t>Drew Peterson</t>
  </si>
  <si>
    <t>Julian Phillips</t>
  </si>
  <si>
    <t>Jalen Pickett</t>
  </si>
  <si>
    <t>Scotty Pippen Jr.</t>
  </si>
  <si>
    <t>Mason Plumlee</t>
  </si>
  <si>
    <t>Brandin Podziemski</t>
  </si>
  <si>
    <t>Jakob Poeltl</t>
  </si>
  <si>
    <t>Jordan Poole</t>
  </si>
  <si>
    <t>Craig Porter Jr.</t>
  </si>
  <si>
    <t>Michael Porter Jr.</t>
  </si>
  <si>
    <t>Bobby Portis</t>
  </si>
  <si>
    <t>Dwight Powell</t>
  </si>
  <si>
    <t>Norman Powell</t>
  </si>
  <si>
    <t>Taurean Prince</t>
  </si>
  <si>
    <t>Payton Pritchard</t>
  </si>
  <si>
    <t>Olivier-Maxence Prosper</t>
  </si>
  <si>
    <t>Trevelin Queen</t>
  </si>
  <si>
    <t>Neemias Queta</t>
  </si>
  <si>
    <t>Immanuel Quickley</t>
  </si>
  <si>
    <t>Julius Randle</t>
  </si>
  <si>
    <t>Duop Reath</t>
  </si>
  <si>
    <t>Austin Reaves</t>
  </si>
  <si>
    <t>Cam Reddish</t>
  </si>
  <si>
    <t>Paul Reed</t>
  </si>
  <si>
    <t>Naz Reid</t>
  </si>
  <si>
    <t>Jared Rhoden</t>
  </si>
  <si>
    <t>Nick Richards</t>
  </si>
  <si>
    <t>Josh Richardson</t>
  </si>
  <si>
    <t>Duncan Robinson</t>
  </si>
  <si>
    <t>Orlando Robinson</t>
  </si>
  <si>
    <t>Jeremiah Robinson-Earl</t>
  </si>
  <si>
    <t>David Roddy</t>
  </si>
  <si>
    <t>Ryan Rollins</t>
  </si>
  <si>
    <t>Terry Rozier</t>
  </si>
  <si>
    <t>Rayan Rupert</t>
  </si>
  <si>
    <t>D'Angelo Russell</t>
  </si>
  <si>
    <t>Matt Ryan</t>
  </si>
  <si>
    <t>Domantas Sabonis</t>
  </si>
  <si>
    <t>Adama Sanogo</t>
  </si>
  <si>
    <t>Gui Santos</t>
  </si>
  <si>
    <t>Dario Šarić</t>
  </si>
  <si>
    <t>Marcus Sasser</t>
  </si>
  <si>
    <t>Dennis Schröder</t>
  </si>
  <si>
    <t>Brice Sensabaugh</t>
  </si>
  <si>
    <t>Collin Sexton</t>
  </si>
  <si>
    <t>Shaedon Sharpe</t>
  </si>
  <si>
    <t>Ben Sheppard</t>
  </si>
  <si>
    <t>Pascal Siakam</t>
  </si>
  <si>
    <t>Ben Simmons</t>
  </si>
  <si>
    <t>Anfernee Simons</t>
  </si>
  <si>
    <t>Jericho Sims</t>
  </si>
  <si>
    <t>Marcus Smart</t>
  </si>
  <si>
    <t>Dru Smith</t>
  </si>
  <si>
    <t>Jabari Smith Jr.</t>
  </si>
  <si>
    <t>Jalen Smith</t>
  </si>
  <si>
    <t>Nick Smith Jr.</t>
  </si>
  <si>
    <t>Jeremy Sochan</t>
  </si>
  <si>
    <t>Jaden Springer</t>
  </si>
  <si>
    <t>Isaiah Stewart</t>
  </si>
  <si>
    <t>Julian Strawther</t>
  </si>
  <si>
    <t>Jalen Suggs</t>
  </si>
  <si>
    <t>Jae'Sean Tate</t>
  </si>
  <si>
    <t>Jayson Tatum</t>
  </si>
  <si>
    <t>Garrett Temple</t>
  </si>
  <si>
    <t>Dalen Terry</t>
  </si>
  <si>
    <t>Daniel Theis</t>
  </si>
  <si>
    <t>Cam Thomas</t>
  </si>
  <si>
    <t>Amen Thompson</t>
  </si>
  <si>
    <t>Klay Thompson</t>
  </si>
  <si>
    <t>Tristan Thompson</t>
  </si>
  <si>
    <t>Xavier Tillman Sr.</t>
  </si>
  <si>
    <t>Jacob Toppin</t>
  </si>
  <si>
    <t>Obi Toppin</t>
  </si>
  <si>
    <t>Karl-Anthony Towns</t>
  </si>
  <si>
    <t>Gary Trent Jr.</t>
  </si>
  <si>
    <t>Myles Turner</t>
  </si>
  <si>
    <t>Hunter Tyson</t>
  </si>
  <si>
    <t>Stanley Umude</t>
  </si>
  <si>
    <t>Jonas Valančiūnas</t>
  </si>
  <si>
    <t>Fred VanVleet</t>
  </si>
  <si>
    <t>Devin Vassell</t>
  </si>
  <si>
    <t>Gabe Vincent</t>
  </si>
  <si>
    <t>Nikola Vučević</t>
  </si>
  <si>
    <t>Dean Wade</t>
  </si>
  <si>
    <t>Franz Wagner</t>
  </si>
  <si>
    <t>Moritz Wagner</t>
  </si>
  <si>
    <t>Jabari Walker</t>
  </si>
  <si>
    <t>Jarace Walker</t>
  </si>
  <si>
    <t>Cason Wallace</t>
  </si>
  <si>
    <t>Jordan Walsh</t>
  </si>
  <si>
    <t>P.J. Washington</t>
  </si>
  <si>
    <t>TyTy Washington Jr.</t>
  </si>
  <si>
    <t>Lindy Waters III</t>
  </si>
  <si>
    <t>Peyton Watson</t>
  </si>
  <si>
    <t>Victor Wembanyama</t>
  </si>
  <si>
    <t>Blake Wesley</t>
  </si>
  <si>
    <t>Russell Westbrook</t>
  </si>
  <si>
    <t>Coby White</t>
  </si>
  <si>
    <t>Derrick White</t>
  </si>
  <si>
    <t>Cam Whitmore</t>
  </si>
  <si>
    <t>Aaron Wiggins</t>
  </si>
  <si>
    <t>Andrew Wiggins</t>
  </si>
  <si>
    <t>Brandon Williams</t>
  </si>
  <si>
    <t>Grant Williams</t>
  </si>
  <si>
    <t>Jalen Williams</t>
  </si>
  <si>
    <t>Jeenathan Williams</t>
  </si>
  <si>
    <t>Kenrich Williams</t>
  </si>
  <si>
    <t>Patrick Williams</t>
  </si>
  <si>
    <t>Robert Williams</t>
  </si>
  <si>
    <t>Vince Williams Jr.</t>
  </si>
  <si>
    <t>Ziaire Williams</t>
  </si>
  <si>
    <t>Zion Williamson</t>
  </si>
  <si>
    <t>Jalen Wilson</t>
  </si>
  <si>
    <t>James Wiseman</t>
  </si>
  <si>
    <t>Delon Wright</t>
  </si>
  <si>
    <t>Trae Young</t>
  </si>
  <si>
    <t>Ivica Zubac</t>
  </si>
  <si>
    <t>Rank</t>
  </si>
  <si>
    <t>Team</t>
  </si>
  <si>
    <t>Last 3</t>
  </si>
  <si>
    <t>Last 1</t>
  </si>
  <si>
    <t>Home</t>
  </si>
  <si>
    <t>Away</t>
  </si>
  <si>
    <t>Washington</t>
  </si>
  <si>
    <t>Indiana</t>
  </si>
  <si>
    <t>Atlanta</t>
  </si>
  <si>
    <t>Milwaukee</t>
  </si>
  <si>
    <t>San Antonio</t>
  </si>
  <si>
    <t>LA Lakers</t>
  </si>
  <si>
    <t>Utah</t>
  </si>
  <si>
    <t>Sacramento</t>
  </si>
  <si>
    <t>Detroit</t>
  </si>
  <si>
    <t>Golden State</t>
  </si>
  <si>
    <t>Okla City</t>
  </si>
  <si>
    <t>Dallas</t>
  </si>
  <si>
    <t>Houston</t>
  </si>
  <si>
    <t>Toronto</t>
  </si>
  <si>
    <t>Philadelphia</t>
  </si>
  <si>
    <t>Portland</t>
  </si>
  <si>
    <t>Memphis</t>
  </si>
  <si>
    <t>Boston</t>
  </si>
  <si>
    <t>Phoenix</t>
  </si>
  <si>
    <t>Orlando</t>
  </si>
  <si>
    <t>New Orleans</t>
  </si>
  <si>
    <t>Brooklyn</t>
  </si>
  <si>
    <t>Cleveland</t>
  </si>
  <si>
    <t>Charlotte</t>
  </si>
  <si>
    <t>Minnesota</t>
  </si>
  <si>
    <t>LA Clippers</t>
  </si>
  <si>
    <t>Chicago</t>
  </si>
  <si>
    <t>New York</t>
  </si>
  <si>
    <t>Miami</t>
  </si>
  <si>
    <t>Denver</t>
  </si>
  <si>
    <t>Current Team</t>
  </si>
  <si>
    <t>Team_ID</t>
  </si>
  <si>
    <t>TeamRankings Names</t>
  </si>
  <si>
    <t>Toronto Raptors</t>
  </si>
  <si>
    <t>Memphis Grizzlies</t>
  </si>
  <si>
    <t>Miami Heat</t>
  </si>
  <si>
    <t>Utah Jazz</t>
  </si>
  <si>
    <t>Milwaukee Bucks</t>
  </si>
  <si>
    <t>Cleveland Cavaliers</t>
  </si>
  <si>
    <t>New Orleans Pelicans</t>
  </si>
  <si>
    <t>Minnesota Timberwolves</t>
  </si>
  <si>
    <t>Orlando Magic</t>
  </si>
  <si>
    <t>New York Knicks</t>
  </si>
  <si>
    <t>Washington Wizards</t>
  </si>
  <si>
    <t>Phoenix Suns</t>
  </si>
  <si>
    <t>Detroit Pistons</t>
  </si>
  <si>
    <t>Golden State Warriors</t>
  </si>
  <si>
    <t>Charlotte Hornets</t>
  </si>
  <si>
    <t>San Antonio Spurs</t>
  </si>
  <si>
    <t>Sacramento Kings</t>
  </si>
  <si>
    <t>Oklahoma City Thunder</t>
  </si>
  <si>
    <t>Dallas Mavericks</t>
  </si>
  <si>
    <t>Los Angeles Lakers</t>
  </si>
  <si>
    <t>Indiana Pacers</t>
  </si>
  <si>
    <t>Atlanta Hawks</t>
  </si>
  <si>
    <t>Chicago Bulls</t>
  </si>
  <si>
    <t>Denver Nuggets</t>
  </si>
  <si>
    <t>Boston Celtics</t>
  </si>
  <si>
    <t>Portland Trail Blazers</t>
  </si>
  <si>
    <t>Philadelphia 76ers</t>
  </si>
  <si>
    <t>Houston Rockets</t>
  </si>
  <si>
    <t>Brooklyn Nets</t>
  </si>
  <si>
    <t>Player:</t>
  </si>
  <si>
    <t>Opposition:</t>
  </si>
  <si>
    <t>xMP:</t>
  </si>
  <si>
    <t>Home:</t>
  </si>
  <si>
    <t>Yes</t>
  </si>
  <si>
    <t>Home Adv.</t>
  </si>
  <si>
    <t>Minute %</t>
  </si>
  <si>
    <t>Player Team ID</t>
  </si>
  <si>
    <t>PACE Adj</t>
  </si>
  <si>
    <t>Average:</t>
  </si>
  <si>
    <t>xReb:</t>
  </si>
  <si>
    <t>Vit Krejci</t>
  </si>
  <si>
    <t>Per Game Table</t>
  </si>
  <si>
    <t>Awards</t>
  </si>
  <si>
    <t>Javonte Green</t>
  </si>
  <si>
    <t>Brandon Clarke</t>
  </si>
  <si>
    <t>David Duke Jr.</t>
  </si>
  <si>
    <t>Justin Champagnie</t>
  </si>
  <si>
    <t>Lester Quiñones</t>
  </si>
  <si>
    <t>Jeff Dowtin</t>
  </si>
  <si>
    <t>D.J. Carton</t>
  </si>
  <si>
    <t>Adam Flagler</t>
  </si>
  <si>
    <t>Mason Jones</t>
  </si>
  <si>
    <t>Quenton Jackson</t>
  </si>
  <si>
    <t>Pat Spencer</t>
  </si>
  <si>
    <t>League Average</t>
  </si>
  <si>
    <t>Jared McCain</t>
  </si>
  <si>
    <t>Zaccharie Risacher</t>
  </si>
  <si>
    <t>Zach Edey</t>
  </si>
  <si>
    <t>Jaylen Wells</t>
  </si>
  <si>
    <t>Alex Sarr</t>
  </si>
  <si>
    <t>Kyshawn George</t>
  </si>
  <si>
    <t>Stephon Castle</t>
  </si>
  <si>
    <t>Carlton Carrington</t>
  </si>
  <si>
    <t>Dalton Knecht</t>
  </si>
  <si>
    <t>Guerschon Yabusele</t>
  </si>
  <si>
    <t>Kevin Porter Jr.</t>
  </si>
  <si>
    <t>Kyle Filipowski</t>
  </si>
  <si>
    <t>Ryan Dunn</t>
  </si>
  <si>
    <t>Tristan Da Silva</t>
  </si>
  <si>
    <t>Yves Missi</t>
  </si>
  <si>
    <t>Ron Holland</t>
  </si>
  <si>
    <t>Donovan Clingan</t>
  </si>
  <si>
    <t>Jamison Battle</t>
  </si>
  <si>
    <t>Ajay Mitchell</t>
  </si>
  <si>
    <t>Keaton Wallace</t>
  </si>
  <si>
    <t>Pelle Larsson</t>
  </si>
  <si>
    <t>Jamal Shead</t>
  </si>
  <si>
    <t>Lonzo Ball</t>
  </si>
  <si>
    <t>Jonathan Mogbo</t>
  </si>
  <si>
    <t>Isaiah Collier</t>
  </si>
  <si>
    <t>Damion Lee</t>
  </si>
  <si>
    <t>Tyler Kolek</t>
  </si>
  <si>
    <t>Cody Williams</t>
  </si>
  <si>
    <t>Reed Sheppard</t>
  </si>
  <si>
    <t>Oso Ighodaro</t>
  </si>
  <si>
    <t>Tidjane Salaün</t>
  </si>
  <si>
    <t>Steven Adams</t>
  </si>
  <si>
    <t>Matas Buzelis</t>
  </si>
  <si>
    <t>Christian Koloko</t>
  </si>
  <si>
    <t>Kel'el Ware</t>
  </si>
  <si>
    <t>Tyler Smith</t>
  </si>
  <si>
    <t>Ja'Kobe Walter</t>
  </si>
  <si>
    <t>Rob Dillingham</t>
  </si>
  <si>
    <t>Kai Jones</t>
  </si>
  <si>
    <t>Ulrich Chomche</t>
  </si>
  <si>
    <t>Pacome Dadiet</t>
  </si>
  <si>
    <t>Tyrese Martin</t>
  </si>
  <si>
    <t>Alex Reese</t>
  </si>
  <si>
    <t>Antonio Reeves</t>
  </si>
  <si>
    <t>KJ Simpson</t>
  </si>
  <si>
    <t>Luke Travers</t>
  </si>
  <si>
    <t>Dillon Jones</t>
  </si>
  <si>
    <t>Isaac Jones</t>
  </si>
  <si>
    <t>Liam Robbins</t>
  </si>
  <si>
    <t>Jazian Gortman</t>
  </si>
  <si>
    <t>Jaylen Martin</t>
  </si>
  <si>
    <t>Johnny Furphy</t>
  </si>
  <si>
    <t>Jaylon Tyson</t>
  </si>
  <si>
    <t>Baylor Scheierman</t>
  </si>
  <si>
    <t>Adem Bona</t>
  </si>
  <si>
    <t>Ariel Hukporti</t>
  </si>
  <si>
    <t>Trey Alexander</t>
  </si>
  <si>
    <t>Reece Beekman</t>
  </si>
  <si>
    <t>Vlatko Čančar</t>
  </si>
  <si>
    <t>PJ Dozier</t>
  </si>
  <si>
    <t>Enrique Freeman</t>
  </si>
  <si>
    <t>Yuki Kawamura</t>
  </si>
  <si>
    <t>Karlo Matković</t>
  </si>
  <si>
    <t xml:space="preserve">Terrence Shannon Jr. </t>
  </si>
  <si>
    <t>Jack McVeigh</t>
  </si>
  <si>
    <t>Bronny James</t>
  </si>
  <si>
    <t>Jalen Bridges</t>
  </si>
  <si>
    <t>AJ Johnson</t>
  </si>
  <si>
    <t>Malevy Leons</t>
  </si>
  <si>
    <t>Alex Ducas</t>
  </si>
  <si>
    <t>Harrison Ingram</t>
  </si>
  <si>
    <t>Daniss Jenkins</t>
  </si>
  <si>
    <t>Spencer Jones</t>
  </si>
  <si>
    <t>Mac McClung</t>
  </si>
  <si>
    <t>Riley Minix</t>
  </si>
  <si>
    <t>Armel Traoré</t>
  </si>
  <si>
    <t>Kristaps Porziņģis</t>
  </si>
  <si>
    <t>2TM</t>
  </si>
  <si>
    <t>Malcolm Brogdon</t>
  </si>
  <si>
    <t>Khris Middleton</t>
  </si>
  <si>
    <t>Isaiah Hartenstein</t>
  </si>
  <si>
    <t>Mark Williams</t>
  </si>
  <si>
    <t>Bruce Brown</t>
  </si>
  <si>
    <t>Trentyn Flowers</t>
  </si>
  <si>
    <t>Trendon Watford</t>
  </si>
  <si>
    <t>DaQuan Jeffries</t>
  </si>
  <si>
    <t>Ausar Thompson</t>
  </si>
  <si>
    <t>Kelly Olynyk</t>
  </si>
  <si>
    <t>Day'Ron Sharpe</t>
  </si>
  <si>
    <t>Max Strus</t>
  </si>
  <si>
    <t>Elfrid Payton</t>
  </si>
  <si>
    <t>Isaiah Wong</t>
  </si>
  <si>
    <t>Precious Achiuwa</t>
  </si>
  <si>
    <t>Kobe Bufkin</t>
  </si>
  <si>
    <t>Cam Christie</t>
  </si>
  <si>
    <t>JT Thor</t>
  </si>
  <si>
    <t>Alondes Williams</t>
  </si>
  <si>
    <t>Jaylin Williams</t>
  </si>
  <si>
    <t>Micah Potter</t>
  </si>
  <si>
    <t>Cam Spencer</t>
  </si>
  <si>
    <t>Mo Bamba</t>
  </si>
  <si>
    <t>Landry Shamet</t>
  </si>
  <si>
    <t>Jae Crowder</t>
  </si>
  <si>
    <t>Moses Brown</t>
  </si>
  <si>
    <t>A.J. Lawson</t>
  </si>
  <si>
    <t>Taze Moore</t>
  </si>
  <si>
    <t>Pete Nance</t>
  </si>
  <si>
    <t>Quincy Olivari</t>
  </si>
  <si>
    <t>Oscar Tshiebwe</t>
  </si>
  <si>
    <t>Leonard Miller</t>
  </si>
  <si>
    <t>Justin Edwards</t>
  </si>
  <si>
    <t>Bryce McGowens</t>
  </si>
  <si>
    <t>Quinten Post</t>
  </si>
  <si>
    <t>Branden Carlson</t>
  </si>
  <si>
    <t>PJ Hall</t>
  </si>
  <si>
    <t>Keshad Johnson</t>
  </si>
  <si>
    <t>Tristan Vukcevic</t>
  </si>
  <si>
    <t>Cui Yongxi</t>
  </si>
  <si>
    <t>Tristen Newton</t>
  </si>
  <si>
    <t>Daishen Nix</t>
  </si>
  <si>
    <t>Josh Christopher</t>
  </si>
  <si>
    <t>Isaiah Crawford</t>
  </si>
  <si>
    <t>Justin Minaya</t>
  </si>
  <si>
    <t>Cole Swider</t>
  </si>
  <si>
    <t>2PA Poss.</t>
  </si>
  <si>
    <t>3PA Poss.</t>
  </si>
  <si>
    <t>FT Poss.</t>
  </si>
  <si>
    <t>Av. FGA+FTA</t>
  </si>
  <si>
    <t>Av. Assists</t>
  </si>
  <si>
    <t>Assists Adj</t>
  </si>
  <si>
    <t>xPoints:</t>
  </si>
  <si>
    <t>xAssists:</t>
  </si>
  <si>
    <t>Devin Carter</t>
  </si>
  <si>
    <t>Alperen Şengün</t>
  </si>
  <si>
    <t>Kawhi Leonard</t>
  </si>
  <si>
    <t>Tosan Evbuomwan</t>
  </si>
  <si>
    <t>Jaylen Clark</t>
  </si>
  <si>
    <t>Bobi Klintman</t>
  </si>
  <si>
    <t>xPRA:</t>
  </si>
  <si>
    <t>Trial #</t>
  </si>
  <si>
    <t>Player Names</t>
  </si>
  <si>
    <t>Note:</t>
  </si>
  <si>
    <t>The model cannot consider extenuating factors such as injuries, blowouts/rests, or player milestones (teammates may "let" a certain player get the rebound to give them a double/triple -double, etc.)</t>
  </si>
  <si>
    <t>Avg. Off Reb</t>
  </si>
  <si>
    <t>Avg. Def Reb</t>
  </si>
  <si>
    <t>Off Reb Adj.</t>
  </si>
  <si>
    <t>Def Reb Adj.</t>
  </si>
  <si>
    <t>Points Adj.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</si>
</sst>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Helvetica Neue"/>
      <family val="2"/>
    </font>
    <font>
      <b/>
      <sz val="12"/>
      <color rgb="FF000000"/>
      <name val="Helvetica Neue"/>
      <family val="2"/>
    </font>
    <font>
      <sz val="12"/>
      <color rgb="FF000000"/>
      <name val="Helvetica Neue"/>
      <family val="2"/>
    </font>
    <font>
      <u/>
      <sz val="12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525456"/>
      <name val="Helvetica Neue"/>
      <family val="2"/>
    </font>
    <font>
      <sz val="12"/>
      <color rgb="FF525456"/>
      <name val="Helvetica Neue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 (Body)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3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2" applyAlignment="1">
      <alignment vertical="center" wrapText="1"/>
    </xf>
    <xf numFmtId="10" fontId="0" fillId="0" borderId="0" xfId="0" applyNumberFormat="1"/>
    <xf numFmtId="10" fontId="6" fillId="0" borderId="0" xfId="0" applyNumberFormat="1" applyFont="1" applyAlignment="1">
      <alignment vertical="center" wrapText="1"/>
    </xf>
    <xf numFmtId="0" fontId="8" fillId="0" borderId="0" xfId="0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5" fillId="2" borderId="0" xfId="2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4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2" fontId="0" fillId="0" borderId="1" xfId="1" applyNumberFormat="1" applyFont="1" applyBorder="1" applyAlignment="1">
      <alignment horizontal="center" vertical="center"/>
    </xf>
    <xf numFmtId="2" fontId="0" fillId="0" borderId="0" xfId="1" applyNumberFormat="1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top"/>
    </xf>
    <xf numFmtId="165" fontId="12" fillId="0" borderId="0" xfId="0" applyNumberFormat="1" applyFont="1" applyAlignment="1">
      <alignment horizontal="center" vertical="top"/>
    </xf>
    <xf numFmtId="2" fontId="12" fillId="0" borderId="0" xfId="1" applyNumberFormat="1" applyFont="1" applyBorder="1" applyAlignment="1">
      <alignment horizontal="center" vertical="top"/>
    </xf>
    <xf numFmtId="0" fontId="13" fillId="7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top"/>
    </xf>
    <xf numFmtId="0" fontId="0" fillId="7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8" fillId="0" borderId="0" xfId="0" applyFont="1"/>
    <xf numFmtId="2" fontId="16" fillId="0" borderId="9" xfId="0" applyNumberFormat="1" applyFont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 vertical="center"/>
    </xf>
    <xf numFmtId="2" fontId="12" fillId="7" borderId="0" xfId="0" applyNumberFormat="1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2" fontId="16" fillId="7" borderId="0" xfId="0" applyNumberFormat="1" applyFont="1" applyFill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/>
    <xf numFmtId="0" fontId="10" fillId="8" borderId="6" xfId="0" applyFont="1" applyFill="1" applyBorder="1" applyAlignment="1">
      <alignment vertical="center"/>
    </xf>
    <xf numFmtId="0" fontId="10" fillId="8" borderId="3" xfId="0" applyFont="1" applyFill="1" applyBorder="1" applyAlignment="1">
      <alignment vertical="center"/>
    </xf>
    <xf numFmtId="0" fontId="10" fillId="8" borderId="4" xfId="0" applyFont="1" applyFill="1" applyBorder="1" applyAlignment="1">
      <alignment vertical="center"/>
    </xf>
    <xf numFmtId="0" fontId="10" fillId="8" borderId="7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3" xfId="0" applyFont="1" applyFill="1" applyBorder="1" applyAlignment="1">
      <alignment vertical="center"/>
    </xf>
    <xf numFmtId="0" fontId="10" fillId="4" borderId="4" xfId="0" applyFont="1" applyFill="1" applyBorder="1" applyAlignment="1">
      <alignment vertical="center"/>
    </xf>
    <xf numFmtId="0" fontId="10" fillId="4" borderId="7" xfId="0" applyFont="1" applyFill="1" applyBorder="1" applyAlignment="1">
      <alignment vertical="center"/>
    </xf>
    <xf numFmtId="0" fontId="10" fillId="4" borderId="5" xfId="0" applyFont="1" applyFill="1" applyBorder="1" applyAlignment="1">
      <alignment vertical="center"/>
    </xf>
    <xf numFmtId="0" fontId="11" fillId="7" borderId="6" xfId="0" applyFont="1" applyFill="1" applyBorder="1" applyAlignment="1">
      <alignment vertical="center"/>
    </xf>
    <xf numFmtId="0" fontId="11" fillId="7" borderId="3" xfId="0" applyFont="1" applyFill="1" applyBorder="1" applyAlignment="1">
      <alignment vertical="center"/>
    </xf>
    <xf numFmtId="0" fontId="11" fillId="7" borderId="4" xfId="0" applyFont="1" applyFill="1" applyBorder="1" applyAlignment="1">
      <alignment vertical="center"/>
    </xf>
    <xf numFmtId="0" fontId="11" fillId="7" borderId="7" xfId="0" applyFont="1" applyFill="1" applyBorder="1" applyAlignment="1">
      <alignment vertical="center"/>
    </xf>
    <xf numFmtId="0" fontId="11" fillId="7" borderId="5" xfId="0" applyFont="1" applyFill="1" applyBorder="1" applyAlignment="1">
      <alignment vertical="center"/>
    </xf>
    <xf numFmtId="0" fontId="10" fillId="9" borderId="2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5" xfId="0" applyFont="1" applyFill="1" applyBorder="1" applyAlignment="1">
      <alignment vertical="center"/>
    </xf>
    <xf numFmtId="0" fontId="10" fillId="6" borderId="2" xfId="0" applyFont="1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0" fontId="10" fillId="6" borderId="4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9" fillId="10" borderId="2" xfId="0" applyFont="1" applyFill="1" applyBorder="1" applyAlignment="1">
      <alignment vertical="center"/>
    </xf>
    <xf numFmtId="0" fontId="9" fillId="10" borderId="3" xfId="0" applyFont="1" applyFill="1" applyBorder="1" applyAlignment="1">
      <alignment vertical="center"/>
    </xf>
    <xf numFmtId="0" fontId="9" fillId="10" borderId="4" xfId="0" applyFont="1" applyFill="1" applyBorder="1" applyAlignment="1">
      <alignment vertical="center"/>
    </xf>
    <xf numFmtId="0" fontId="9" fillId="10" borderId="5" xfId="0" applyFont="1" applyFill="1" applyBorder="1" applyAlignment="1">
      <alignment vertical="center"/>
    </xf>
    <xf numFmtId="0" fontId="9" fillId="3" borderId="2" xfId="0" applyFont="1" applyFill="1" applyBorder="1" applyAlignment="1">
      <alignment vertical="center"/>
    </xf>
    <xf numFmtId="0" fontId="9" fillId="3" borderId="3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5" xfId="0" applyFont="1" applyFill="1" applyBorder="1" applyAlignment="1">
      <alignment vertical="center"/>
    </xf>
    <xf numFmtId="0" fontId="0" fillId="4" borderId="2" xfId="0" applyFont="1" applyFill="1" applyBorder="1" applyAlignment="1">
      <alignment vertical="center"/>
    </xf>
    <xf numFmtId="0" fontId="0" fillId="8" borderId="2" xfId="0" applyFont="1" applyFill="1" applyBorder="1" applyAlignment="1">
      <alignment vertical="center"/>
    </xf>
    <xf numFmtId="0" fontId="0" fillId="7" borderId="2" xfId="0" applyFont="1" applyFill="1" applyBorder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ba_ref_per_game_24_25" preserveFormatting="0" connectionId="5" xr16:uid="{43B813F5-9FC5-4242-B7E7-742ACE19629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ba_assists_rank_25" preserveFormatting="0" connectionId="6" xr16:uid="{98969C52-6C69-164D-8613-B191EA37AAB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ba_points_conceded_rank_25" preserveFormatting="0" connectionId="1" xr16:uid="{9212D023-563E-C742-B37B-1C7E2ECA83B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BA 2023-24 PACE Stats" preserveFormatting="0" connectionId="2" xr16:uid="{35A866AA-ADEA-4F40-81A8-0897775BA77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BA 2023-24 Offensive Reb %" preserveFormatting="0" connectionId="3" xr16:uid="{D1BA8198-17C6-CE40-9B85-0663D29A79E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BA 2023-24 Defensive Reb %" preserveFormatting="0" connectionId="4" xr16:uid="{8F0BE3E9-53E4-9F48-878A-9D9EC8ED22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file:///players/e/edwaran01.html" TargetMode="External"/><Relationship Id="rId170" Type="http://schemas.openxmlformats.org/officeDocument/2006/relationships/hyperlink" Target="file:///teams/UTA/2025.html" TargetMode="External"/><Relationship Id="rId268" Type="http://schemas.openxmlformats.org/officeDocument/2006/relationships/hyperlink" Target="file:///teams/MIA/2025.html" TargetMode="External"/><Relationship Id="rId475" Type="http://schemas.openxmlformats.org/officeDocument/2006/relationships/hyperlink" Target="file:///teams/LAL/2025.html" TargetMode="External"/><Relationship Id="rId682" Type="http://schemas.openxmlformats.org/officeDocument/2006/relationships/hyperlink" Target="file:///players/r/reevean01.html" TargetMode="External"/><Relationship Id="rId128" Type="http://schemas.openxmlformats.org/officeDocument/2006/relationships/hyperlink" Target="file:///teams/POR/2025.html" TargetMode="External"/><Relationship Id="rId335" Type="http://schemas.openxmlformats.org/officeDocument/2006/relationships/hyperlink" Target="file:///players/b/bouchch01.html" TargetMode="External"/><Relationship Id="rId542" Type="http://schemas.openxmlformats.org/officeDocument/2006/relationships/hyperlink" Target="file:///teams/PHO/2025.html" TargetMode="External"/><Relationship Id="rId987" Type="http://schemas.openxmlformats.org/officeDocument/2006/relationships/hyperlink" Target="file:///teams/BRK/2025.html" TargetMode="External"/><Relationship Id="rId402" Type="http://schemas.openxmlformats.org/officeDocument/2006/relationships/hyperlink" Target="file:///players/c/clownno01.html" TargetMode="External"/><Relationship Id="rId847" Type="http://schemas.openxmlformats.org/officeDocument/2006/relationships/hyperlink" Target="file:///teams/CHO/2025.html" TargetMode="External"/><Relationship Id="rId1032" Type="http://schemas.openxmlformats.org/officeDocument/2006/relationships/hyperlink" Target="file:///players/c/crawfis01.html" TargetMode="External"/><Relationship Id="rId707" Type="http://schemas.openxmlformats.org/officeDocument/2006/relationships/hyperlink" Target="file:///teams/NOP/2025.html" TargetMode="External"/><Relationship Id="rId914" Type="http://schemas.openxmlformats.org/officeDocument/2006/relationships/hyperlink" Target="file:///teams/IND/2025.html" TargetMode="External"/><Relationship Id="rId43" Type="http://schemas.openxmlformats.org/officeDocument/2006/relationships/hyperlink" Target="file:///players/i/irvinky01.html" TargetMode="External"/><Relationship Id="rId192" Type="http://schemas.openxmlformats.org/officeDocument/2006/relationships/hyperlink" Target="file:///players/g/grantje01.html" TargetMode="External"/><Relationship Id="rId206" Type="http://schemas.openxmlformats.org/officeDocument/2006/relationships/hyperlink" Target="file:///players/a/aytonde01.html" TargetMode="External"/><Relationship Id="rId413" Type="http://schemas.openxmlformats.org/officeDocument/2006/relationships/hyperlink" Target="file:///teams/SAC/2025.html" TargetMode="External"/><Relationship Id="rId858" Type="http://schemas.openxmlformats.org/officeDocument/2006/relationships/hyperlink" Target="file:///players/p/portecr01.html" TargetMode="External"/><Relationship Id="rId1043" Type="http://schemas.openxmlformats.org/officeDocument/2006/relationships/hyperlink" Target="file:///teams/DET/2025.html" TargetMode="External"/><Relationship Id="rId497" Type="http://schemas.openxmlformats.org/officeDocument/2006/relationships/hyperlink" Target="file:///teams/TOR/2025.html" TargetMode="External"/><Relationship Id="rId620" Type="http://schemas.openxmlformats.org/officeDocument/2006/relationships/hyperlink" Target="file:///teams/BOS/2025.html" TargetMode="External"/><Relationship Id="rId718" Type="http://schemas.openxmlformats.org/officeDocument/2006/relationships/hyperlink" Target="file:///players/v/vincega01.html" TargetMode="External"/><Relationship Id="rId925" Type="http://schemas.openxmlformats.org/officeDocument/2006/relationships/hyperlink" Target="file:///players/d/dadiepa01.html" TargetMode="External"/><Relationship Id="rId357" Type="http://schemas.openxmlformats.org/officeDocument/2006/relationships/hyperlink" Target="file:///players/c/champju01.html" TargetMode="External"/><Relationship Id="rId54" Type="http://schemas.openxmlformats.org/officeDocument/2006/relationships/hyperlink" Target="file:///teams/CHI/2025.html" TargetMode="External"/><Relationship Id="rId217" Type="http://schemas.openxmlformats.org/officeDocument/2006/relationships/hyperlink" Target="file:///teams/DEN/2025.html" TargetMode="External"/><Relationship Id="rId564" Type="http://schemas.openxmlformats.org/officeDocument/2006/relationships/hyperlink" Target="file:///teams/TOR/2025.html" TargetMode="External"/><Relationship Id="rId771" Type="http://schemas.openxmlformats.org/officeDocument/2006/relationships/hyperlink" Target="file:///teams/UTA/2025.html" TargetMode="External"/><Relationship Id="rId869" Type="http://schemas.openxmlformats.org/officeDocument/2006/relationships/hyperlink" Target="file:///teams/WAS/2025.html" TargetMode="External"/><Relationship Id="rId424" Type="http://schemas.openxmlformats.org/officeDocument/2006/relationships/hyperlink" Target="file:///players/w/willizi02.html" TargetMode="External"/><Relationship Id="rId631" Type="http://schemas.openxmlformats.org/officeDocument/2006/relationships/hyperlink" Target="file:///players/b/bryanth01.html" TargetMode="External"/><Relationship Id="rId729" Type="http://schemas.openxmlformats.org/officeDocument/2006/relationships/hyperlink" Target="file:///teams/MIA/2025.html" TargetMode="External"/><Relationship Id="rId1054" Type="http://schemas.openxmlformats.org/officeDocument/2006/relationships/hyperlink" Target="file:///players/s/swideco01.html" TargetMode="External"/><Relationship Id="rId270" Type="http://schemas.openxmlformats.org/officeDocument/2006/relationships/hyperlink" Target="file:///teams/CHI/2025.html" TargetMode="External"/><Relationship Id="rId936" Type="http://schemas.openxmlformats.org/officeDocument/2006/relationships/hyperlink" Target="file:///teams/MIN/2025.html" TargetMode="External"/><Relationship Id="rId65" Type="http://schemas.openxmlformats.org/officeDocument/2006/relationships/hyperlink" Target="file:///players/y/youngtr01.html" TargetMode="External"/><Relationship Id="rId130" Type="http://schemas.openxmlformats.org/officeDocument/2006/relationships/hyperlink" Target="file:///teams/PHO/2025.html" TargetMode="External"/><Relationship Id="rId368" Type="http://schemas.openxmlformats.org/officeDocument/2006/relationships/hyperlink" Target="file:///players/k/knechda01.html" TargetMode="External"/><Relationship Id="rId575" Type="http://schemas.openxmlformats.org/officeDocument/2006/relationships/hyperlink" Target="file:///players/m/mannte01.html" TargetMode="External"/><Relationship Id="rId782" Type="http://schemas.openxmlformats.org/officeDocument/2006/relationships/hyperlink" Target="file:///players/s/saricda01.html" TargetMode="External"/><Relationship Id="rId228" Type="http://schemas.openxmlformats.org/officeDocument/2006/relationships/hyperlink" Target="file:///players/a/aldamsa01.html" TargetMode="External"/><Relationship Id="rId435" Type="http://schemas.openxmlformats.org/officeDocument/2006/relationships/hyperlink" Target="file:///teams/POR/2025.html" TargetMode="External"/><Relationship Id="rId642" Type="http://schemas.openxmlformats.org/officeDocument/2006/relationships/hyperlink" Target="file:///players/c/colliza01.html" TargetMode="External"/><Relationship Id="rId281" Type="http://schemas.openxmlformats.org/officeDocument/2006/relationships/hyperlink" Target="file:///players/s/sarral01.html" TargetMode="External"/><Relationship Id="rId502" Type="http://schemas.openxmlformats.org/officeDocument/2006/relationships/hyperlink" Target="file:///players/t/thompau01.html" TargetMode="External"/><Relationship Id="rId947" Type="http://schemas.openxmlformats.org/officeDocument/2006/relationships/hyperlink" Target="file:///players/c/chrisjo01.html" TargetMode="External"/><Relationship Id="rId76" Type="http://schemas.openxmlformats.org/officeDocument/2006/relationships/hyperlink" Target="file:///teams/LAC/2025.html" TargetMode="External"/><Relationship Id="rId141" Type="http://schemas.openxmlformats.org/officeDocument/2006/relationships/hyperlink" Target="file:///players/w/whitede01.html" TargetMode="External"/><Relationship Id="rId379" Type="http://schemas.openxmlformats.org/officeDocument/2006/relationships/hyperlink" Target="file:///teams/CHI/2025.html" TargetMode="External"/><Relationship Id="rId586" Type="http://schemas.openxmlformats.org/officeDocument/2006/relationships/hyperlink" Target="file:///teams/CHO/2025.html" TargetMode="External"/><Relationship Id="rId793" Type="http://schemas.openxmlformats.org/officeDocument/2006/relationships/hyperlink" Target="file:///teams/SAC/2025.html" TargetMode="External"/><Relationship Id="rId807" Type="http://schemas.openxmlformats.org/officeDocument/2006/relationships/hyperlink" Target="file:///teams/SAS/2025.html" TargetMode="External"/><Relationship Id="rId7" Type="http://schemas.openxmlformats.org/officeDocument/2006/relationships/hyperlink" Target="file:///players/b/ballla01.html" TargetMode="External"/><Relationship Id="rId239" Type="http://schemas.openxmlformats.org/officeDocument/2006/relationships/hyperlink" Target="file:///teams/DEN/2025.html" TargetMode="External"/><Relationship Id="rId446" Type="http://schemas.openxmlformats.org/officeDocument/2006/relationships/hyperlink" Target="file:///players/h/horfoal01.html" TargetMode="External"/><Relationship Id="rId653" Type="http://schemas.openxmlformats.org/officeDocument/2006/relationships/hyperlink" Target="file:///teams/CHO/2025.html" TargetMode="External"/><Relationship Id="rId292" Type="http://schemas.openxmlformats.org/officeDocument/2006/relationships/hyperlink" Target="file:///teams/ATL/2025.html" TargetMode="External"/><Relationship Id="rId306" Type="http://schemas.openxmlformats.org/officeDocument/2006/relationships/hyperlink" Target="file:///teams/PHO/2025.html" TargetMode="External"/><Relationship Id="rId860" Type="http://schemas.openxmlformats.org/officeDocument/2006/relationships/hyperlink" Target="file:///players/c/cancavl01.html" TargetMode="External"/><Relationship Id="rId958" Type="http://schemas.openxmlformats.org/officeDocument/2006/relationships/hyperlink" Target="file:///teams/BOS/2025.html" TargetMode="External"/><Relationship Id="rId87" Type="http://schemas.openxmlformats.org/officeDocument/2006/relationships/hyperlink" Target="file:///players/s/sabondo01.html" TargetMode="External"/><Relationship Id="rId513" Type="http://schemas.openxmlformats.org/officeDocument/2006/relationships/hyperlink" Target="file:///teams/ORL/2025.html" TargetMode="External"/><Relationship Id="rId597" Type="http://schemas.openxmlformats.org/officeDocument/2006/relationships/hyperlink" Target="file:///players/l/loveke01.html" TargetMode="External"/><Relationship Id="rId720" Type="http://schemas.openxmlformats.org/officeDocument/2006/relationships/hyperlink" Target="file:///players/b/bambamo01.html" TargetMode="External"/><Relationship Id="rId818" Type="http://schemas.openxmlformats.org/officeDocument/2006/relationships/hyperlink" Target="file:///players/n/nancepe01.html" TargetMode="External"/><Relationship Id="rId152" Type="http://schemas.openxmlformats.org/officeDocument/2006/relationships/hyperlink" Target="file:///teams/TOR/2025.html" TargetMode="External"/><Relationship Id="rId457" Type="http://schemas.openxmlformats.org/officeDocument/2006/relationships/hyperlink" Target="file:///teams/ORL/2025.html" TargetMode="External"/><Relationship Id="rId1003" Type="http://schemas.openxmlformats.org/officeDocument/2006/relationships/hyperlink" Target="file:///teams/MIL/2025.html" TargetMode="External"/><Relationship Id="rId664" Type="http://schemas.openxmlformats.org/officeDocument/2006/relationships/hyperlink" Target="file:///players/c/chrisca02.html" TargetMode="External"/><Relationship Id="rId871" Type="http://schemas.openxmlformats.org/officeDocument/2006/relationships/hyperlink" Target="file:///teams/LAC/2025.html" TargetMode="External"/><Relationship Id="rId969" Type="http://schemas.openxmlformats.org/officeDocument/2006/relationships/hyperlink" Target="file:///players/t/tillmxa01.html" TargetMode="External"/><Relationship Id="rId14" Type="http://schemas.openxmlformats.org/officeDocument/2006/relationships/hyperlink" Target="file:///teams/BOS/2025.html" TargetMode="External"/><Relationship Id="rId317" Type="http://schemas.openxmlformats.org/officeDocument/2006/relationships/hyperlink" Target="file:///players/n/nembhan01.html" TargetMode="External"/><Relationship Id="rId524" Type="http://schemas.openxmlformats.org/officeDocument/2006/relationships/hyperlink" Target="file:///players/l/lylestr01.html" TargetMode="External"/><Relationship Id="rId731" Type="http://schemas.openxmlformats.org/officeDocument/2006/relationships/hyperlink" Target="file:///teams/MEM/2025.html" TargetMode="External"/><Relationship Id="rId98" Type="http://schemas.openxmlformats.org/officeDocument/2006/relationships/hyperlink" Target="file:///teams/ATL/2025.html" TargetMode="External"/><Relationship Id="rId163" Type="http://schemas.openxmlformats.org/officeDocument/2006/relationships/hyperlink" Target="file:///players/m/murrade01.html" TargetMode="External"/><Relationship Id="rId370" Type="http://schemas.openxmlformats.org/officeDocument/2006/relationships/hyperlink" Target="file:///players/m/mcbrimi01.html" TargetMode="External"/><Relationship Id="rId829" Type="http://schemas.openxmlformats.org/officeDocument/2006/relationships/hyperlink" Target="file:///teams/HOU/2025.html" TargetMode="External"/><Relationship Id="rId1014" Type="http://schemas.openxmlformats.org/officeDocument/2006/relationships/hyperlink" Target="file:///players/t/templga01.html" TargetMode="External"/><Relationship Id="rId230" Type="http://schemas.openxmlformats.org/officeDocument/2006/relationships/hyperlink" Target="file:///players/d/daniedy01.html" TargetMode="External"/><Relationship Id="rId468" Type="http://schemas.openxmlformats.org/officeDocument/2006/relationships/hyperlink" Target="file:///players/l/laravja01.html" TargetMode="External"/><Relationship Id="rId675" Type="http://schemas.openxmlformats.org/officeDocument/2006/relationships/hyperlink" Target="file:///teams/ORL/2025.html" TargetMode="External"/><Relationship Id="rId882" Type="http://schemas.openxmlformats.org/officeDocument/2006/relationships/hyperlink" Target="file:///teams/WAS/2025.html" TargetMode="External"/><Relationship Id="rId25" Type="http://schemas.openxmlformats.org/officeDocument/2006/relationships/hyperlink" Target="file:///players/t/townska01.html" TargetMode="External"/><Relationship Id="rId328" Type="http://schemas.openxmlformats.org/officeDocument/2006/relationships/hyperlink" Target="file:///teams/IND/2025.html" TargetMode="External"/><Relationship Id="rId535" Type="http://schemas.openxmlformats.org/officeDocument/2006/relationships/hyperlink" Target="file:///teams/OKC/2025.html" TargetMode="External"/><Relationship Id="rId742" Type="http://schemas.openxmlformats.org/officeDocument/2006/relationships/hyperlink" Target="file:///players/h/holidaa01.html" TargetMode="External"/><Relationship Id="rId174" Type="http://schemas.openxmlformats.org/officeDocument/2006/relationships/hyperlink" Target="file:///players/s/schrode01.html" TargetMode="External"/><Relationship Id="rId381" Type="http://schemas.openxmlformats.org/officeDocument/2006/relationships/hyperlink" Target="file:///teams/POR/2025.html" TargetMode="External"/><Relationship Id="rId602" Type="http://schemas.openxmlformats.org/officeDocument/2006/relationships/hyperlink" Target="file:///teams/UTA/2025.html" TargetMode="External"/><Relationship Id="rId1025" Type="http://schemas.openxmlformats.org/officeDocument/2006/relationships/hyperlink" Target="file:///teams/OKC/2025.html" TargetMode="External"/><Relationship Id="rId241" Type="http://schemas.openxmlformats.org/officeDocument/2006/relationships/hyperlink" Target="file:///teams/WAS/2025.html" TargetMode="External"/><Relationship Id="rId479" Type="http://schemas.openxmlformats.org/officeDocument/2006/relationships/hyperlink" Target="file:///teams/OKC/2025.html" TargetMode="External"/><Relationship Id="rId686" Type="http://schemas.openxmlformats.org/officeDocument/2006/relationships/hyperlink" Target="file:///players/k/krejcvi01.html" TargetMode="External"/><Relationship Id="rId893" Type="http://schemas.openxmlformats.org/officeDocument/2006/relationships/hyperlink" Target="file:///players/j/josepco01.html" TargetMode="External"/><Relationship Id="rId907" Type="http://schemas.openxmlformats.org/officeDocument/2006/relationships/hyperlink" Target="file:///players/w/washity02.html" TargetMode="External"/><Relationship Id="rId36" Type="http://schemas.openxmlformats.org/officeDocument/2006/relationships/hyperlink" Target="file:///teams/PHO/2025.html" TargetMode="External"/><Relationship Id="rId339" Type="http://schemas.openxmlformats.org/officeDocument/2006/relationships/hyperlink" Target="file:///players/j/joneshe01.html" TargetMode="External"/><Relationship Id="rId546" Type="http://schemas.openxmlformats.org/officeDocument/2006/relationships/hyperlink" Target="file:///teams/WAS/2025.html" TargetMode="External"/><Relationship Id="rId753" Type="http://schemas.openxmlformats.org/officeDocument/2006/relationships/hyperlink" Target="file:///teams/MIL/2025.html" TargetMode="External"/><Relationship Id="rId101" Type="http://schemas.openxmlformats.org/officeDocument/2006/relationships/hyperlink" Target="file:///players/r/randlju01.html" TargetMode="External"/><Relationship Id="rId185" Type="http://schemas.openxmlformats.org/officeDocument/2006/relationships/hyperlink" Target="file:///teams/TOR/2025.html" TargetMode="External"/><Relationship Id="rId406" Type="http://schemas.openxmlformats.org/officeDocument/2006/relationships/hyperlink" Target="file:///players/w/wiggiaa01.html" TargetMode="External"/><Relationship Id="rId960" Type="http://schemas.openxmlformats.org/officeDocument/2006/relationships/hyperlink" Target="file:///teams/CLE/2025.html" TargetMode="External"/><Relationship Id="rId1036" Type="http://schemas.openxmlformats.org/officeDocument/2006/relationships/hyperlink" Target="file:///players/e/edwarke02.html" TargetMode="External"/><Relationship Id="rId392" Type="http://schemas.openxmlformats.org/officeDocument/2006/relationships/hyperlink" Target="file:///players/j/jaqueja01.html" TargetMode="External"/><Relationship Id="rId613" Type="http://schemas.openxmlformats.org/officeDocument/2006/relationships/hyperlink" Target="file:///players/m/millejo02.html" TargetMode="External"/><Relationship Id="rId697" Type="http://schemas.openxmlformats.org/officeDocument/2006/relationships/hyperlink" Target="file:///teams/MIA/2025.html" TargetMode="External"/><Relationship Id="rId820" Type="http://schemas.openxmlformats.org/officeDocument/2006/relationships/hyperlink" Target="file:///players/o/olivaqu01.html" TargetMode="External"/><Relationship Id="rId918" Type="http://schemas.openxmlformats.org/officeDocument/2006/relationships/hyperlink" Target="file:///teams/GSW/2025.html" TargetMode="External"/><Relationship Id="rId252" Type="http://schemas.openxmlformats.org/officeDocument/2006/relationships/hyperlink" Target="file:///teams/HOU/2025.html" TargetMode="External"/><Relationship Id="rId47" Type="http://schemas.openxmlformats.org/officeDocument/2006/relationships/hyperlink" Target="file:///players/j/jamesle01.html" TargetMode="External"/><Relationship Id="rId112" Type="http://schemas.openxmlformats.org/officeDocument/2006/relationships/hyperlink" Target="file:///teams/CLE/2025.html" TargetMode="External"/><Relationship Id="rId557" Type="http://schemas.openxmlformats.org/officeDocument/2006/relationships/hyperlink" Target="file:///players/d/dunnkr01.html" TargetMode="External"/><Relationship Id="rId764" Type="http://schemas.openxmlformats.org/officeDocument/2006/relationships/hyperlink" Target="file:///players/m/moorewe01.html" TargetMode="External"/><Relationship Id="rId971" Type="http://schemas.openxmlformats.org/officeDocument/2006/relationships/hyperlink" Target="file:///players/g/gueyemo02.html" TargetMode="External"/><Relationship Id="rId196" Type="http://schemas.openxmlformats.org/officeDocument/2006/relationships/hyperlink" Target="file:///players/p/pritcpa01.html" TargetMode="External"/><Relationship Id="rId417" Type="http://schemas.openxmlformats.org/officeDocument/2006/relationships/hyperlink" Target="file:///teams/NOP/2025.html" TargetMode="External"/><Relationship Id="rId624" Type="http://schemas.openxmlformats.org/officeDocument/2006/relationships/hyperlink" Target="file:///teams/OKC/2025.html" TargetMode="External"/><Relationship Id="rId831" Type="http://schemas.openxmlformats.org/officeDocument/2006/relationships/hyperlink" Target="file:///teams/HOU/2025.html" TargetMode="External"/><Relationship Id="rId1047" Type="http://schemas.openxmlformats.org/officeDocument/2006/relationships/hyperlink" Target="file:///teams/DET/2025.html" TargetMode="External"/><Relationship Id="rId263" Type="http://schemas.openxmlformats.org/officeDocument/2006/relationships/hyperlink" Target="file:///players/w/willima07.html" TargetMode="External"/><Relationship Id="rId470" Type="http://schemas.openxmlformats.org/officeDocument/2006/relationships/hyperlink" Target="file:///players/m/martico01.html" TargetMode="External"/><Relationship Id="rId929" Type="http://schemas.openxmlformats.org/officeDocument/2006/relationships/hyperlink" Target="file:///players/l/lenal01.html" TargetMode="External"/><Relationship Id="rId58" Type="http://schemas.openxmlformats.org/officeDocument/2006/relationships/hyperlink" Target="file:///teams/CLE/2025.html" TargetMode="External"/><Relationship Id="rId123" Type="http://schemas.openxmlformats.org/officeDocument/2006/relationships/hyperlink" Target="file:///players/p/porzikr01.html" TargetMode="External"/><Relationship Id="rId330" Type="http://schemas.openxmlformats.org/officeDocument/2006/relationships/hyperlink" Target="file:///teams/PHO/2025.html" TargetMode="External"/><Relationship Id="rId568" Type="http://schemas.openxmlformats.org/officeDocument/2006/relationships/hyperlink" Target="file:///teams/CHI/2025.html" TargetMode="External"/><Relationship Id="rId775" Type="http://schemas.openxmlformats.org/officeDocument/2006/relationships/hyperlink" Target="file:///teams/PHI/2025.html" TargetMode="External"/><Relationship Id="rId982" Type="http://schemas.openxmlformats.org/officeDocument/2006/relationships/hyperlink" Target="file:///teams/CHO/2025.html" TargetMode="External"/><Relationship Id="rId428" Type="http://schemas.openxmlformats.org/officeDocument/2006/relationships/hyperlink" Target="file:///players/l/livelde01.html" TargetMode="External"/><Relationship Id="rId635" Type="http://schemas.openxmlformats.org/officeDocument/2006/relationships/hyperlink" Target="file:///teams/IND/2025.html" TargetMode="External"/><Relationship Id="rId842" Type="http://schemas.openxmlformats.org/officeDocument/2006/relationships/hyperlink" Target="file:///players/r/reathdu01.html" TargetMode="External"/><Relationship Id="rId274" Type="http://schemas.openxmlformats.org/officeDocument/2006/relationships/hyperlink" Target="file:///teams/WAS/2025.html" TargetMode="External"/><Relationship Id="rId481" Type="http://schemas.openxmlformats.org/officeDocument/2006/relationships/hyperlink" Target="file:///teams/UTA/2025.html" TargetMode="External"/><Relationship Id="rId702" Type="http://schemas.openxmlformats.org/officeDocument/2006/relationships/hyperlink" Target="file:///players/r/rolliry01.html" TargetMode="External"/><Relationship Id="rId69" Type="http://schemas.openxmlformats.org/officeDocument/2006/relationships/hyperlink" Target="file:///players/m/mccolcj01.html" TargetMode="External"/><Relationship Id="rId134" Type="http://schemas.openxmlformats.org/officeDocument/2006/relationships/hyperlink" Target="file:///teams/CHO/2025.html" TargetMode="External"/><Relationship Id="rId579" Type="http://schemas.openxmlformats.org/officeDocument/2006/relationships/hyperlink" Target="file:///players/m/mitchda01.html" TargetMode="External"/><Relationship Id="rId786" Type="http://schemas.openxmlformats.org/officeDocument/2006/relationships/hyperlink" Target="file:///players/w/walkeja01.html" TargetMode="External"/><Relationship Id="rId993" Type="http://schemas.openxmlformats.org/officeDocument/2006/relationships/hyperlink" Target="file:///teams/TOR/2025.html" TargetMode="External"/><Relationship Id="rId341" Type="http://schemas.openxmlformats.org/officeDocument/2006/relationships/hyperlink" Target="file:///players/m/meltode01.html" TargetMode="External"/><Relationship Id="rId439" Type="http://schemas.openxmlformats.org/officeDocument/2006/relationships/hyperlink" Target="file:///teams/ORL/2025.html" TargetMode="External"/><Relationship Id="rId646" Type="http://schemas.openxmlformats.org/officeDocument/2006/relationships/hyperlink" Target="file:///players/h/hayesja02.html" TargetMode="External"/><Relationship Id="rId201" Type="http://schemas.openxmlformats.org/officeDocument/2006/relationships/hyperlink" Target="file:///teams/CLE/2025.html" TargetMode="External"/><Relationship Id="rId285" Type="http://schemas.openxmlformats.org/officeDocument/2006/relationships/hyperlink" Target="file:///players/l/leverca01.html" TargetMode="External"/><Relationship Id="rId506" Type="http://schemas.openxmlformats.org/officeDocument/2006/relationships/hyperlink" Target="file:///players/p/princta02.html" TargetMode="External"/><Relationship Id="rId853" Type="http://schemas.openxmlformats.org/officeDocument/2006/relationships/hyperlink" Target="file:///teams/CHI/2025.html" TargetMode="External"/><Relationship Id="rId492" Type="http://schemas.openxmlformats.org/officeDocument/2006/relationships/hyperlink" Target="file:///players/h/hausesa01.html" TargetMode="External"/><Relationship Id="rId713" Type="http://schemas.openxmlformats.org/officeDocument/2006/relationships/hyperlink" Target="file:///teams/PHI/2025.html" TargetMode="External"/><Relationship Id="rId797" Type="http://schemas.openxmlformats.org/officeDocument/2006/relationships/hyperlink" Target="file:///teams/HOU/2025.html" TargetMode="External"/><Relationship Id="rId920" Type="http://schemas.openxmlformats.org/officeDocument/2006/relationships/hyperlink" Target="file:///teams/HOU/2025.html" TargetMode="External"/><Relationship Id="rId145" Type="http://schemas.openxmlformats.org/officeDocument/2006/relationships/hyperlink" Target="file:///players/k/kuminjo01.html" TargetMode="External"/><Relationship Id="rId352" Type="http://schemas.openxmlformats.org/officeDocument/2006/relationships/hyperlink" Target="file:///teams/LAC/2025.html" TargetMode="External"/><Relationship Id="rId212" Type="http://schemas.openxmlformats.org/officeDocument/2006/relationships/hyperlink" Target="file:///players/b/brogdma01.html" TargetMode="External"/><Relationship Id="rId657" Type="http://schemas.openxmlformats.org/officeDocument/2006/relationships/hyperlink" Target="file:///teams/TOR/2025.html" TargetMode="External"/><Relationship Id="rId864" Type="http://schemas.openxmlformats.org/officeDocument/2006/relationships/hyperlink" Target="file:///players/q/quinole01.html" TargetMode="External"/><Relationship Id="rId296" Type="http://schemas.openxmlformats.org/officeDocument/2006/relationships/hyperlink" Target="file:///teams/NOP/2025.html" TargetMode="External"/><Relationship Id="rId517" Type="http://schemas.openxmlformats.org/officeDocument/2006/relationships/hyperlink" Target="file:///teams/CHO/2025.html" TargetMode="External"/><Relationship Id="rId724" Type="http://schemas.openxmlformats.org/officeDocument/2006/relationships/hyperlink" Target="file:///players/w/willija07.html" TargetMode="External"/><Relationship Id="rId931" Type="http://schemas.openxmlformats.org/officeDocument/2006/relationships/hyperlink" Target="file:///players/k/kawamyu01.html" TargetMode="External"/><Relationship Id="rId60" Type="http://schemas.openxmlformats.org/officeDocument/2006/relationships/hyperlink" Target="file:///teams/GSW/2025.html" TargetMode="External"/><Relationship Id="rId156" Type="http://schemas.openxmlformats.org/officeDocument/2006/relationships/hyperlink" Target="file:///teams/IND/2025.html" TargetMode="External"/><Relationship Id="rId363" Type="http://schemas.openxmlformats.org/officeDocument/2006/relationships/hyperlink" Target="file:///teams/LAL/2025.html" TargetMode="External"/><Relationship Id="rId570" Type="http://schemas.openxmlformats.org/officeDocument/2006/relationships/hyperlink" Target="file:///teams/NOP/2025.html" TargetMode="External"/><Relationship Id="rId1007" Type="http://schemas.openxmlformats.org/officeDocument/2006/relationships/hyperlink" Target="file:///teams/WAS/2025.html" TargetMode="External"/><Relationship Id="rId223" Type="http://schemas.openxmlformats.org/officeDocument/2006/relationships/hyperlink" Target="file:///teams/DAL/2025.html" TargetMode="External"/><Relationship Id="rId430" Type="http://schemas.openxmlformats.org/officeDocument/2006/relationships/hyperlink" Target="file:///players/f/flowetr01.html" TargetMode="External"/><Relationship Id="rId668" Type="http://schemas.openxmlformats.org/officeDocument/2006/relationships/hyperlink" Target="file:///players/w/willial06.html" TargetMode="External"/><Relationship Id="rId875" Type="http://schemas.openxmlformats.org/officeDocument/2006/relationships/hyperlink" Target="file:///teams/DAL/2025.html" TargetMode="External"/><Relationship Id="rId18" Type="http://schemas.openxmlformats.org/officeDocument/2006/relationships/hyperlink" Target="file:///teams/SAC/2025.html" TargetMode="External"/><Relationship Id="rId528" Type="http://schemas.openxmlformats.org/officeDocument/2006/relationships/hyperlink" Target="file:///players/g/georgky01.html" TargetMode="External"/><Relationship Id="rId735" Type="http://schemas.openxmlformats.org/officeDocument/2006/relationships/hyperlink" Target="file:///teams/MIN/2025.html" TargetMode="External"/><Relationship Id="rId942" Type="http://schemas.openxmlformats.org/officeDocument/2006/relationships/hyperlink" Target="file:///teams/MEM/2025.html" TargetMode="External"/><Relationship Id="rId167" Type="http://schemas.openxmlformats.org/officeDocument/2006/relationships/hyperlink" Target="file:///players/g/georgpa01.html" TargetMode="External"/><Relationship Id="rId374" Type="http://schemas.openxmlformats.org/officeDocument/2006/relationships/hyperlink" Target="file:///players/j/jonesde02.html" TargetMode="External"/><Relationship Id="rId581" Type="http://schemas.openxmlformats.org/officeDocument/2006/relationships/hyperlink" Target="file:///players/w/waterli01.html" TargetMode="External"/><Relationship Id="rId1018" Type="http://schemas.openxmlformats.org/officeDocument/2006/relationships/hyperlink" Target="file:///players/j/jamesbr02.html" TargetMode="External"/><Relationship Id="rId71" Type="http://schemas.openxmlformats.org/officeDocument/2006/relationships/hyperlink" Target="file:///players/p/poolejo01.html" TargetMode="External"/><Relationship Id="rId234" Type="http://schemas.openxmlformats.org/officeDocument/2006/relationships/hyperlink" Target="file:///players/r/reidna01.html" TargetMode="External"/><Relationship Id="rId679" Type="http://schemas.openxmlformats.org/officeDocument/2006/relationships/hyperlink" Target="file:///teams/CHI/2025.html" TargetMode="External"/><Relationship Id="rId802" Type="http://schemas.openxmlformats.org/officeDocument/2006/relationships/hyperlink" Target="file:///players/p/pottemi01.html" TargetMode="External"/><Relationship Id="rId886" Type="http://schemas.openxmlformats.org/officeDocument/2006/relationships/hyperlink" Target="file:///teams/SAC/2025.html" TargetMode="External"/><Relationship Id="rId2" Type="http://schemas.openxmlformats.org/officeDocument/2006/relationships/hyperlink" Target="file:///teams/DEN/2025.html" TargetMode="External"/><Relationship Id="rId29" Type="http://schemas.openxmlformats.org/officeDocument/2006/relationships/hyperlink" Target="file:///players/b/brunsja01.html" TargetMode="External"/><Relationship Id="rId441" Type="http://schemas.openxmlformats.org/officeDocument/2006/relationships/hyperlink" Target="file:///teams/GSW/2025.html" TargetMode="External"/><Relationship Id="rId539" Type="http://schemas.openxmlformats.org/officeDocument/2006/relationships/hyperlink" Target="file:///players/m/miltosh01.html" TargetMode="External"/><Relationship Id="rId746" Type="http://schemas.openxmlformats.org/officeDocument/2006/relationships/hyperlink" Target="file:///players/t/tateja01.html" TargetMode="External"/><Relationship Id="rId178" Type="http://schemas.openxmlformats.org/officeDocument/2006/relationships/hyperlink" Target="file:///players/m/mccaija01.html" TargetMode="External"/><Relationship Id="rId301" Type="http://schemas.openxmlformats.org/officeDocument/2006/relationships/hyperlink" Target="file:///players/r/robindu01.html" TargetMode="External"/><Relationship Id="rId953" Type="http://schemas.openxmlformats.org/officeDocument/2006/relationships/hyperlink" Target="file:///players/m/mcveija01.html" TargetMode="External"/><Relationship Id="rId1029" Type="http://schemas.openxmlformats.org/officeDocument/2006/relationships/hyperlink" Target="file:///teams/NYK/2025.html" TargetMode="External"/><Relationship Id="rId82" Type="http://schemas.openxmlformats.org/officeDocument/2006/relationships/hyperlink" Target="file:///teams/SAC/2025.html" TargetMode="External"/><Relationship Id="rId385" Type="http://schemas.openxmlformats.org/officeDocument/2006/relationships/hyperlink" Target="file:///teams/MIN/2025.html" TargetMode="External"/><Relationship Id="rId592" Type="http://schemas.openxmlformats.org/officeDocument/2006/relationships/hyperlink" Target="file:///teams/NOP/2025.html" TargetMode="External"/><Relationship Id="rId606" Type="http://schemas.openxmlformats.org/officeDocument/2006/relationships/hyperlink" Target="file:///teams/DET/2025.html" TargetMode="External"/><Relationship Id="rId813" Type="http://schemas.openxmlformats.org/officeDocument/2006/relationships/hyperlink" Target="file:///teams/TOR/2025.html" TargetMode="External"/><Relationship Id="rId245" Type="http://schemas.openxmlformats.org/officeDocument/2006/relationships/hyperlink" Target="file:///players/r/russeda01.html" TargetMode="External"/><Relationship Id="rId452" Type="http://schemas.openxmlformats.org/officeDocument/2006/relationships/hyperlink" Target="file:///players/n/nurkiju01.html" TargetMode="External"/><Relationship Id="rId897" Type="http://schemas.openxmlformats.org/officeDocument/2006/relationships/hyperlink" Target="file:///players/m/morrima02.html" TargetMode="External"/><Relationship Id="rId105" Type="http://schemas.openxmlformats.org/officeDocument/2006/relationships/hyperlink" Target="file:///players/h/huntede01.html" TargetMode="External"/><Relationship Id="rId312" Type="http://schemas.openxmlformats.org/officeDocument/2006/relationships/hyperlink" Target="file:///teams/UTA/2025.html" TargetMode="External"/><Relationship Id="rId757" Type="http://schemas.openxmlformats.org/officeDocument/2006/relationships/hyperlink" Target="file:///teams/SAS/2025.html" TargetMode="External"/><Relationship Id="rId964" Type="http://schemas.openxmlformats.org/officeDocument/2006/relationships/hyperlink" Target="file:///teams/BOS/2025.html" TargetMode="External"/><Relationship Id="rId93" Type="http://schemas.openxmlformats.org/officeDocument/2006/relationships/hyperlink" Target="file:///players/v/vucevni01.html" TargetMode="External"/><Relationship Id="rId189" Type="http://schemas.openxmlformats.org/officeDocument/2006/relationships/hyperlink" Target="file:///teams/IND/2025.html" TargetMode="External"/><Relationship Id="rId396" Type="http://schemas.openxmlformats.org/officeDocument/2006/relationships/hyperlink" Target="file:///players/n/nancela02.html" TargetMode="External"/><Relationship Id="rId617" Type="http://schemas.openxmlformats.org/officeDocument/2006/relationships/hyperlink" Target="file:///players/c/clingdo01.html" TargetMode="External"/><Relationship Id="rId824" Type="http://schemas.openxmlformats.org/officeDocument/2006/relationships/hyperlink" Target="file:///players/t/tshieos01.html" TargetMode="External"/><Relationship Id="rId256" Type="http://schemas.openxmlformats.org/officeDocument/2006/relationships/hyperlink" Target="file:///teams/MIL/2025.html" TargetMode="External"/><Relationship Id="rId463" Type="http://schemas.openxmlformats.org/officeDocument/2006/relationships/hyperlink" Target="file:///teams/BRK/2025.html" TargetMode="External"/><Relationship Id="rId670" Type="http://schemas.openxmlformats.org/officeDocument/2006/relationships/hyperlink" Target="file:///players/b/baglema01.html" TargetMode="External"/><Relationship Id="rId116" Type="http://schemas.openxmlformats.org/officeDocument/2006/relationships/hyperlink" Target="file:///teams/POR/2025.html" TargetMode="External"/><Relationship Id="rId323" Type="http://schemas.openxmlformats.org/officeDocument/2006/relationships/hyperlink" Target="file:///players/h/hardati02.html" TargetMode="External"/><Relationship Id="rId530" Type="http://schemas.openxmlformats.org/officeDocument/2006/relationships/hyperlink" Target="file:///players/h/highsha01.html" TargetMode="External"/><Relationship Id="rId768" Type="http://schemas.openxmlformats.org/officeDocument/2006/relationships/hyperlink" Target="file:///players/c/carteje01.html" TargetMode="External"/><Relationship Id="rId975" Type="http://schemas.openxmlformats.org/officeDocument/2006/relationships/hyperlink" Target="file:///players/m/mcgowbr01.html" TargetMode="External"/><Relationship Id="rId20" Type="http://schemas.openxmlformats.org/officeDocument/2006/relationships/hyperlink" Target="file:///teams/LAL/2025.html" TargetMode="External"/><Relationship Id="rId628" Type="http://schemas.openxmlformats.org/officeDocument/2006/relationships/hyperlink" Target="file:///teams/PHO/2025.html" TargetMode="External"/><Relationship Id="rId835" Type="http://schemas.openxmlformats.org/officeDocument/2006/relationships/hyperlink" Target="file:///teams/PHI/2025.html" TargetMode="External"/><Relationship Id="rId267" Type="http://schemas.openxmlformats.org/officeDocument/2006/relationships/hyperlink" Target="file:///players/r/roziete01.html" TargetMode="External"/><Relationship Id="rId474" Type="http://schemas.openxmlformats.org/officeDocument/2006/relationships/hyperlink" Target="file:///players/c/chrisma02.html" TargetMode="External"/><Relationship Id="rId1020" Type="http://schemas.openxmlformats.org/officeDocument/2006/relationships/hyperlink" Target="file:///players/j/jonessp01.html" TargetMode="External"/><Relationship Id="rId127" Type="http://schemas.openxmlformats.org/officeDocument/2006/relationships/hyperlink" Target="file:///players/s/sharpsh01.html" TargetMode="External"/><Relationship Id="rId681" Type="http://schemas.openxmlformats.org/officeDocument/2006/relationships/hyperlink" Target="file:///teams/UTA/2025.html" TargetMode="External"/><Relationship Id="rId779" Type="http://schemas.openxmlformats.org/officeDocument/2006/relationships/hyperlink" Target="file:///teams/HOU/2025.html" TargetMode="External"/><Relationship Id="rId902" Type="http://schemas.openxmlformats.org/officeDocument/2006/relationships/hyperlink" Target="file:///teams/CHI/2025.html" TargetMode="External"/><Relationship Id="rId986" Type="http://schemas.openxmlformats.org/officeDocument/2006/relationships/hyperlink" Target="file:///players/l/lewisma05.html" TargetMode="External"/><Relationship Id="rId31" Type="http://schemas.openxmlformats.org/officeDocument/2006/relationships/hyperlink" Target="file:///players/l/lillada01.html" TargetMode="External"/><Relationship Id="rId334" Type="http://schemas.openxmlformats.org/officeDocument/2006/relationships/hyperlink" Target="file:///teams/CHO/2025.html" TargetMode="External"/><Relationship Id="rId541" Type="http://schemas.openxmlformats.org/officeDocument/2006/relationships/hyperlink" Target="file:///players/d/dunnry01.html" TargetMode="External"/><Relationship Id="rId639" Type="http://schemas.openxmlformats.org/officeDocument/2006/relationships/hyperlink" Target="file:///teams/TOR/2025.html" TargetMode="External"/><Relationship Id="rId180" Type="http://schemas.openxmlformats.org/officeDocument/2006/relationships/hyperlink" Target="file:///players/v/vassede01.html" TargetMode="External"/><Relationship Id="rId278" Type="http://schemas.openxmlformats.org/officeDocument/2006/relationships/hyperlink" Target="file:///teams/WAS/2025.html" TargetMode="External"/><Relationship Id="rId401" Type="http://schemas.openxmlformats.org/officeDocument/2006/relationships/hyperlink" Target="file:///teams/HOU/2025.html" TargetMode="External"/><Relationship Id="rId846" Type="http://schemas.openxmlformats.org/officeDocument/2006/relationships/hyperlink" Target="file:///players/g/gibsota01.html" TargetMode="External"/><Relationship Id="rId1031" Type="http://schemas.openxmlformats.org/officeDocument/2006/relationships/hyperlink" Target="file:///teams/MIN/2025.html" TargetMode="External"/><Relationship Id="rId485" Type="http://schemas.openxmlformats.org/officeDocument/2006/relationships/hyperlink" Target="file:///teams/BRK/2025.html" TargetMode="External"/><Relationship Id="rId692" Type="http://schemas.openxmlformats.org/officeDocument/2006/relationships/hyperlink" Target="file:///players/c/connapa01.html" TargetMode="External"/><Relationship Id="rId706" Type="http://schemas.openxmlformats.org/officeDocument/2006/relationships/hyperlink" Target="file:///players/c/cainja01.html" TargetMode="External"/><Relationship Id="rId913" Type="http://schemas.openxmlformats.org/officeDocument/2006/relationships/hyperlink" Target="file:///players/f/freemen01.html" TargetMode="External"/><Relationship Id="rId42" Type="http://schemas.openxmlformats.org/officeDocument/2006/relationships/hyperlink" Target="file:///teams/DET/2025.html" TargetMode="External"/><Relationship Id="rId138" Type="http://schemas.openxmlformats.org/officeDocument/2006/relationships/hyperlink" Target="file:///teams/MIA/2025.html" TargetMode="External"/><Relationship Id="rId345" Type="http://schemas.openxmlformats.org/officeDocument/2006/relationships/hyperlink" Target="file:///players/j/jeromty01.html" TargetMode="External"/><Relationship Id="rId552" Type="http://schemas.openxmlformats.org/officeDocument/2006/relationships/hyperlink" Target="file:///teams/DET/2025.html" TargetMode="External"/><Relationship Id="rId997" Type="http://schemas.openxmlformats.org/officeDocument/2006/relationships/hyperlink" Target="file:///teams/MIN/2025.html" TargetMode="External"/><Relationship Id="rId191" Type="http://schemas.openxmlformats.org/officeDocument/2006/relationships/hyperlink" Target="file:///teams/HOU/2025.html" TargetMode="External"/><Relationship Id="rId205" Type="http://schemas.openxmlformats.org/officeDocument/2006/relationships/hyperlink" Target="file:///teams/POR/2025.html" TargetMode="External"/><Relationship Id="rId412" Type="http://schemas.openxmlformats.org/officeDocument/2006/relationships/hyperlink" Target="file:///players/h/huertke01.html" TargetMode="External"/><Relationship Id="rId857" Type="http://schemas.openxmlformats.org/officeDocument/2006/relationships/hyperlink" Target="file:///teams/PHO/2025.html" TargetMode="External"/><Relationship Id="rId1042" Type="http://schemas.openxmlformats.org/officeDocument/2006/relationships/hyperlink" Target="file:///players/j/jenkida01.html" TargetMode="External"/><Relationship Id="rId289" Type="http://schemas.openxmlformats.org/officeDocument/2006/relationships/hyperlink" Target="file:///players/e/easonta01.html" TargetMode="External"/><Relationship Id="rId496" Type="http://schemas.openxmlformats.org/officeDocument/2006/relationships/hyperlink" Target="file:///players/w/walteja01.html" TargetMode="External"/><Relationship Id="rId717" Type="http://schemas.openxmlformats.org/officeDocument/2006/relationships/hyperlink" Target="file:///teams/POR/2025.html" TargetMode="External"/><Relationship Id="rId924" Type="http://schemas.openxmlformats.org/officeDocument/2006/relationships/hyperlink" Target="file:///teams/BOS/2025.html" TargetMode="External"/><Relationship Id="rId53" Type="http://schemas.openxmlformats.org/officeDocument/2006/relationships/hyperlink" Target="file:///players/l/lavinza01.html" TargetMode="External"/><Relationship Id="rId149" Type="http://schemas.openxmlformats.org/officeDocument/2006/relationships/hyperlink" Target="file:///players/a/anunoog01.html" TargetMode="External"/><Relationship Id="rId356" Type="http://schemas.openxmlformats.org/officeDocument/2006/relationships/hyperlink" Target="file:///teams/ORL/2025.html" TargetMode="External"/><Relationship Id="rId563" Type="http://schemas.openxmlformats.org/officeDocument/2006/relationships/hyperlink" Target="file:///players/o/olynyke01.html" TargetMode="External"/><Relationship Id="rId770" Type="http://schemas.openxmlformats.org/officeDocument/2006/relationships/hyperlink" Target="file:///players/c/colliis01.html" TargetMode="External"/><Relationship Id="rId216" Type="http://schemas.openxmlformats.org/officeDocument/2006/relationships/hyperlink" Target="file:///players/g/gordoaa01.html" TargetMode="External"/><Relationship Id="rId423" Type="http://schemas.openxmlformats.org/officeDocument/2006/relationships/hyperlink" Target="file:///teams/MEM/2025.html" TargetMode="External"/><Relationship Id="rId868" Type="http://schemas.openxmlformats.org/officeDocument/2006/relationships/hyperlink" Target="file:///players/b/baldwpa01.html" TargetMode="External"/><Relationship Id="rId1053" Type="http://schemas.openxmlformats.org/officeDocument/2006/relationships/hyperlink" Target="file:///teams/SAS/2025.html" TargetMode="External"/><Relationship Id="rId630" Type="http://schemas.openxmlformats.org/officeDocument/2006/relationships/hyperlink" Target="file:///teams/IND/2025.html" TargetMode="External"/><Relationship Id="rId728" Type="http://schemas.openxmlformats.org/officeDocument/2006/relationships/hyperlink" Target="file:///players/r/richajo01.html" TargetMode="External"/><Relationship Id="rId935" Type="http://schemas.openxmlformats.org/officeDocument/2006/relationships/hyperlink" Target="file:///players/s/shannte01.html" TargetMode="External"/><Relationship Id="rId64" Type="http://schemas.openxmlformats.org/officeDocument/2006/relationships/hyperlink" Target="file:///teams/NOP/2025.html" TargetMode="External"/><Relationship Id="rId367" Type="http://schemas.openxmlformats.org/officeDocument/2006/relationships/hyperlink" Target="file:///teams/OKC/2025.html" TargetMode="External"/><Relationship Id="rId574" Type="http://schemas.openxmlformats.org/officeDocument/2006/relationships/hyperlink" Target="file:///teams/CLE/2025.html" TargetMode="External"/><Relationship Id="rId227" Type="http://schemas.openxmlformats.org/officeDocument/2006/relationships/hyperlink" Target="file:///teams/PHI/2025.html" TargetMode="External"/><Relationship Id="rId781" Type="http://schemas.openxmlformats.org/officeDocument/2006/relationships/hyperlink" Target="file:///teams/LAL/2025.html" TargetMode="External"/><Relationship Id="rId879" Type="http://schemas.openxmlformats.org/officeDocument/2006/relationships/hyperlink" Target="file:///players/b/beekmre01.html" TargetMode="External"/><Relationship Id="rId434" Type="http://schemas.openxmlformats.org/officeDocument/2006/relationships/hyperlink" Target="file:///players/b/bantoda01.html" TargetMode="External"/><Relationship Id="rId641" Type="http://schemas.openxmlformats.org/officeDocument/2006/relationships/hyperlink" Target="file:///teams/ATL/2025.html" TargetMode="External"/><Relationship Id="rId739" Type="http://schemas.openxmlformats.org/officeDocument/2006/relationships/hyperlink" Target="file:///teams/CHI/2025.html" TargetMode="External"/><Relationship Id="rId280" Type="http://schemas.openxmlformats.org/officeDocument/2006/relationships/hyperlink" Target="file:///teams/SAC/2025.html" TargetMode="External"/><Relationship Id="rId501" Type="http://schemas.openxmlformats.org/officeDocument/2006/relationships/hyperlink" Target="file:///teams/CHO/2025.html" TargetMode="External"/><Relationship Id="rId946" Type="http://schemas.openxmlformats.org/officeDocument/2006/relationships/hyperlink" Target="file:///teams/MIL/2025.html" TargetMode="External"/><Relationship Id="rId75" Type="http://schemas.openxmlformats.org/officeDocument/2006/relationships/hyperlink" Target="file:///players/h/hardeja01.html" TargetMode="External"/><Relationship Id="rId140" Type="http://schemas.openxmlformats.org/officeDocument/2006/relationships/hyperlink" Target="file:///teams/DET/2025.html" TargetMode="External"/><Relationship Id="rId378" Type="http://schemas.openxmlformats.org/officeDocument/2006/relationships/hyperlink" Target="file:///players/w/willipa01.html" TargetMode="External"/><Relationship Id="rId585" Type="http://schemas.openxmlformats.org/officeDocument/2006/relationships/hyperlink" Target="file:///players/w/wongis01.html" TargetMode="External"/><Relationship Id="rId792" Type="http://schemas.openxmlformats.org/officeDocument/2006/relationships/hyperlink" Target="file:///players/c/crowdja01.html" TargetMode="External"/><Relationship Id="rId806" Type="http://schemas.openxmlformats.org/officeDocument/2006/relationships/hyperlink" Target="file:///players/d/dukeda01.html" TargetMode="External"/><Relationship Id="rId6" Type="http://schemas.openxmlformats.org/officeDocument/2006/relationships/hyperlink" Target="file:///teams/OKC/2025.html" TargetMode="External"/><Relationship Id="rId238" Type="http://schemas.openxmlformats.org/officeDocument/2006/relationships/hyperlink" Target="file:///players/w/westbru01.html" TargetMode="External"/><Relationship Id="rId445" Type="http://schemas.openxmlformats.org/officeDocument/2006/relationships/hyperlink" Target="file:///teams/GSW/2025.html" TargetMode="External"/><Relationship Id="rId652" Type="http://schemas.openxmlformats.org/officeDocument/2006/relationships/hyperlink" Target="file:///players/c/curryse01.html" TargetMode="External"/><Relationship Id="rId291" Type="http://schemas.openxmlformats.org/officeDocument/2006/relationships/hyperlink" Target="file:///players/b/bogdabo01.html" TargetMode="External"/><Relationship Id="rId305" Type="http://schemas.openxmlformats.org/officeDocument/2006/relationships/hyperlink" Target="file:///players/a/allengr01.html" TargetMode="External"/><Relationship Id="rId512" Type="http://schemas.openxmlformats.org/officeDocument/2006/relationships/hyperlink" Target="file:///players/a/anthoco01.html" TargetMode="External"/><Relationship Id="rId957" Type="http://schemas.openxmlformats.org/officeDocument/2006/relationships/hyperlink" Target="file:///players/s/sprinja01.html" TargetMode="External"/><Relationship Id="rId86" Type="http://schemas.openxmlformats.org/officeDocument/2006/relationships/hyperlink" Target="file:///teams/OKC/2025.html" TargetMode="External"/><Relationship Id="rId151" Type="http://schemas.openxmlformats.org/officeDocument/2006/relationships/hyperlink" Target="file:///players/d/dickgr01.html" TargetMode="External"/><Relationship Id="rId389" Type="http://schemas.openxmlformats.org/officeDocument/2006/relationships/hyperlink" Target="file:///teams/DAL/2025.html" TargetMode="External"/><Relationship Id="rId596" Type="http://schemas.openxmlformats.org/officeDocument/2006/relationships/hyperlink" Target="file:///teams/IND/2025.html" TargetMode="External"/><Relationship Id="rId817" Type="http://schemas.openxmlformats.org/officeDocument/2006/relationships/hyperlink" Target="file:///teams/POR/2025.html" TargetMode="External"/><Relationship Id="rId1002" Type="http://schemas.openxmlformats.org/officeDocument/2006/relationships/hyperlink" Target="file:///players/l/livinch01.html" TargetMode="External"/><Relationship Id="rId249" Type="http://schemas.openxmlformats.org/officeDocument/2006/relationships/hyperlink" Target="file:///players/l/lopezbr01.html" TargetMode="External"/><Relationship Id="rId456" Type="http://schemas.openxmlformats.org/officeDocument/2006/relationships/hyperlink" Target="file:///players/b/blackan01.html" TargetMode="External"/><Relationship Id="rId663" Type="http://schemas.openxmlformats.org/officeDocument/2006/relationships/hyperlink" Target="file:///teams/GSW/2025.html" TargetMode="External"/><Relationship Id="rId870" Type="http://schemas.openxmlformats.org/officeDocument/2006/relationships/hyperlink" Target="file:///players/j/joneska01.html" TargetMode="External"/><Relationship Id="rId13" Type="http://schemas.openxmlformats.org/officeDocument/2006/relationships/hyperlink" Target="file:///players/t/tatumja01.html" TargetMode="External"/><Relationship Id="rId109" Type="http://schemas.openxmlformats.org/officeDocument/2006/relationships/hyperlink" Target="file:///players/s/sengual01.html" TargetMode="External"/><Relationship Id="rId316" Type="http://schemas.openxmlformats.org/officeDocument/2006/relationships/hyperlink" Target="file:///teams/ATL/2025.html" TargetMode="External"/><Relationship Id="rId523" Type="http://schemas.openxmlformats.org/officeDocument/2006/relationships/hyperlink" Target="file:///teams/IND/2025.html" TargetMode="External"/><Relationship Id="rId968" Type="http://schemas.openxmlformats.org/officeDocument/2006/relationships/hyperlink" Target="file:///teams/SAC/2025.html" TargetMode="External"/><Relationship Id="rId97" Type="http://schemas.openxmlformats.org/officeDocument/2006/relationships/hyperlink" Target="file:///players/j/johnsja05.html" TargetMode="External"/><Relationship Id="rId730" Type="http://schemas.openxmlformats.org/officeDocument/2006/relationships/hyperlink" Target="file:///players/s/spencca01.html" TargetMode="External"/><Relationship Id="rId828" Type="http://schemas.openxmlformats.org/officeDocument/2006/relationships/hyperlink" Target="file:///players/l/landajo01.html" TargetMode="External"/><Relationship Id="rId1013" Type="http://schemas.openxmlformats.org/officeDocument/2006/relationships/hyperlink" Target="file:///teams/IND/2025.html" TargetMode="External"/><Relationship Id="rId162" Type="http://schemas.openxmlformats.org/officeDocument/2006/relationships/hyperlink" Target="file:///teams/DET/2025.html" TargetMode="External"/><Relationship Id="rId467" Type="http://schemas.openxmlformats.org/officeDocument/2006/relationships/hyperlink" Target="file:///teams/DAL/2025.html" TargetMode="External"/><Relationship Id="rId674" Type="http://schemas.openxmlformats.org/officeDocument/2006/relationships/hyperlink" Target="file:///players/h/howarje01.html" TargetMode="External"/><Relationship Id="rId881" Type="http://schemas.openxmlformats.org/officeDocument/2006/relationships/hyperlink" Target="file:///players/g/gillan01.html" TargetMode="External"/><Relationship Id="rId979" Type="http://schemas.openxmlformats.org/officeDocument/2006/relationships/hyperlink" Target="file:///players/p/postqu01.html" TargetMode="External"/><Relationship Id="rId24" Type="http://schemas.openxmlformats.org/officeDocument/2006/relationships/hyperlink" Target="file:///teams/PHI/2025.html" TargetMode="External"/><Relationship Id="rId327" Type="http://schemas.openxmlformats.org/officeDocument/2006/relationships/hyperlink" Target="file:///players/m/mccontj01.html" TargetMode="External"/><Relationship Id="rId534" Type="http://schemas.openxmlformats.org/officeDocument/2006/relationships/hyperlink" Target="file:///players/w/wallaca01.html" TargetMode="External"/><Relationship Id="rId741" Type="http://schemas.openxmlformats.org/officeDocument/2006/relationships/hyperlink" Target="file:///teams/NOP/2025.html" TargetMode="External"/><Relationship Id="rId839" Type="http://schemas.openxmlformats.org/officeDocument/2006/relationships/hyperlink" Target="file:///teams/CHI/2025.html" TargetMode="External"/><Relationship Id="rId173" Type="http://schemas.openxmlformats.org/officeDocument/2006/relationships/hyperlink" Target="file:///players/s/schrode01.html" TargetMode="External"/><Relationship Id="rId380" Type="http://schemas.openxmlformats.org/officeDocument/2006/relationships/hyperlink" Target="file:///players/c/camarto01.html" TargetMode="External"/><Relationship Id="rId601" Type="http://schemas.openxmlformats.org/officeDocument/2006/relationships/hyperlink" Target="file:///players/f/filipky01.html" TargetMode="External"/><Relationship Id="rId1024" Type="http://schemas.openxmlformats.org/officeDocument/2006/relationships/hyperlink" Target="file:///players/l/leonsma01.html" TargetMode="External"/><Relationship Id="rId240" Type="http://schemas.openxmlformats.org/officeDocument/2006/relationships/hyperlink" Target="file:///players/c/coulibi01.html" TargetMode="External"/><Relationship Id="rId478" Type="http://schemas.openxmlformats.org/officeDocument/2006/relationships/hyperlink" Target="file:///players/j/joeis01.html" TargetMode="External"/><Relationship Id="rId685" Type="http://schemas.openxmlformats.org/officeDocument/2006/relationships/hyperlink" Target="file:///teams/ATL/2025.html" TargetMode="External"/><Relationship Id="rId892" Type="http://schemas.openxmlformats.org/officeDocument/2006/relationships/hyperlink" Target="file:///teams/OKC/2025.html" TargetMode="External"/><Relationship Id="rId906" Type="http://schemas.openxmlformats.org/officeDocument/2006/relationships/hyperlink" Target="file:///teams/CLE/2025.html" TargetMode="External"/><Relationship Id="rId35" Type="http://schemas.openxmlformats.org/officeDocument/2006/relationships/hyperlink" Target="file:///players/b/bookede01.html" TargetMode="External"/><Relationship Id="rId100" Type="http://schemas.openxmlformats.org/officeDocument/2006/relationships/hyperlink" Target="file:///teams/IND/2025.html" TargetMode="External"/><Relationship Id="rId338" Type="http://schemas.openxmlformats.org/officeDocument/2006/relationships/hyperlink" Target="file:///teams/MEM/2025.html" TargetMode="External"/><Relationship Id="rId545" Type="http://schemas.openxmlformats.org/officeDocument/2006/relationships/hyperlink" Target="file:///players/b/butleja02.html" TargetMode="External"/><Relationship Id="rId752" Type="http://schemas.openxmlformats.org/officeDocument/2006/relationships/hyperlink" Target="file:///players/j/jacksan01.html" TargetMode="External"/><Relationship Id="rId184" Type="http://schemas.openxmlformats.org/officeDocument/2006/relationships/hyperlink" Target="file:///players/p/poeltja01.html" TargetMode="External"/><Relationship Id="rId391" Type="http://schemas.openxmlformats.org/officeDocument/2006/relationships/hyperlink" Target="file:///teams/DET/2025.html" TargetMode="External"/><Relationship Id="rId405" Type="http://schemas.openxmlformats.org/officeDocument/2006/relationships/hyperlink" Target="file:///teams/UTA/2025.html" TargetMode="External"/><Relationship Id="rId612" Type="http://schemas.openxmlformats.org/officeDocument/2006/relationships/hyperlink" Target="file:///teams/IND/2025.html" TargetMode="External"/><Relationship Id="rId1035" Type="http://schemas.openxmlformats.org/officeDocument/2006/relationships/hyperlink" Target="file:///teams/OKC/2025.html" TargetMode="External"/><Relationship Id="rId251" Type="http://schemas.openxmlformats.org/officeDocument/2006/relationships/hyperlink" Target="file:///players/t/thompam01.html" TargetMode="External"/><Relationship Id="rId489" Type="http://schemas.openxmlformats.org/officeDocument/2006/relationships/hyperlink" Target="file:///teams/GSW/2025.html" TargetMode="External"/><Relationship Id="rId696" Type="http://schemas.openxmlformats.org/officeDocument/2006/relationships/hyperlink" Target="file:///players/l/larsspe01.html" TargetMode="External"/><Relationship Id="rId917" Type="http://schemas.openxmlformats.org/officeDocument/2006/relationships/hyperlink" Target="file:///players/s/santogu01.html" TargetMode="External"/><Relationship Id="rId46" Type="http://schemas.openxmlformats.org/officeDocument/2006/relationships/hyperlink" Target="file:///teams/BOS/2025.html" TargetMode="External"/><Relationship Id="rId349" Type="http://schemas.openxmlformats.org/officeDocument/2006/relationships/hyperlink" Target="file:///players/g/goberru01.html" TargetMode="External"/><Relationship Id="rId556" Type="http://schemas.openxmlformats.org/officeDocument/2006/relationships/hyperlink" Target="file:///teams/POR/2025.html" TargetMode="External"/><Relationship Id="rId763" Type="http://schemas.openxmlformats.org/officeDocument/2006/relationships/hyperlink" Target="file:///teams/PHO/2025.html" TargetMode="External"/><Relationship Id="rId111" Type="http://schemas.openxmlformats.org/officeDocument/2006/relationships/hyperlink" Target="file:///players/m/mobleev01.html" TargetMode="External"/><Relationship Id="rId195" Type="http://schemas.openxmlformats.org/officeDocument/2006/relationships/hyperlink" Target="file:///teams/LAC/2025.html" TargetMode="External"/><Relationship Id="rId209" Type="http://schemas.openxmlformats.org/officeDocument/2006/relationships/hyperlink" Target="file:///teams/DEN/2025.html" TargetMode="External"/><Relationship Id="rId416" Type="http://schemas.openxmlformats.org/officeDocument/2006/relationships/hyperlink" Target="file:///players/m/missiyv01.html" TargetMode="External"/><Relationship Id="rId970" Type="http://schemas.openxmlformats.org/officeDocument/2006/relationships/hyperlink" Target="file:///teams/BOS/2025.html" TargetMode="External"/><Relationship Id="rId1046" Type="http://schemas.openxmlformats.org/officeDocument/2006/relationships/hyperlink" Target="file:///players/k/klintbo01.html" TargetMode="External"/><Relationship Id="rId623" Type="http://schemas.openxmlformats.org/officeDocument/2006/relationships/hyperlink" Target="file:///players/c/carusal01.html" TargetMode="External"/><Relationship Id="rId830" Type="http://schemas.openxmlformats.org/officeDocument/2006/relationships/hyperlink" Target="file:///players/a/adamsst01.html" TargetMode="External"/><Relationship Id="rId928" Type="http://schemas.openxmlformats.org/officeDocument/2006/relationships/hyperlink" Target="file:///teams/DAL/2025.html" TargetMode="External"/><Relationship Id="rId57" Type="http://schemas.openxmlformats.org/officeDocument/2006/relationships/hyperlink" Target="file:///players/m/mitchdo01.html" TargetMode="External"/><Relationship Id="rId262" Type="http://schemas.openxmlformats.org/officeDocument/2006/relationships/hyperlink" Target="file:///teams/PHO/2025.html" TargetMode="External"/><Relationship Id="rId567" Type="http://schemas.openxmlformats.org/officeDocument/2006/relationships/hyperlink" Target="file:///players/h/hortota01.html" TargetMode="External"/><Relationship Id="rId122" Type="http://schemas.openxmlformats.org/officeDocument/2006/relationships/hyperlink" Target="file:///teams/IND/2025.html" TargetMode="External"/><Relationship Id="rId774" Type="http://schemas.openxmlformats.org/officeDocument/2006/relationships/hyperlink" Target="file:///players/e/edwarju01.html" TargetMode="External"/><Relationship Id="rId981" Type="http://schemas.openxmlformats.org/officeDocument/2006/relationships/hyperlink" Target="file:///players/r/rhodeja01.html" TargetMode="External"/><Relationship Id="rId427" Type="http://schemas.openxmlformats.org/officeDocument/2006/relationships/hyperlink" Target="file:///teams/BRK/2025.html" TargetMode="External"/><Relationship Id="rId634" Type="http://schemas.openxmlformats.org/officeDocument/2006/relationships/hyperlink" Target="file:///players/b/bryanth01.html" TargetMode="External"/><Relationship Id="rId841" Type="http://schemas.openxmlformats.org/officeDocument/2006/relationships/hyperlink" Target="file:///teams/ORL/2025.html" TargetMode="External"/><Relationship Id="rId273" Type="http://schemas.openxmlformats.org/officeDocument/2006/relationships/hyperlink" Target="file:///players/k/kispeco01.html" TargetMode="External"/><Relationship Id="rId480" Type="http://schemas.openxmlformats.org/officeDocument/2006/relationships/hyperlink" Target="file:///players/m/mykhasv01.html" TargetMode="External"/><Relationship Id="rId701" Type="http://schemas.openxmlformats.org/officeDocument/2006/relationships/hyperlink" Target="file:///teams/UTA/2025.html" TargetMode="External"/><Relationship Id="rId939" Type="http://schemas.openxmlformats.org/officeDocument/2006/relationships/hyperlink" Target="file:///players/a/armeltr01.html" TargetMode="External"/><Relationship Id="rId68" Type="http://schemas.openxmlformats.org/officeDocument/2006/relationships/hyperlink" Target="file:///teams/NOP/2025.html" TargetMode="External"/><Relationship Id="rId133" Type="http://schemas.openxmlformats.org/officeDocument/2006/relationships/hyperlink" Target="file:///players/b/bridgmi02.html" TargetMode="External"/><Relationship Id="rId340" Type="http://schemas.openxmlformats.org/officeDocument/2006/relationships/hyperlink" Target="file:///teams/NOP/2025.html" TargetMode="External"/><Relationship Id="rId578" Type="http://schemas.openxmlformats.org/officeDocument/2006/relationships/hyperlink" Target="file:///teams/PHO/2025.html" TargetMode="External"/><Relationship Id="rId785" Type="http://schemas.openxmlformats.org/officeDocument/2006/relationships/hyperlink" Target="file:///teams/NYK/2025.html" TargetMode="External"/><Relationship Id="rId992" Type="http://schemas.openxmlformats.org/officeDocument/2006/relationships/hyperlink" Target="file:///players/c/cartodj01.html" TargetMode="External"/><Relationship Id="rId200" Type="http://schemas.openxmlformats.org/officeDocument/2006/relationships/hyperlink" Target="file:///players/a/allenja01.html" TargetMode="External"/><Relationship Id="rId438" Type="http://schemas.openxmlformats.org/officeDocument/2006/relationships/hyperlink" Target="file:///players/d/dasiltr01.html" TargetMode="External"/><Relationship Id="rId645" Type="http://schemas.openxmlformats.org/officeDocument/2006/relationships/hyperlink" Target="file:///teams/PHI/2025.html" TargetMode="External"/><Relationship Id="rId852" Type="http://schemas.openxmlformats.org/officeDocument/2006/relationships/hyperlink" Target="file:///players/l/liddeej01.html" TargetMode="External"/><Relationship Id="rId284" Type="http://schemas.openxmlformats.org/officeDocument/2006/relationships/hyperlink" Target="file:///teams/MEM/2025.html" TargetMode="External"/><Relationship Id="rId491" Type="http://schemas.openxmlformats.org/officeDocument/2006/relationships/hyperlink" Target="file:///teams/GSW/2025.html" TargetMode="External"/><Relationship Id="rId505" Type="http://schemas.openxmlformats.org/officeDocument/2006/relationships/hyperlink" Target="file:///teams/UTA/2025.html" TargetMode="External"/><Relationship Id="rId712" Type="http://schemas.openxmlformats.org/officeDocument/2006/relationships/hyperlink" Target="file:///players/l/lowryky01.html" TargetMode="External"/><Relationship Id="rId79" Type="http://schemas.openxmlformats.org/officeDocument/2006/relationships/hyperlink" Target="file:///players/g/garlada01.html" TargetMode="External"/><Relationship Id="rId144" Type="http://schemas.openxmlformats.org/officeDocument/2006/relationships/hyperlink" Target="file:///teams/SAC/2025.html" TargetMode="External"/><Relationship Id="rId589" Type="http://schemas.openxmlformats.org/officeDocument/2006/relationships/hyperlink" Target="file:///players/c/cartede02.html" TargetMode="External"/><Relationship Id="rId796" Type="http://schemas.openxmlformats.org/officeDocument/2006/relationships/hyperlink" Target="file:///players/s/sheppre01.html" TargetMode="External"/><Relationship Id="rId351" Type="http://schemas.openxmlformats.org/officeDocument/2006/relationships/hyperlink" Target="file:///players/l/leonaka01.html" TargetMode="External"/><Relationship Id="rId449" Type="http://schemas.openxmlformats.org/officeDocument/2006/relationships/hyperlink" Target="file:///teams/MEM/2025.html" TargetMode="External"/><Relationship Id="rId656" Type="http://schemas.openxmlformats.org/officeDocument/2006/relationships/hyperlink" Target="file:///players/s/sheadja01.html" TargetMode="External"/><Relationship Id="rId863" Type="http://schemas.openxmlformats.org/officeDocument/2006/relationships/hyperlink" Target="file:///teams/MIA/2025.html" TargetMode="External"/><Relationship Id="rId211" Type="http://schemas.openxmlformats.org/officeDocument/2006/relationships/hyperlink" Target="file:///teams/MIL/2025.html" TargetMode="External"/><Relationship Id="rId295" Type="http://schemas.openxmlformats.org/officeDocument/2006/relationships/hyperlink" Target="file:///players/b/bostobr01.html" TargetMode="External"/><Relationship Id="rId309" Type="http://schemas.openxmlformats.org/officeDocument/2006/relationships/hyperlink" Target="file:///players/c/castlst01.html" TargetMode="External"/><Relationship Id="rId516" Type="http://schemas.openxmlformats.org/officeDocument/2006/relationships/hyperlink" Target="file:///players/m/micicva01.html" TargetMode="External"/><Relationship Id="rId723" Type="http://schemas.openxmlformats.org/officeDocument/2006/relationships/hyperlink" Target="file:///teams/ORL/2025.html" TargetMode="External"/><Relationship Id="rId930" Type="http://schemas.openxmlformats.org/officeDocument/2006/relationships/hyperlink" Target="file:///teams/SAC/2025.html" TargetMode="External"/><Relationship Id="rId1006" Type="http://schemas.openxmlformats.org/officeDocument/2006/relationships/hyperlink" Target="file:///players/v/vukcetr01.html" TargetMode="External"/><Relationship Id="rId155" Type="http://schemas.openxmlformats.org/officeDocument/2006/relationships/hyperlink" Target="file:///players/m/mathube01.html" TargetMode="External"/><Relationship Id="rId362" Type="http://schemas.openxmlformats.org/officeDocument/2006/relationships/hyperlink" Target="file:///players/f/finnedo01.html" TargetMode="External"/><Relationship Id="rId222" Type="http://schemas.openxmlformats.org/officeDocument/2006/relationships/hyperlink" Target="file:///players/w/washipj01.html" TargetMode="External"/><Relationship Id="rId667" Type="http://schemas.openxmlformats.org/officeDocument/2006/relationships/hyperlink" Target="file:///teams/CHO/2025.html" TargetMode="External"/><Relationship Id="rId874" Type="http://schemas.openxmlformats.org/officeDocument/2006/relationships/hyperlink" Target="file:///players/p/prospol01.html" TargetMode="External"/><Relationship Id="rId17" Type="http://schemas.openxmlformats.org/officeDocument/2006/relationships/hyperlink" Target="file:///players/f/foxde01.html" TargetMode="External"/><Relationship Id="rId527" Type="http://schemas.openxmlformats.org/officeDocument/2006/relationships/hyperlink" Target="file:///teams/CHI/2025.html" TargetMode="External"/><Relationship Id="rId734" Type="http://schemas.openxmlformats.org/officeDocument/2006/relationships/hyperlink" Target="file:///players/g/garzalu01.html" TargetMode="External"/><Relationship Id="rId941" Type="http://schemas.openxmlformats.org/officeDocument/2006/relationships/hyperlink" Target="file:///players/c/castlco01.html" TargetMode="External"/><Relationship Id="rId70" Type="http://schemas.openxmlformats.org/officeDocument/2006/relationships/hyperlink" Target="file:///teams/NOP/2025.html" TargetMode="External"/><Relationship Id="rId166" Type="http://schemas.openxmlformats.org/officeDocument/2006/relationships/hyperlink" Target="file:///teams/MIA/2025.html" TargetMode="External"/><Relationship Id="rId373" Type="http://schemas.openxmlformats.org/officeDocument/2006/relationships/hyperlink" Target="file:///teams/MIL/2025.html" TargetMode="External"/><Relationship Id="rId580" Type="http://schemas.openxmlformats.org/officeDocument/2006/relationships/hyperlink" Target="file:///teams/TOR/2025.html" TargetMode="External"/><Relationship Id="rId801" Type="http://schemas.openxmlformats.org/officeDocument/2006/relationships/hyperlink" Target="file:///teams/BOS/2025.html" TargetMode="External"/><Relationship Id="rId1017" Type="http://schemas.openxmlformats.org/officeDocument/2006/relationships/hyperlink" Target="file:///teams/MIL/2025.html" TargetMode="External"/><Relationship Id="rId1" Type="http://schemas.openxmlformats.org/officeDocument/2006/relationships/hyperlink" Target="file:///players/j/jokicni01.html" TargetMode="External"/><Relationship Id="rId233" Type="http://schemas.openxmlformats.org/officeDocument/2006/relationships/hyperlink" Target="file:///teams/ORL/2025.html" TargetMode="External"/><Relationship Id="rId440" Type="http://schemas.openxmlformats.org/officeDocument/2006/relationships/hyperlink" Target="file:///players/j/jackstr02.html" TargetMode="External"/><Relationship Id="rId678" Type="http://schemas.openxmlformats.org/officeDocument/2006/relationships/hyperlink" Target="file:///players/b/buzelma01.html" TargetMode="External"/><Relationship Id="rId885" Type="http://schemas.openxmlformats.org/officeDocument/2006/relationships/hyperlink" Target="file:///players/r/robinor01.html" TargetMode="External"/><Relationship Id="rId28" Type="http://schemas.openxmlformats.org/officeDocument/2006/relationships/hyperlink" Target="file:///teams/SAS/2025.html" TargetMode="External"/><Relationship Id="rId300" Type="http://schemas.openxmlformats.org/officeDocument/2006/relationships/hyperlink" Target="file:///teams/DAL/2025.html" TargetMode="External"/><Relationship Id="rId538" Type="http://schemas.openxmlformats.org/officeDocument/2006/relationships/hyperlink" Target="file:///teams/BRK/2025.html" TargetMode="External"/><Relationship Id="rId745" Type="http://schemas.openxmlformats.org/officeDocument/2006/relationships/hyperlink" Target="file:///teams/PHO/2025.html" TargetMode="External"/><Relationship Id="rId952" Type="http://schemas.openxmlformats.org/officeDocument/2006/relationships/hyperlink" Target="file:///teams/NOP/2025.html" TargetMode="External"/><Relationship Id="rId81" Type="http://schemas.openxmlformats.org/officeDocument/2006/relationships/hyperlink" Target="file:///players/d/derozde01.html" TargetMode="External"/><Relationship Id="rId177" Type="http://schemas.openxmlformats.org/officeDocument/2006/relationships/hyperlink" Target="file:///teams/GSW/2025.html" TargetMode="External"/><Relationship Id="rId384" Type="http://schemas.openxmlformats.org/officeDocument/2006/relationships/hyperlink" Target="file:///players/m/mcdanja02.html" TargetMode="External"/><Relationship Id="rId591" Type="http://schemas.openxmlformats.org/officeDocument/2006/relationships/hyperlink" Target="file:///players/g/greenja02.html" TargetMode="External"/><Relationship Id="rId605" Type="http://schemas.openxmlformats.org/officeDocument/2006/relationships/hyperlink" Target="file:///players/s/sassema01.html" TargetMode="External"/><Relationship Id="rId812" Type="http://schemas.openxmlformats.org/officeDocument/2006/relationships/hyperlink" Target="file:///players/l/lawsoaj01.html" TargetMode="External"/><Relationship Id="rId1028" Type="http://schemas.openxmlformats.org/officeDocument/2006/relationships/hyperlink" Target="file:///players/t/toppija01.html" TargetMode="External"/><Relationship Id="rId244" Type="http://schemas.openxmlformats.org/officeDocument/2006/relationships/hyperlink" Target="file:///players/r/russeda01.html" TargetMode="External"/><Relationship Id="rId689" Type="http://schemas.openxmlformats.org/officeDocument/2006/relationships/hyperlink" Target="file:///teams/GSW/2025.html" TargetMode="External"/><Relationship Id="rId896" Type="http://schemas.openxmlformats.org/officeDocument/2006/relationships/hyperlink" Target="file:///teams/SAC/2025.html" TargetMode="External"/><Relationship Id="rId39" Type="http://schemas.openxmlformats.org/officeDocument/2006/relationships/hyperlink" Target="file:///players/w/wagnefr01.html" TargetMode="External"/><Relationship Id="rId451" Type="http://schemas.openxmlformats.org/officeDocument/2006/relationships/hyperlink" Target="file:///teams/ATL/2025.html" TargetMode="External"/><Relationship Id="rId549" Type="http://schemas.openxmlformats.org/officeDocument/2006/relationships/hyperlink" Target="file:///players/p/paytoel01.html" TargetMode="External"/><Relationship Id="rId756" Type="http://schemas.openxmlformats.org/officeDocument/2006/relationships/hyperlink" Target="file:///players/j/jonestr01.html" TargetMode="External"/><Relationship Id="rId104" Type="http://schemas.openxmlformats.org/officeDocument/2006/relationships/hyperlink" Target="file:///teams/BRK/2025.html" TargetMode="External"/><Relationship Id="rId188" Type="http://schemas.openxmlformats.org/officeDocument/2006/relationships/hyperlink" Target="file:///players/t/turnemy01.html" TargetMode="External"/><Relationship Id="rId311" Type="http://schemas.openxmlformats.org/officeDocument/2006/relationships/hyperlink" Target="file:///players/k/kesslwa01.html" TargetMode="External"/><Relationship Id="rId395" Type="http://schemas.openxmlformats.org/officeDocument/2006/relationships/hyperlink" Target="file:///teams/MIA/2025.html" TargetMode="External"/><Relationship Id="rId409" Type="http://schemas.openxmlformats.org/officeDocument/2006/relationships/hyperlink" Target="file:///teams/ORL/2025.html" TargetMode="External"/><Relationship Id="rId963" Type="http://schemas.openxmlformats.org/officeDocument/2006/relationships/hyperlink" Target="file:///players/d/davisjd01.html" TargetMode="External"/><Relationship Id="rId1039" Type="http://schemas.openxmlformats.org/officeDocument/2006/relationships/hyperlink" Target="file:///teams/MIN/2025.html" TargetMode="External"/><Relationship Id="rId92" Type="http://schemas.openxmlformats.org/officeDocument/2006/relationships/hyperlink" Target="file:///teams/HOU/2025.html" TargetMode="External"/><Relationship Id="rId616" Type="http://schemas.openxmlformats.org/officeDocument/2006/relationships/hyperlink" Target="file:///teams/NYK/2025.html" TargetMode="External"/><Relationship Id="rId823" Type="http://schemas.openxmlformats.org/officeDocument/2006/relationships/hyperlink" Target="file:///teams/POR/2025.html" TargetMode="External"/><Relationship Id="rId255" Type="http://schemas.openxmlformats.org/officeDocument/2006/relationships/hyperlink" Target="file:///players/m/middlkh01.html" TargetMode="External"/><Relationship Id="rId462" Type="http://schemas.openxmlformats.org/officeDocument/2006/relationships/hyperlink" Target="file:///players/w/watfotr01.html" TargetMode="External"/><Relationship Id="rId115" Type="http://schemas.openxmlformats.org/officeDocument/2006/relationships/hyperlink" Target="file:///players/s/simonan01.html" TargetMode="External"/><Relationship Id="rId322" Type="http://schemas.openxmlformats.org/officeDocument/2006/relationships/hyperlink" Target="file:///teams/DAL/2025.html" TargetMode="External"/><Relationship Id="rId767" Type="http://schemas.openxmlformats.org/officeDocument/2006/relationships/hyperlink" Target="file:///teams/LAC/2025.html" TargetMode="External"/><Relationship Id="rId974" Type="http://schemas.openxmlformats.org/officeDocument/2006/relationships/hyperlink" Target="file:///teams/BRK/2025.html" TargetMode="External"/><Relationship Id="rId199" Type="http://schemas.openxmlformats.org/officeDocument/2006/relationships/hyperlink" Target="file:///teams/NYK/2025.html" TargetMode="External"/><Relationship Id="rId627" Type="http://schemas.openxmlformats.org/officeDocument/2006/relationships/hyperlink" Target="file:///players/m/morrimo01.html" TargetMode="External"/><Relationship Id="rId834" Type="http://schemas.openxmlformats.org/officeDocument/2006/relationships/hyperlink" Target="file:///players/d/dowtije01.html" TargetMode="External"/><Relationship Id="rId266" Type="http://schemas.openxmlformats.org/officeDocument/2006/relationships/hyperlink" Target="file:///teams/SAS/2025.html" TargetMode="External"/><Relationship Id="rId473" Type="http://schemas.openxmlformats.org/officeDocument/2006/relationships/hyperlink" Target="file:///teams/CLE/2025.html" TargetMode="External"/><Relationship Id="rId680" Type="http://schemas.openxmlformats.org/officeDocument/2006/relationships/hyperlink" Target="file:///players/h/hendrita01.html" TargetMode="External"/><Relationship Id="rId901" Type="http://schemas.openxmlformats.org/officeDocument/2006/relationships/hyperlink" Target="file:///players/s/sanogad01.html" TargetMode="External"/><Relationship Id="rId30" Type="http://schemas.openxmlformats.org/officeDocument/2006/relationships/hyperlink" Target="file:///teams/NYK/2025.html" TargetMode="External"/><Relationship Id="rId126" Type="http://schemas.openxmlformats.org/officeDocument/2006/relationships/hyperlink" Target="file:///teams/LAL/2025.html" TargetMode="External"/><Relationship Id="rId333" Type="http://schemas.openxmlformats.org/officeDocument/2006/relationships/hyperlink" Target="file:///players/w/willigr01.html" TargetMode="External"/><Relationship Id="rId540" Type="http://schemas.openxmlformats.org/officeDocument/2006/relationships/hyperlink" Target="file:///teams/LAL/2025.html" TargetMode="External"/><Relationship Id="rId778" Type="http://schemas.openxmlformats.org/officeDocument/2006/relationships/hyperlink" Target="file:///players/g/greenje02.html" TargetMode="External"/><Relationship Id="rId985" Type="http://schemas.openxmlformats.org/officeDocument/2006/relationships/hyperlink" Target="file:///teams/LAL/2025.html" TargetMode="External"/><Relationship Id="rId638" Type="http://schemas.openxmlformats.org/officeDocument/2006/relationships/hyperlink" Target="file:///players/b/brownbr01.html" TargetMode="External"/><Relationship Id="rId845" Type="http://schemas.openxmlformats.org/officeDocument/2006/relationships/hyperlink" Target="file:///teams/IND/2025.html" TargetMode="External"/><Relationship Id="rId1030" Type="http://schemas.openxmlformats.org/officeDocument/2006/relationships/hyperlink" Target="file:///players/c/clarkja02.html" TargetMode="External"/><Relationship Id="rId277" Type="http://schemas.openxmlformats.org/officeDocument/2006/relationships/hyperlink" Target="file:///players/v/valanjo01.html" TargetMode="External"/><Relationship Id="rId400" Type="http://schemas.openxmlformats.org/officeDocument/2006/relationships/hyperlink" Target="file:///players/w/whitmca01.html" TargetMode="External"/><Relationship Id="rId484" Type="http://schemas.openxmlformats.org/officeDocument/2006/relationships/hyperlink" Target="file:///players/e/evbuoto01.html" TargetMode="External"/><Relationship Id="rId705" Type="http://schemas.openxmlformats.org/officeDocument/2006/relationships/hyperlink" Target="file:///teams/SAS/2025.html" TargetMode="External"/><Relationship Id="rId137" Type="http://schemas.openxmlformats.org/officeDocument/2006/relationships/hyperlink" Target="file:///players/b/butleji01.html" TargetMode="External"/><Relationship Id="rId344" Type="http://schemas.openxmlformats.org/officeDocument/2006/relationships/hyperlink" Target="file:///teams/MIN/2025.html" TargetMode="External"/><Relationship Id="rId691" Type="http://schemas.openxmlformats.org/officeDocument/2006/relationships/hyperlink" Target="file:///teams/CHI/2025.html" TargetMode="External"/><Relationship Id="rId789" Type="http://schemas.openxmlformats.org/officeDocument/2006/relationships/hyperlink" Target="file:///teams/DAL/2025.html" TargetMode="External"/><Relationship Id="rId912" Type="http://schemas.openxmlformats.org/officeDocument/2006/relationships/hyperlink" Target="file:///teams/MIL/2025.html" TargetMode="External"/><Relationship Id="rId996" Type="http://schemas.openxmlformats.org/officeDocument/2006/relationships/hyperlink" Target="file:///players/d/doziepj01.html" TargetMode="External"/><Relationship Id="rId41" Type="http://schemas.openxmlformats.org/officeDocument/2006/relationships/hyperlink" Target="file:///players/c/cunnica01.html" TargetMode="External"/><Relationship Id="rId551" Type="http://schemas.openxmlformats.org/officeDocument/2006/relationships/hyperlink" Target="file:///players/h/hollaro01.html" TargetMode="External"/><Relationship Id="rId649" Type="http://schemas.openxmlformats.org/officeDocument/2006/relationships/hyperlink" Target="file:///teams/ORL/2025.html" TargetMode="External"/><Relationship Id="rId856" Type="http://schemas.openxmlformats.org/officeDocument/2006/relationships/hyperlink" Target="file:///players/l/leeda03.html" TargetMode="External"/><Relationship Id="rId190" Type="http://schemas.openxmlformats.org/officeDocument/2006/relationships/hyperlink" Target="file:///players/v/vanvlfr01.html" TargetMode="External"/><Relationship Id="rId204" Type="http://schemas.openxmlformats.org/officeDocument/2006/relationships/hyperlink" Target="file:///players/a/avdijde01.html" TargetMode="External"/><Relationship Id="rId288" Type="http://schemas.openxmlformats.org/officeDocument/2006/relationships/hyperlink" Target="file:///teams/DAL/2025.html" TargetMode="External"/><Relationship Id="rId411" Type="http://schemas.openxmlformats.org/officeDocument/2006/relationships/hyperlink" Target="file:///teams/WAS/2025.html" TargetMode="External"/><Relationship Id="rId509" Type="http://schemas.openxmlformats.org/officeDocument/2006/relationships/hyperlink" Target="file:///teams/BRK/2025.html" TargetMode="External"/><Relationship Id="rId1041" Type="http://schemas.openxmlformats.org/officeDocument/2006/relationships/hyperlink" Target="file:///teams/SAS/2025.html" TargetMode="External"/><Relationship Id="rId495" Type="http://schemas.openxmlformats.org/officeDocument/2006/relationships/hyperlink" Target="file:///teams/BRK/2025.html" TargetMode="External"/><Relationship Id="rId716" Type="http://schemas.openxmlformats.org/officeDocument/2006/relationships/hyperlink" Target="file:///players/m/murrakr01.html" TargetMode="External"/><Relationship Id="rId923" Type="http://schemas.openxmlformats.org/officeDocument/2006/relationships/hyperlink" Target="file:///players/w/walshjo01.html" TargetMode="External"/><Relationship Id="rId52" Type="http://schemas.openxmlformats.org/officeDocument/2006/relationships/hyperlink" Target="file:///teams/MIA/2025.html" TargetMode="External"/><Relationship Id="rId148" Type="http://schemas.openxmlformats.org/officeDocument/2006/relationships/hyperlink" Target="file:///teams/MEM/2025.html" TargetMode="External"/><Relationship Id="rId355" Type="http://schemas.openxmlformats.org/officeDocument/2006/relationships/hyperlink" Target="file:///players/b/bitadgo01.html" TargetMode="External"/><Relationship Id="rId562" Type="http://schemas.openxmlformats.org/officeDocument/2006/relationships/hyperlink" Target="file:///teams/OKC/2025.html" TargetMode="External"/><Relationship Id="rId215" Type="http://schemas.openxmlformats.org/officeDocument/2006/relationships/hyperlink" Target="file:///teams/DAL/2025.html" TargetMode="External"/><Relationship Id="rId422" Type="http://schemas.openxmlformats.org/officeDocument/2006/relationships/hyperlink" Target="file:///players/s/smartma01.html" TargetMode="External"/><Relationship Id="rId867" Type="http://schemas.openxmlformats.org/officeDocument/2006/relationships/hyperlink" Target="file:///teams/DEN/2025.html" TargetMode="External"/><Relationship Id="rId1052" Type="http://schemas.openxmlformats.org/officeDocument/2006/relationships/hyperlink" Target="file:///players/m/minixri01.html" TargetMode="External"/><Relationship Id="rId299" Type="http://schemas.openxmlformats.org/officeDocument/2006/relationships/hyperlink" Target="file:///players/m/marshna01.html" TargetMode="External"/><Relationship Id="rId727" Type="http://schemas.openxmlformats.org/officeDocument/2006/relationships/hyperlink" Target="file:///teams/PHO/2025.html" TargetMode="External"/><Relationship Id="rId934" Type="http://schemas.openxmlformats.org/officeDocument/2006/relationships/hyperlink" Target="file:///teams/DAL/2025.html" TargetMode="External"/><Relationship Id="rId63" Type="http://schemas.openxmlformats.org/officeDocument/2006/relationships/hyperlink" Target="file:///players/w/willizi01.html" TargetMode="External"/><Relationship Id="rId159" Type="http://schemas.openxmlformats.org/officeDocument/2006/relationships/hyperlink" Target="file:///players/w/wiggian01.html" TargetMode="External"/><Relationship Id="rId366" Type="http://schemas.openxmlformats.org/officeDocument/2006/relationships/hyperlink" Target="file:///players/d/dortlu01.html" TargetMode="External"/><Relationship Id="rId573" Type="http://schemas.openxmlformats.org/officeDocument/2006/relationships/hyperlink" Target="file:///players/w/wadede01.html" TargetMode="External"/><Relationship Id="rId780" Type="http://schemas.openxmlformats.org/officeDocument/2006/relationships/hyperlink" Target="file:///players/r/reddica01.html" TargetMode="External"/><Relationship Id="rId226" Type="http://schemas.openxmlformats.org/officeDocument/2006/relationships/hyperlink" Target="file:///players/o/oubreke01.html" TargetMode="External"/><Relationship Id="rId433" Type="http://schemas.openxmlformats.org/officeDocument/2006/relationships/hyperlink" Target="file:///teams/MEM/2025.html" TargetMode="External"/><Relationship Id="rId878" Type="http://schemas.openxmlformats.org/officeDocument/2006/relationships/hyperlink" Target="file:///teams/GSW/2025.html" TargetMode="External"/><Relationship Id="rId640" Type="http://schemas.openxmlformats.org/officeDocument/2006/relationships/hyperlink" Target="file:///players/b/bufkiko01.html" TargetMode="External"/><Relationship Id="rId738" Type="http://schemas.openxmlformats.org/officeDocument/2006/relationships/hyperlink" Target="file:///players/t/terryda01.html" TargetMode="External"/><Relationship Id="rId945" Type="http://schemas.openxmlformats.org/officeDocument/2006/relationships/hyperlink" Target="file:///players/j/johnsaj01.html" TargetMode="External"/><Relationship Id="rId74" Type="http://schemas.openxmlformats.org/officeDocument/2006/relationships/hyperlink" Target="file:///teams/MEM/2025.html" TargetMode="External"/><Relationship Id="rId377" Type="http://schemas.openxmlformats.org/officeDocument/2006/relationships/hyperlink" Target="file:///teams/LAC/2025.html" TargetMode="External"/><Relationship Id="rId500" Type="http://schemas.openxmlformats.org/officeDocument/2006/relationships/hyperlink" Target="file:///players/j/jeffrda01.html" TargetMode="External"/><Relationship Id="rId584" Type="http://schemas.openxmlformats.org/officeDocument/2006/relationships/hyperlink" Target="file:///teams/OKC/2025.html" TargetMode="External"/><Relationship Id="rId805" Type="http://schemas.openxmlformats.org/officeDocument/2006/relationships/hyperlink" Target="file:///teams/DEN/2025.html" TargetMode="External"/><Relationship Id="rId5" Type="http://schemas.openxmlformats.org/officeDocument/2006/relationships/hyperlink" Target="file:///players/g/gilgesh01.html" TargetMode="External"/><Relationship Id="rId237" Type="http://schemas.openxmlformats.org/officeDocument/2006/relationships/hyperlink" Target="file:///teams/CHI/2025.html" TargetMode="External"/><Relationship Id="rId791" Type="http://schemas.openxmlformats.org/officeDocument/2006/relationships/hyperlink" Target="file:///teams/LAC/2025.html" TargetMode="External"/><Relationship Id="rId889" Type="http://schemas.openxmlformats.org/officeDocument/2006/relationships/hyperlink" Target="file:///players/h/hoodsja01.html" TargetMode="External"/><Relationship Id="rId444" Type="http://schemas.openxmlformats.org/officeDocument/2006/relationships/hyperlink" Target="file:///players/g/greendr01.html" TargetMode="External"/><Relationship Id="rId651" Type="http://schemas.openxmlformats.org/officeDocument/2006/relationships/hyperlink" Target="file:///teams/MEM/2025.html" TargetMode="External"/><Relationship Id="rId749" Type="http://schemas.openxmlformats.org/officeDocument/2006/relationships/hyperlink" Target="file:///teams/MIN/2025.html" TargetMode="External"/><Relationship Id="rId290" Type="http://schemas.openxmlformats.org/officeDocument/2006/relationships/hyperlink" Target="file:///teams/HOU/2025.html" TargetMode="External"/><Relationship Id="rId304" Type="http://schemas.openxmlformats.org/officeDocument/2006/relationships/hyperlink" Target="file:///teams/TOR/2025.html" TargetMode="External"/><Relationship Id="rId388" Type="http://schemas.openxmlformats.org/officeDocument/2006/relationships/hyperlink" Target="file:///players/d/dinwisp01.html" TargetMode="External"/><Relationship Id="rId511" Type="http://schemas.openxmlformats.org/officeDocument/2006/relationships/hyperlink" Target="file:///teams/CHO/2025.html" TargetMode="External"/><Relationship Id="rId609" Type="http://schemas.openxmlformats.org/officeDocument/2006/relationships/hyperlink" Target="file:///players/w/wareke01.html" TargetMode="External"/><Relationship Id="rId956" Type="http://schemas.openxmlformats.org/officeDocument/2006/relationships/hyperlink" Target="file:///teams/NYK/2025.html" TargetMode="External"/><Relationship Id="rId85" Type="http://schemas.openxmlformats.org/officeDocument/2006/relationships/hyperlink" Target="file:///players/w/willija06.html" TargetMode="External"/><Relationship Id="rId150" Type="http://schemas.openxmlformats.org/officeDocument/2006/relationships/hyperlink" Target="file:///teams/NYK/2025.html" TargetMode="External"/><Relationship Id="rId595" Type="http://schemas.openxmlformats.org/officeDocument/2006/relationships/hyperlink" Target="file:///players/w/wisemja01.html" TargetMode="External"/><Relationship Id="rId816" Type="http://schemas.openxmlformats.org/officeDocument/2006/relationships/hyperlink" Target="file:///players/m/mooreta02.html" TargetMode="External"/><Relationship Id="rId1001" Type="http://schemas.openxmlformats.org/officeDocument/2006/relationships/hyperlink" Target="file:///teams/DEN/2025.html" TargetMode="External"/><Relationship Id="rId248" Type="http://schemas.openxmlformats.org/officeDocument/2006/relationships/hyperlink" Target="file:///teams/BRK/2025.html" TargetMode="External"/><Relationship Id="rId455" Type="http://schemas.openxmlformats.org/officeDocument/2006/relationships/hyperlink" Target="file:///teams/CLE/2025.html" TargetMode="External"/><Relationship Id="rId662" Type="http://schemas.openxmlformats.org/officeDocument/2006/relationships/hyperlink" Target="file:///players/a/anderky01.html" TargetMode="External"/><Relationship Id="rId12" Type="http://schemas.openxmlformats.org/officeDocument/2006/relationships/hyperlink" Target="file:///teams/DAL/2025.html" TargetMode="External"/><Relationship Id="rId108" Type="http://schemas.openxmlformats.org/officeDocument/2006/relationships/hyperlink" Target="file:///teams/DEN/2025.html" TargetMode="External"/><Relationship Id="rId315" Type="http://schemas.openxmlformats.org/officeDocument/2006/relationships/hyperlink" Target="file:///players/r/risacza01.html" TargetMode="External"/><Relationship Id="rId522" Type="http://schemas.openxmlformats.org/officeDocument/2006/relationships/hyperlink" Target="file:///players/j/jacksis01.html" TargetMode="External"/><Relationship Id="rId967" Type="http://schemas.openxmlformats.org/officeDocument/2006/relationships/hyperlink" Target="file:///players/j/jonesco02.html" TargetMode="External"/><Relationship Id="rId96" Type="http://schemas.openxmlformats.org/officeDocument/2006/relationships/hyperlink" Target="file:///teams/UTA/2025.html" TargetMode="External"/><Relationship Id="rId161" Type="http://schemas.openxmlformats.org/officeDocument/2006/relationships/hyperlink" Target="file:///players/b/beaslma01.html" TargetMode="External"/><Relationship Id="rId399" Type="http://schemas.openxmlformats.org/officeDocument/2006/relationships/hyperlink" Target="file:///teams/DEN/2025.html" TargetMode="External"/><Relationship Id="rId827" Type="http://schemas.openxmlformats.org/officeDocument/2006/relationships/hyperlink" Target="file:///teams/OKC/2025.html" TargetMode="External"/><Relationship Id="rId1012" Type="http://schemas.openxmlformats.org/officeDocument/2006/relationships/hyperlink" Target="file:///players/n/newtotr01.html" TargetMode="External"/><Relationship Id="rId259" Type="http://schemas.openxmlformats.org/officeDocument/2006/relationships/hyperlink" Target="file:///players/h/holidjr01.html" TargetMode="External"/><Relationship Id="rId466" Type="http://schemas.openxmlformats.org/officeDocument/2006/relationships/hyperlink" Target="file:///players/h/hardyja02.html" TargetMode="External"/><Relationship Id="rId673" Type="http://schemas.openxmlformats.org/officeDocument/2006/relationships/hyperlink" Target="file:///teams/UTA/2025.html" TargetMode="External"/><Relationship Id="rId880" Type="http://schemas.openxmlformats.org/officeDocument/2006/relationships/hyperlink" Target="file:///teams/BRK/2025.html" TargetMode="External"/><Relationship Id="rId23" Type="http://schemas.openxmlformats.org/officeDocument/2006/relationships/hyperlink" Target="file:///players/m/maxeyty01.html" TargetMode="External"/><Relationship Id="rId119" Type="http://schemas.openxmlformats.org/officeDocument/2006/relationships/hyperlink" Target="file:///players/b/bridgmi01.html" TargetMode="External"/><Relationship Id="rId326" Type="http://schemas.openxmlformats.org/officeDocument/2006/relationships/hyperlink" Target="file:///teams/NOP/2025.html" TargetMode="External"/><Relationship Id="rId533" Type="http://schemas.openxmlformats.org/officeDocument/2006/relationships/hyperlink" Target="file:///teams/CLE/2025.html" TargetMode="External"/><Relationship Id="rId978" Type="http://schemas.openxmlformats.org/officeDocument/2006/relationships/hyperlink" Target="file:///teams/MIN/2025.html" TargetMode="External"/><Relationship Id="rId740" Type="http://schemas.openxmlformats.org/officeDocument/2006/relationships/hyperlink" Target="file:///players/t/theisda01.html" TargetMode="External"/><Relationship Id="rId838" Type="http://schemas.openxmlformats.org/officeDocument/2006/relationships/hyperlink" Target="file:///players/d/duartch01.html" TargetMode="External"/><Relationship Id="rId1023" Type="http://schemas.openxmlformats.org/officeDocument/2006/relationships/hyperlink" Target="file:///teams/PHO/2025.html" TargetMode="External"/><Relationship Id="rId172" Type="http://schemas.openxmlformats.org/officeDocument/2006/relationships/hyperlink" Target="file:///teams/UTA/2025.html" TargetMode="External"/><Relationship Id="rId477" Type="http://schemas.openxmlformats.org/officeDocument/2006/relationships/hyperlink" Target="file:///teams/MIN/2025.html" TargetMode="External"/><Relationship Id="rId600" Type="http://schemas.openxmlformats.org/officeDocument/2006/relationships/hyperlink" Target="file:///teams/BRK/2025.html" TargetMode="External"/><Relationship Id="rId684" Type="http://schemas.openxmlformats.org/officeDocument/2006/relationships/hyperlink" Target="file:///players/w/wallake01.html" TargetMode="External"/><Relationship Id="rId337" Type="http://schemas.openxmlformats.org/officeDocument/2006/relationships/hyperlink" Target="file:///players/e/edeyza01.html" TargetMode="External"/><Relationship Id="rId891" Type="http://schemas.openxmlformats.org/officeDocument/2006/relationships/hyperlink" Target="file:///players/j/jonesdi01.html" TargetMode="External"/><Relationship Id="rId905" Type="http://schemas.openxmlformats.org/officeDocument/2006/relationships/hyperlink" Target="file:///players/t/tysonja01.html" TargetMode="External"/><Relationship Id="rId989" Type="http://schemas.openxmlformats.org/officeDocument/2006/relationships/hyperlink" Target="file:///teams/ATL/2025.html" TargetMode="External"/><Relationship Id="rId34" Type="http://schemas.openxmlformats.org/officeDocument/2006/relationships/hyperlink" Target="file:///teams/BRK/2025.html" TargetMode="External"/><Relationship Id="rId544" Type="http://schemas.openxmlformats.org/officeDocument/2006/relationships/hyperlink" Target="file:///teams/DET/2025.html" TargetMode="External"/><Relationship Id="rId751" Type="http://schemas.openxmlformats.org/officeDocument/2006/relationships/hyperlink" Target="file:///teams/SAS/2025.html" TargetMode="External"/><Relationship Id="rId849" Type="http://schemas.openxmlformats.org/officeDocument/2006/relationships/hyperlink" Target="file:///teams/WAS/2025.html" TargetMode="External"/><Relationship Id="rId183" Type="http://schemas.openxmlformats.org/officeDocument/2006/relationships/hyperlink" Target="file:///teams/WAS/2025.html" TargetMode="External"/><Relationship Id="rId390" Type="http://schemas.openxmlformats.org/officeDocument/2006/relationships/hyperlink" Target="file:///players/d/durenja01.html" TargetMode="External"/><Relationship Id="rId404" Type="http://schemas.openxmlformats.org/officeDocument/2006/relationships/hyperlink" Target="file:///players/s/sensabr01.html" TargetMode="External"/><Relationship Id="rId611" Type="http://schemas.openxmlformats.org/officeDocument/2006/relationships/hyperlink" Target="file:///players/j/jacksqu01.html" TargetMode="External"/><Relationship Id="rId1034" Type="http://schemas.openxmlformats.org/officeDocument/2006/relationships/hyperlink" Target="file:///players/d/ducasal01.html" TargetMode="External"/><Relationship Id="rId250" Type="http://schemas.openxmlformats.org/officeDocument/2006/relationships/hyperlink" Target="file:///teams/MIL/2025.html" TargetMode="External"/><Relationship Id="rId488" Type="http://schemas.openxmlformats.org/officeDocument/2006/relationships/hyperlink" Target="file:///players/m/moodymo01.html" TargetMode="External"/><Relationship Id="rId695" Type="http://schemas.openxmlformats.org/officeDocument/2006/relationships/hyperlink" Target="file:///teams/BOS/2025.html" TargetMode="External"/><Relationship Id="rId709" Type="http://schemas.openxmlformats.org/officeDocument/2006/relationships/hyperlink" Target="file:///teams/CHO/2025.html" TargetMode="External"/><Relationship Id="rId916" Type="http://schemas.openxmlformats.org/officeDocument/2006/relationships/hyperlink" Target="file:///teams/NYK/2025.html" TargetMode="External"/><Relationship Id="rId45" Type="http://schemas.openxmlformats.org/officeDocument/2006/relationships/hyperlink" Target="file:///players/b/brownja02.html" TargetMode="External"/><Relationship Id="rId110" Type="http://schemas.openxmlformats.org/officeDocument/2006/relationships/hyperlink" Target="file:///teams/HOU/2025.html" TargetMode="External"/><Relationship Id="rId348" Type="http://schemas.openxmlformats.org/officeDocument/2006/relationships/hyperlink" Target="file:///teams/PHI/2025.html" TargetMode="External"/><Relationship Id="rId555" Type="http://schemas.openxmlformats.org/officeDocument/2006/relationships/hyperlink" Target="file:///players/w/williro04.html" TargetMode="External"/><Relationship Id="rId762" Type="http://schemas.openxmlformats.org/officeDocument/2006/relationships/hyperlink" Target="file:///players/b/bolbo01.html" TargetMode="External"/><Relationship Id="rId194" Type="http://schemas.openxmlformats.org/officeDocument/2006/relationships/hyperlink" Target="file:///players/z/zubaciv01.html" TargetMode="External"/><Relationship Id="rId208" Type="http://schemas.openxmlformats.org/officeDocument/2006/relationships/hyperlink" Target="file:///players/b/braunch01.html" TargetMode="External"/><Relationship Id="rId415" Type="http://schemas.openxmlformats.org/officeDocument/2006/relationships/hyperlink" Target="file:///teams/PHI/2025.html" TargetMode="External"/><Relationship Id="rId622" Type="http://schemas.openxmlformats.org/officeDocument/2006/relationships/hyperlink" Target="file:///teams/SAS/2025.html" TargetMode="External"/><Relationship Id="rId1045" Type="http://schemas.openxmlformats.org/officeDocument/2006/relationships/hyperlink" Target="file:///teams/SAC/2025.html" TargetMode="External"/><Relationship Id="rId261" Type="http://schemas.openxmlformats.org/officeDocument/2006/relationships/hyperlink" Target="file:///players/j/jonesty01.html" TargetMode="External"/><Relationship Id="rId499" Type="http://schemas.openxmlformats.org/officeDocument/2006/relationships/hyperlink" Target="file:///teams/MEM/2025.html" TargetMode="External"/><Relationship Id="rId927" Type="http://schemas.openxmlformats.org/officeDocument/2006/relationships/hyperlink" Target="file:///players/g/gortmja01.html" TargetMode="External"/><Relationship Id="rId56" Type="http://schemas.openxmlformats.org/officeDocument/2006/relationships/hyperlink" Target="file:///teams/TOR/2025.html" TargetMode="External"/><Relationship Id="rId359" Type="http://schemas.openxmlformats.org/officeDocument/2006/relationships/hyperlink" Target="file:///players/f/finnedo01.html" TargetMode="External"/><Relationship Id="rId566" Type="http://schemas.openxmlformats.org/officeDocument/2006/relationships/hyperlink" Target="file:///teams/MIA/2025.html" TargetMode="External"/><Relationship Id="rId773" Type="http://schemas.openxmlformats.org/officeDocument/2006/relationships/hyperlink" Target="file:///teams/CHO/2025.html" TargetMode="External"/><Relationship Id="rId121" Type="http://schemas.openxmlformats.org/officeDocument/2006/relationships/hyperlink" Target="file:///players/h/halibty01.html" TargetMode="External"/><Relationship Id="rId219" Type="http://schemas.openxmlformats.org/officeDocument/2006/relationships/hyperlink" Target="file:///teams/HOU/2025.html" TargetMode="External"/><Relationship Id="rId426" Type="http://schemas.openxmlformats.org/officeDocument/2006/relationships/hyperlink" Target="file:///players/w/wilsoja03.html" TargetMode="External"/><Relationship Id="rId633" Type="http://schemas.openxmlformats.org/officeDocument/2006/relationships/hyperlink" Target="file:///teams/MIA/2025.html" TargetMode="External"/><Relationship Id="rId980" Type="http://schemas.openxmlformats.org/officeDocument/2006/relationships/hyperlink" Target="file:///teams/GSW/2025.html" TargetMode="External"/><Relationship Id="rId1056" Type="http://schemas.openxmlformats.org/officeDocument/2006/relationships/queryTable" Target="../queryTables/queryTable1.xml"/><Relationship Id="rId840" Type="http://schemas.openxmlformats.org/officeDocument/2006/relationships/hyperlink" Target="file:///players/h/houstca01.html" TargetMode="External"/><Relationship Id="rId938" Type="http://schemas.openxmlformats.org/officeDocument/2006/relationships/hyperlink" Target="file:///teams/GSW/2025.html" TargetMode="External"/><Relationship Id="rId67" Type="http://schemas.openxmlformats.org/officeDocument/2006/relationships/hyperlink" Target="file:///players/i/ingrabr01.html" TargetMode="External"/><Relationship Id="rId272" Type="http://schemas.openxmlformats.org/officeDocument/2006/relationships/hyperlink" Target="file:///teams/LAL/2025.html" TargetMode="External"/><Relationship Id="rId577" Type="http://schemas.openxmlformats.org/officeDocument/2006/relationships/hyperlink" Target="file:///players/o/okogijo01.html" TargetMode="External"/><Relationship Id="rId700" Type="http://schemas.openxmlformats.org/officeDocument/2006/relationships/hyperlink" Target="file:///players/m/millspa02.html" TargetMode="External"/><Relationship Id="rId132" Type="http://schemas.openxmlformats.org/officeDocument/2006/relationships/hyperlink" Target="file:///teams/UTA/2025.html" TargetMode="External"/><Relationship Id="rId784" Type="http://schemas.openxmlformats.org/officeDocument/2006/relationships/hyperlink" Target="file:///players/s/shamela01.html" TargetMode="External"/><Relationship Id="rId991" Type="http://schemas.openxmlformats.org/officeDocument/2006/relationships/hyperlink" Target="file:///teams/DEN/2025.html" TargetMode="External"/><Relationship Id="rId437" Type="http://schemas.openxmlformats.org/officeDocument/2006/relationships/hyperlink" Target="file:///teams/MIN/2025.html" TargetMode="External"/><Relationship Id="rId644" Type="http://schemas.openxmlformats.org/officeDocument/2006/relationships/hyperlink" Target="file:///players/g/gordoer01.html" TargetMode="External"/><Relationship Id="rId851" Type="http://schemas.openxmlformats.org/officeDocument/2006/relationships/hyperlink" Target="file:///teams/DAL/2025.html" TargetMode="External"/><Relationship Id="rId283" Type="http://schemas.openxmlformats.org/officeDocument/2006/relationships/hyperlink" Target="file:///players/w/wellsja01.html" TargetMode="External"/><Relationship Id="rId490" Type="http://schemas.openxmlformats.org/officeDocument/2006/relationships/hyperlink" Target="file:///players/p/podzibr01.html" TargetMode="External"/><Relationship Id="rId504" Type="http://schemas.openxmlformats.org/officeDocument/2006/relationships/hyperlink" Target="file:///players/j/juzanjo01.html" TargetMode="External"/><Relationship Id="rId711" Type="http://schemas.openxmlformats.org/officeDocument/2006/relationships/hyperlink" Target="file:///teams/CHO/2025.html" TargetMode="External"/><Relationship Id="rId949" Type="http://schemas.openxmlformats.org/officeDocument/2006/relationships/hyperlink" Target="file:///players/j/johnsja01.html" TargetMode="External"/><Relationship Id="rId78" Type="http://schemas.openxmlformats.org/officeDocument/2006/relationships/hyperlink" Target="file:///teams/CHO/2025.html" TargetMode="External"/><Relationship Id="rId143" Type="http://schemas.openxmlformats.org/officeDocument/2006/relationships/hyperlink" Target="file:///players/m/monkma01.html" TargetMode="External"/><Relationship Id="rId350" Type="http://schemas.openxmlformats.org/officeDocument/2006/relationships/hyperlink" Target="file:///teams/MIN/2025.html" TargetMode="External"/><Relationship Id="rId588" Type="http://schemas.openxmlformats.org/officeDocument/2006/relationships/hyperlink" Target="file:///teams/TOR/2025.html" TargetMode="External"/><Relationship Id="rId795" Type="http://schemas.openxmlformats.org/officeDocument/2006/relationships/hyperlink" Target="file:///teams/DEN/2025.html" TargetMode="External"/><Relationship Id="rId809" Type="http://schemas.openxmlformats.org/officeDocument/2006/relationships/hyperlink" Target="file:///teams/PHO/2025.html" TargetMode="External"/><Relationship Id="rId9" Type="http://schemas.openxmlformats.org/officeDocument/2006/relationships/hyperlink" Target="file:///players/b/banchpa01.html" TargetMode="External"/><Relationship Id="rId210" Type="http://schemas.openxmlformats.org/officeDocument/2006/relationships/hyperlink" Target="file:///players/p/portibo01.html" TargetMode="External"/><Relationship Id="rId448" Type="http://schemas.openxmlformats.org/officeDocument/2006/relationships/hyperlink" Target="file:///players/k/kennalu01.html" TargetMode="External"/><Relationship Id="rId655" Type="http://schemas.openxmlformats.org/officeDocument/2006/relationships/hyperlink" Target="file:///teams/ATL/2025.html" TargetMode="External"/><Relationship Id="rId862" Type="http://schemas.openxmlformats.org/officeDocument/2006/relationships/hyperlink" Target="file:///players/j/johnske10.html" TargetMode="External"/><Relationship Id="rId294" Type="http://schemas.openxmlformats.org/officeDocument/2006/relationships/hyperlink" Target="file:///teams/POR/2025.html" TargetMode="External"/><Relationship Id="rId308" Type="http://schemas.openxmlformats.org/officeDocument/2006/relationships/hyperlink" Target="file:///teams/ATL/2025.html" TargetMode="External"/><Relationship Id="rId515" Type="http://schemas.openxmlformats.org/officeDocument/2006/relationships/hyperlink" Target="file:///teams/SAC/2025.html" TargetMode="External"/><Relationship Id="rId722" Type="http://schemas.openxmlformats.org/officeDocument/2006/relationships/hyperlink" Target="file:///players/h/harriga01.html" TargetMode="External"/><Relationship Id="rId89" Type="http://schemas.openxmlformats.org/officeDocument/2006/relationships/hyperlink" Target="file:///players/b/barnesc01.html" TargetMode="External"/><Relationship Id="rId154" Type="http://schemas.openxmlformats.org/officeDocument/2006/relationships/hyperlink" Target="file:///teams/OKC/2025.html" TargetMode="External"/><Relationship Id="rId361" Type="http://schemas.openxmlformats.org/officeDocument/2006/relationships/hyperlink" Target="file:///teams/BRK/2025.html" TargetMode="External"/><Relationship Id="rId599" Type="http://schemas.openxmlformats.org/officeDocument/2006/relationships/hyperlink" Target="file:///players/s/simmobe01.html" TargetMode="External"/><Relationship Id="rId1005" Type="http://schemas.openxmlformats.org/officeDocument/2006/relationships/hyperlink" Target="file:///teams/MIL/2025.html" TargetMode="External"/><Relationship Id="rId459" Type="http://schemas.openxmlformats.org/officeDocument/2006/relationships/hyperlink" Target="file:///teams/NOP/2025.html" TargetMode="External"/><Relationship Id="rId666" Type="http://schemas.openxmlformats.org/officeDocument/2006/relationships/hyperlink" Target="file:///players/s/salauti01.html" TargetMode="External"/><Relationship Id="rId873" Type="http://schemas.openxmlformats.org/officeDocument/2006/relationships/hyperlink" Target="file:///teams/NYK/2025.html" TargetMode="External"/><Relationship Id="rId16" Type="http://schemas.openxmlformats.org/officeDocument/2006/relationships/hyperlink" Target="file:///teams/PHO/2025.html" TargetMode="External"/><Relationship Id="rId221" Type="http://schemas.openxmlformats.org/officeDocument/2006/relationships/hyperlink" Target="file:///teams/SAS/2025.html" TargetMode="External"/><Relationship Id="rId319" Type="http://schemas.openxmlformats.org/officeDocument/2006/relationships/hyperlink" Target="file:///players/c/coffeam01.html" TargetMode="External"/><Relationship Id="rId526" Type="http://schemas.openxmlformats.org/officeDocument/2006/relationships/hyperlink" Target="file:///players/c/craigto01.html" TargetMode="External"/><Relationship Id="rId733" Type="http://schemas.openxmlformats.org/officeDocument/2006/relationships/hyperlink" Target="file:///teams/CLE/2025.html" TargetMode="External"/><Relationship Id="rId940" Type="http://schemas.openxmlformats.org/officeDocument/2006/relationships/hyperlink" Target="file:///teams/LAL/2025.html" TargetMode="External"/><Relationship Id="rId1016" Type="http://schemas.openxmlformats.org/officeDocument/2006/relationships/hyperlink" Target="file:///players/u/umudest01.html" TargetMode="External"/><Relationship Id="rId165" Type="http://schemas.openxmlformats.org/officeDocument/2006/relationships/hyperlink" Target="file:///players/a/adebaba01.html" TargetMode="External"/><Relationship Id="rId372" Type="http://schemas.openxmlformats.org/officeDocument/2006/relationships/hyperlink" Target="file:///players/t/trentga02.html" TargetMode="External"/><Relationship Id="rId677" Type="http://schemas.openxmlformats.org/officeDocument/2006/relationships/hyperlink" Target="file:///teams/DET/2025.html" TargetMode="External"/><Relationship Id="rId800" Type="http://schemas.openxmlformats.org/officeDocument/2006/relationships/hyperlink" Target="file:///players/p/peterdr01.html" TargetMode="External"/><Relationship Id="rId232" Type="http://schemas.openxmlformats.org/officeDocument/2006/relationships/hyperlink" Target="file:///players/w/wagnemo01.html" TargetMode="External"/><Relationship Id="rId884" Type="http://schemas.openxmlformats.org/officeDocument/2006/relationships/hyperlink" Target="file:///teams/LAL/2025.html" TargetMode="External"/><Relationship Id="rId27" Type="http://schemas.openxmlformats.org/officeDocument/2006/relationships/hyperlink" Target="file:///players/w/wembavi01.html" TargetMode="External"/><Relationship Id="rId537" Type="http://schemas.openxmlformats.org/officeDocument/2006/relationships/hyperlink" Target="file:///players/m/miltosh01.html" TargetMode="External"/><Relationship Id="rId744" Type="http://schemas.openxmlformats.org/officeDocument/2006/relationships/hyperlink" Target="file:///players/i/ighodos01.html" TargetMode="External"/><Relationship Id="rId951" Type="http://schemas.openxmlformats.org/officeDocument/2006/relationships/hyperlink" Target="file:///players/m/matkoka01.html" TargetMode="External"/><Relationship Id="rId80" Type="http://schemas.openxmlformats.org/officeDocument/2006/relationships/hyperlink" Target="file:///teams/CLE/2025.html" TargetMode="External"/><Relationship Id="rId176" Type="http://schemas.openxmlformats.org/officeDocument/2006/relationships/hyperlink" Target="file:///players/s/schrode01.html" TargetMode="External"/><Relationship Id="rId383" Type="http://schemas.openxmlformats.org/officeDocument/2006/relationships/hyperlink" Target="file:///teams/ATL/2025.html" TargetMode="External"/><Relationship Id="rId590" Type="http://schemas.openxmlformats.org/officeDocument/2006/relationships/hyperlink" Target="file:///teams/SAC/2025.html" TargetMode="External"/><Relationship Id="rId604" Type="http://schemas.openxmlformats.org/officeDocument/2006/relationships/hyperlink" Target="file:///teams/ORL/2025.html" TargetMode="External"/><Relationship Id="rId811" Type="http://schemas.openxmlformats.org/officeDocument/2006/relationships/hyperlink" Target="file:///teams/MEM/2025.html" TargetMode="External"/><Relationship Id="rId1027" Type="http://schemas.openxmlformats.org/officeDocument/2006/relationships/hyperlink" Target="file:///teams/MIN/2025.html" TargetMode="External"/><Relationship Id="rId243" Type="http://schemas.openxmlformats.org/officeDocument/2006/relationships/hyperlink" Target="file:///teams/SAS/2025.html" TargetMode="External"/><Relationship Id="rId450" Type="http://schemas.openxmlformats.org/officeDocument/2006/relationships/hyperlink" Target="file:///players/m/mathega01.html" TargetMode="External"/><Relationship Id="rId688" Type="http://schemas.openxmlformats.org/officeDocument/2006/relationships/hyperlink" Target="file:///players/p/paytoga02.html" TargetMode="External"/><Relationship Id="rId895" Type="http://schemas.openxmlformats.org/officeDocument/2006/relationships/hyperlink" Target="file:///players/m/mclaujo01.html" TargetMode="External"/><Relationship Id="rId909" Type="http://schemas.openxmlformats.org/officeDocument/2006/relationships/hyperlink" Target="file:///players/b/bonaad01.html" TargetMode="External"/><Relationship Id="rId38" Type="http://schemas.openxmlformats.org/officeDocument/2006/relationships/hyperlink" Target="file:///teams/PHI/2025.html" TargetMode="External"/><Relationship Id="rId103" Type="http://schemas.openxmlformats.org/officeDocument/2006/relationships/hyperlink" Target="file:///players/j/johnsca02.html" TargetMode="External"/><Relationship Id="rId310" Type="http://schemas.openxmlformats.org/officeDocument/2006/relationships/hyperlink" Target="file:///teams/SAS/2025.html" TargetMode="External"/><Relationship Id="rId548" Type="http://schemas.openxmlformats.org/officeDocument/2006/relationships/hyperlink" Target="file:///teams/NYK/2025.html" TargetMode="External"/><Relationship Id="rId755" Type="http://schemas.openxmlformats.org/officeDocument/2006/relationships/hyperlink" Target="file:///teams/SAC/2025.html" TargetMode="External"/><Relationship Id="rId962" Type="http://schemas.openxmlformats.org/officeDocument/2006/relationships/hyperlink" Target="file:///teams/SAS/2025.html" TargetMode="External"/><Relationship Id="rId91" Type="http://schemas.openxmlformats.org/officeDocument/2006/relationships/hyperlink" Target="file:///players/g/greenja05.html" TargetMode="External"/><Relationship Id="rId187" Type="http://schemas.openxmlformats.org/officeDocument/2006/relationships/hyperlink" Target="file:///teams/TOR/2025.html" TargetMode="External"/><Relationship Id="rId394" Type="http://schemas.openxmlformats.org/officeDocument/2006/relationships/hyperlink" Target="file:///players/j/jovicni01.html" TargetMode="External"/><Relationship Id="rId408" Type="http://schemas.openxmlformats.org/officeDocument/2006/relationships/hyperlink" Target="file:///players/c/caldwke01.html" TargetMode="External"/><Relationship Id="rId615" Type="http://schemas.openxmlformats.org/officeDocument/2006/relationships/hyperlink" Target="file:///players/a/achiupr01.html" TargetMode="External"/><Relationship Id="rId822" Type="http://schemas.openxmlformats.org/officeDocument/2006/relationships/hyperlink" Target="file:///players/r/ruperra01.html" TargetMode="External"/><Relationship Id="rId1038" Type="http://schemas.openxmlformats.org/officeDocument/2006/relationships/hyperlink" Target="file:///players/i/inglejo01.html" TargetMode="External"/><Relationship Id="rId254" Type="http://schemas.openxmlformats.org/officeDocument/2006/relationships/hyperlink" Target="file:///teams/GSW/2025.html" TargetMode="External"/><Relationship Id="rId699" Type="http://schemas.openxmlformats.org/officeDocument/2006/relationships/hyperlink" Target="file:///teams/SAS/2025.html" TargetMode="External"/><Relationship Id="rId49" Type="http://schemas.openxmlformats.org/officeDocument/2006/relationships/hyperlink" Target="file:///players/p/powelno01.html" TargetMode="External"/><Relationship Id="rId114" Type="http://schemas.openxmlformats.org/officeDocument/2006/relationships/hyperlink" Target="file:///teams/DEN/2025.html" TargetMode="External"/><Relationship Id="rId461" Type="http://schemas.openxmlformats.org/officeDocument/2006/relationships/hyperlink" Target="file:///teams/ORL/2025.html" TargetMode="External"/><Relationship Id="rId559" Type="http://schemas.openxmlformats.org/officeDocument/2006/relationships/hyperlink" Target="file:///players/m/martike04.html" TargetMode="External"/><Relationship Id="rId766" Type="http://schemas.openxmlformats.org/officeDocument/2006/relationships/hyperlink" Target="file:///players/b/batumni01.html" TargetMode="External"/><Relationship Id="rId198" Type="http://schemas.openxmlformats.org/officeDocument/2006/relationships/hyperlink" Target="file:///players/h/hartjo01.html" TargetMode="External"/><Relationship Id="rId321" Type="http://schemas.openxmlformats.org/officeDocument/2006/relationships/hyperlink" Target="file:///players/g/grimequ01.html" TargetMode="External"/><Relationship Id="rId419" Type="http://schemas.openxmlformats.org/officeDocument/2006/relationships/hyperlink" Target="file:///teams/IND/2025.html" TargetMode="External"/><Relationship Id="rId626" Type="http://schemas.openxmlformats.org/officeDocument/2006/relationships/hyperlink" Target="file:///teams/PHI/2025.html" TargetMode="External"/><Relationship Id="rId973" Type="http://schemas.openxmlformats.org/officeDocument/2006/relationships/hyperlink" Target="file:///players/m/martija02.html" TargetMode="External"/><Relationship Id="rId1049" Type="http://schemas.openxmlformats.org/officeDocument/2006/relationships/hyperlink" Target="file:///teams/ORL/2025.html" TargetMode="External"/><Relationship Id="rId833" Type="http://schemas.openxmlformats.org/officeDocument/2006/relationships/hyperlink" Target="file:///teams/WAS/2025.html" TargetMode="External"/><Relationship Id="rId265" Type="http://schemas.openxmlformats.org/officeDocument/2006/relationships/hyperlink" Target="file:///players/c/champju02.html" TargetMode="External"/><Relationship Id="rId472" Type="http://schemas.openxmlformats.org/officeDocument/2006/relationships/hyperlink" Target="file:///players/s/strusma01.html" TargetMode="External"/><Relationship Id="rId900" Type="http://schemas.openxmlformats.org/officeDocument/2006/relationships/hyperlink" Target="file:///teams/OKC/2025.html" TargetMode="External"/><Relationship Id="rId125" Type="http://schemas.openxmlformats.org/officeDocument/2006/relationships/hyperlink" Target="file:///players/r/reaveau01.html" TargetMode="External"/><Relationship Id="rId332" Type="http://schemas.openxmlformats.org/officeDocument/2006/relationships/hyperlink" Target="file:///teams/IND/2025.html" TargetMode="External"/><Relationship Id="rId777" Type="http://schemas.openxmlformats.org/officeDocument/2006/relationships/hyperlink" Target="file:///teams/TOR/2025.html" TargetMode="External"/><Relationship Id="rId984" Type="http://schemas.openxmlformats.org/officeDocument/2006/relationships/hyperlink" Target="file:///players/l/lewisma05.html" TargetMode="External"/><Relationship Id="rId637" Type="http://schemas.openxmlformats.org/officeDocument/2006/relationships/hyperlink" Target="file:///teams/CHI/2025.html" TargetMode="External"/><Relationship Id="rId844" Type="http://schemas.openxmlformats.org/officeDocument/2006/relationships/hyperlink" Target="file:///players/f/furphjo01.html" TargetMode="External"/><Relationship Id="rId276" Type="http://schemas.openxmlformats.org/officeDocument/2006/relationships/hyperlink" Target="file:///teams/HOU/2025.html" TargetMode="External"/><Relationship Id="rId483" Type="http://schemas.openxmlformats.org/officeDocument/2006/relationships/hyperlink" Target="file:///teams/CHI/2025.html" TargetMode="External"/><Relationship Id="rId690" Type="http://schemas.openxmlformats.org/officeDocument/2006/relationships/hyperlink" Target="file:///players/p/phillju01.html" TargetMode="External"/><Relationship Id="rId704" Type="http://schemas.openxmlformats.org/officeDocument/2006/relationships/hyperlink" Target="file:///players/b/bassech01.html" TargetMode="External"/><Relationship Id="rId911" Type="http://schemas.openxmlformats.org/officeDocument/2006/relationships/hyperlink" Target="file:///players/b/beaucma01.html" TargetMode="External"/><Relationship Id="rId40" Type="http://schemas.openxmlformats.org/officeDocument/2006/relationships/hyperlink" Target="file:///teams/ORL/2025.html" TargetMode="External"/><Relationship Id="rId136" Type="http://schemas.openxmlformats.org/officeDocument/2006/relationships/hyperlink" Target="file:///teams/UTA/2025.html" TargetMode="External"/><Relationship Id="rId343" Type="http://schemas.openxmlformats.org/officeDocument/2006/relationships/hyperlink" Target="file:///players/d/divindo01.html" TargetMode="External"/><Relationship Id="rId550" Type="http://schemas.openxmlformats.org/officeDocument/2006/relationships/hyperlink" Target="file:///teams/NOP/2025.html" TargetMode="External"/><Relationship Id="rId788" Type="http://schemas.openxmlformats.org/officeDocument/2006/relationships/hyperlink" Target="file:///players/w/willibr03.html" TargetMode="External"/><Relationship Id="rId995" Type="http://schemas.openxmlformats.org/officeDocument/2006/relationships/hyperlink" Target="file:///teams/TOR/2025.html" TargetMode="External"/><Relationship Id="rId203" Type="http://schemas.openxmlformats.org/officeDocument/2006/relationships/hyperlink" Target="file:///teams/CHO/2025.html" TargetMode="External"/><Relationship Id="rId648" Type="http://schemas.openxmlformats.org/officeDocument/2006/relationships/hyperlink" Target="file:///players/q/queentr01.html" TargetMode="External"/><Relationship Id="rId855" Type="http://schemas.openxmlformats.org/officeDocument/2006/relationships/hyperlink" Target="file:///teams/NOP/2025.html" TargetMode="External"/><Relationship Id="rId1040" Type="http://schemas.openxmlformats.org/officeDocument/2006/relationships/hyperlink" Target="file:///players/i/ingraha01.html" TargetMode="External"/><Relationship Id="rId287" Type="http://schemas.openxmlformats.org/officeDocument/2006/relationships/hyperlink" Target="file:///players/g/gaffoda01.html" TargetMode="External"/><Relationship Id="rId410" Type="http://schemas.openxmlformats.org/officeDocument/2006/relationships/hyperlink" Target="file:///players/c/carrica01.html" TargetMode="External"/><Relationship Id="rId494" Type="http://schemas.openxmlformats.org/officeDocument/2006/relationships/hyperlink" Target="file:///players/m/martity01.html" TargetMode="External"/><Relationship Id="rId508" Type="http://schemas.openxmlformats.org/officeDocument/2006/relationships/hyperlink" Target="file:///players/s/sharpda01.html" TargetMode="External"/><Relationship Id="rId715" Type="http://schemas.openxmlformats.org/officeDocument/2006/relationships/hyperlink" Target="file:///teams/BRK/2025.html" TargetMode="External"/><Relationship Id="rId922" Type="http://schemas.openxmlformats.org/officeDocument/2006/relationships/hyperlink" Target="file:///teams/NYK/2025.html" TargetMode="External"/><Relationship Id="rId147" Type="http://schemas.openxmlformats.org/officeDocument/2006/relationships/hyperlink" Target="file:///players/b/banede01.html" TargetMode="External"/><Relationship Id="rId354" Type="http://schemas.openxmlformats.org/officeDocument/2006/relationships/hyperlink" Target="file:///teams/NOP/2025.html" TargetMode="External"/><Relationship Id="rId799" Type="http://schemas.openxmlformats.org/officeDocument/2006/relationships/hyperlink" Target="file:///teams/IND/2025.html" TargetMode="External"/><Relationship Id="rId51" Type="http://schemas.openxmlformats.org/officeDocument/2006/relationships/hyperlink" Target="file:///players/h/herroty01.html" TargetMode="External"/><Relationship Id="rId561" Type="http://schemas.openxmlformats.org/officeDocument/2006/relationships/hyperlink" Target="file:///players/m/mitchaj01.html" TargetMode="External"/><Relationship Id="rId659" Type="http://schemas.openxmlformats.org/officeDocument/2006/relationships/hyperlink" Target="file:///teams/GSW/2025.html" TargetMode="External"/><Relationship Id="rId866" Type="http://schemas.openxmlformats.org/officeDocument/2006/relationships/hyperlink" Target="file:///players/t/tysonhu01.html" TargetMode="External"/><Relationship Id="rId214" Type="http://schemas.openxmlformats.org/officeDocument/2006/relationships/hyperlink" Target="file:///players/t/thompkl01.html" TargetMode="External"/><Relationship Id="rId298" Type="http://schemas.openxmlformats.org/officeDocument/2006/relationships/hyperlink" Target="file:///teams/SAS/2025.html" TargetMode="External"/><Relationship Id="rId421" Type="http://schemas.openxmlformats.org/officeDocument/2006/relationships/hyperlink" Target="file:///teams/CHO/2025.html" TargetMode="External"/><Relationship Id="rId519" Type="http://schemas.openxmlformats.org/officeDocument/2006/relationships/hyperlink" Target="file:///teams/PHI/2025.html" TargetMode="External"/><Relationship Id="rId1051" Type="http://schemas.openxmlformats.org/officeDocument/2006/relationships/hyperlink" Target="file:///teams/POR/2025.html" TargetMode="External"/><Relationship Id="rId158" Type="http://schemas.openxmlformats.org/officeDocument/2006/relationships/hyperlink" Target="file:///teams/ORL/2025.html" TargetMode="External"/><Relationship Id="rId726" Type="http://schemas.openxmlformats.org/officeDocument/2006/relationships/hyperlink" Target="file:///players/p/plumlma01.html" TargetMode="External"/><Relationship Id="rId933" Type="http://schemas.openxmlformats.org/officeDocument/2006/relationships/hyperlink" Target="file:///players/p/poweldw01.html" TargetMode="External"/><Relationship Id="rId1009" Type="http://schemas.openxmlformats.org/officeDocument/2006/relationships/hyperlink" Target="file:///teams/OKC/2025.html" TargetMode="External"/><Relationship Id="rId62" Type="http://schemas.openxmlformats.org/officeDocument/2006/relationships/hyperlink" Target="file:///teams/MEM/2025.html" TargetMode="External"/><Relationship Id="rId365" Type="http://schemas.openxmlformats.org/officeDocument/2006/relationships/hyperlink" Target="file:///teams/BRK/2025.html" TargetMode="External"/><Relationship Id="rId572" Type="http://schemas.openxmlformats.org/officeDocument/2006/relationships/hyperlink" Target="file:///teams/MIA/2025.html" TargetMode="External"/><Relationship Id="rId225" Type="http://schemas.openxmlformats.org/officeDocument/2006/relationships/hyperlink" Target="file:///teams/DET/2025.html" TargetMode="External"/><Relationship Id="rId432" Type="http://schemas.openxmlformats.org/officeDocument/2006/relationships/hyperlink" Target="file:///players/h/huffja01.html" TargetMode="External"/><Relationship Id="rId877" Type="http://schemas.openxmlformats.org/officeDocument/2006/relationships/hyperlink" Target="file:///players/b/beekmre01.html" TargetMode="External"/><Relationship Id="rId737" Type="http://schemas.openxmlformats.org/officeDocument/2006/relationships/hyperlink" Target="file:///teams/PHI/2025.html" TargetMode="External"/><Relationship Id="rId944" Type="http://schemas.openxmlformats.org/officeDocument/2006/relationships/hyperlink" Target="file:///teams/OKC/2025.html" TargetMode="External"/><Relationship Id="rId73" Type="http://schemas.openxmlformats.org/officeDocument/2006/relationships/hyperlink" Target="file:///players/m/moranja01.html" TargetMode="External"/><Relationship Id="rId169" Type="http://schemas.openxmlformats.org/officeDocument/2006/relationships/hyperlink" Target="file:///players/c/clarkjo01.html" TargetMode="External"/><Relationship Id="rId376" Type="http://schemas.openxmlformats.org/officeDocument/2006/relationships/hyperlink" Target="file:///players/p/porteke02.html" TargetMode="External"/><Relationship Id="rId583" Type="http://schemas.openxmlformats.org/officeDocument/2006/relationships/hyperlink" Target="file:///players/w/willike04.html" TargetMode="External"/><Relationship Id="rId790" Type="http://schemas.openxmlformats.org/officeDocument/2006/relationships/hyperlink" Target="file:///players/b/brownko01.html" TargetMode="External"/><Relationship Id="rId804" Type="http://schemas.openxmlformats.org/officeDocument/2006/relationships/hyperlink" Target="file:///players/p/pickeja02.html" TargetMode="External"/><Relationship Id="rId4" Type="http://schemas.openxmlformats.org/officeDocument/2006/relationships/hyperlink" Target="file:///teams/MIL/2025.html" TargetMode="External"/><Relationship Id="rId236" Type="http://schemas.openxmlformats.org/officeDocument/2006/relationships/hyperlink" Target="file:///players/d/dosunay01.html" TargetMode="External"/><Relationship Id="rId443" Type="http://schemas.openxmlformats.org/officeDocument/2006/relationships/hyperlink" Target="file:///teams/DEN/2025.html" TargetMode="External"/><Relationship Id="rId650" Type="http://schemas.openxmlformats.org/officeDocument/2006/relationships/hyperlink" Target="file:///players/w/willivi01.html" TargetMode="External"/><Relationship Id="rId888" Type="http://schemas.openxmlformats.org/officeDocument/2006/relationships/hyperlink" Target="file:///teams/CLE/2025.html" TargetMode="External"/><Relationship Id="rId303" Type="http://schemas.openxmlformats.org/officeDocument/2006/relationships/hyperlink" Target="file:///players/a/agbajoc01.html" TargetMode="External"/><Relationship Id="rId748" Type="http://schemas.openxmlformats.org/officeDocument/2006/relationships/hyperlink" Target="file:///players/d/dilliro01.html" TargetMode="External"/><Relationship Id="rId955" Type="http://schemas.openxmlformats.org/officeDocument/2006/relationships/hyperlink" Target="file:///players/r/ryanma01.html" TargetMode="External"/><Relationship Id="rId84" Type="http://schemas.openxmlformats.org/officeDocument/2006/relationships/hyperlink" Target="file:///teams/NOP/2025.html" TargetMode="External"/><Relationship Id="rId387" Type="http://schemas.openxmlformats.org/officeDocument/2006/relationships/hyperlink" Target="file:///teams/SAS/2025.html" TargetMode="External"/><Relationship Id="rId510" Type="http://schemas.openxmlformats.org/officeDocument/2006/relationships/hyperlink" Target="file:///players/g/greenjo02.html" TargetMode="External"/><Relationship Id="rId594" Type="http://schemas.openxmlformats.org/officeDocument/2006/relationships/hyperlink" Target="file:///teams/CLE/2025.html" TargetMode="External"/><Relationship Id="rId608" Type="http://schemas.openxmlformats.org/officeDocument/2006/relationships/hyperlink" Target="file:///teams/DET/2025.html" TargetMode="External"/><Relationship Id="rId815" Type="http://schemas.openxmlformats.org/officeDocument/2006/relationships/hyperlink" Target="file:///teams/MIN/2025.html" TargetMode="External"/><Relationship Id="rId247" Type="http://schemas.openxmlformats.org/officeDocument/2006/relationships/hyperlink" Target="file:///players/r/russeda01.html" TargetMode="External"/><Relationship Id="rId899" Type="http://schemas.openxmlformats.org/officeDocument/2006/relationships/hyperlink" Target="file:///players/r/reeseal01.html" TargetMode="External"/><Relationship Id="rId1000" Type="http://schemas.openxmlformats.org/officeDocument/2006/relationships/hyperlink" Target="file:///players/h/hallpj01.html" TargetMode="External"/><Relationship Id="rId107" Type="http://schemas.openxmlformats.org/officeDocument/2006/relationships/hyperlink" Target="file:///players/m/murraja01.html" TargetMode="External"/><Relationship Id="rId454" Type="http://schemas.openxmlformats.org/officeDocument/2006/relationships/hyperlink" Target="file:///players/n/niangge01.html" TargetMode="External"/><Relationship Id="rId661" Type="http://schemas.openxmlformats.org/officeDocument/2006/relationships/hyperlink" Target="file:///teams/TOR/2025.html" TargetMode="External"/><Relationship Id="rId759" Type="http://schemas.openxmlformats.org/officeDocument/2006/relationships/hyperlink" Target="file:///teams/SAC/2025.html" TargetMode="External"/><Relationship Id="rId966" Type="http://schemas.openxmlformats.org/officeDocument/2006/relationships/hyperlink" Target="file:///teams/DEN/2025.html" TargetMode="External"/><Relationship Id="rId11" Type="http://schemas.openxmlformats.org/officeDocument/2006/relationships/hyperlink" Target="file:///players/d/doncilu01.html" TargetMode="External"/><Relationship Id="rId314" Type="http://schemas.openxmlformats.org/officeDocument/2006/relationships/hyperlink" Target="file:///teams/MEM/2025.html" TargetMode="External"/><Relationship Id="rId398" Type="http://schemas.openxmlformats.org/officeDocument/2006/relationships/hyperlink" Target="file:///players/s/strawju01.html" TargetMode="External"/><Relationship Id="rId521" Type="http://schemas.openxmlformats.org/officeDocument/2006/relationships/hyperlink" Target="file:///teams/LAC/2025.html" TargetMode="External"/><Relationship Id="rId619" Type="http://schemas.openxmlformats.org/officeDocument/2006/relationships/hyperlink" Target="file:///players/q/quetane01.html" TargetMode="External"/><Relationship Id="rId95" Type="http://schemas.openxmlformats.org/officeDocument/2006/relationships/hyperlink" Target="file:///players/m/markkla01.html" TargetMode="External"/><Relationship Id="rId160" Type="http://schemas.openxmlformats.org/officeDocument/2006/relationships/hyperlink" Target="file:///teams/GSW/2025.html" TargetMode="External"/><Relationship Id="rId826" Type="http://schemas.openxmlformats.org/officeDocument/2006/relationships/hyperlink" Target="file:///players/d/diengou01.html" TargetMode="External"/><Relationship Id="rId1011" Type="http://schemas.openxmlformats.org/officeDocument/2006/relationships/hyperlink" Target="file:///teams/BRK/2025.html" TargetMode="External"/><Relationship Id="rId258" Type="http://schemas.openxmlformats.org/officeDocument/2006/relationships/hyperlink" Target="file:///teams/OKC/2025.html" TargetMode="External"/><Relationship Id="rId465" Type="http://schemas.openxmlformats.org/officeDocument/2006/relationships/hyperlink" Target="file:///teams/MIL/2025.html" TargetMode="External"/><Relationship Id="rId672" Type="http://schemas.openxmlformats.org/officeDocument/2006/relationships/hyperlink" Target="file:///players/e/eubandr01.html" TargetMode="External"/><Relationship Id="rId22" Type="http://schemas.openxmlformats.org/officeDocument/2006/relationships/hyperlink" Target="file:///teams/MIN/2025.html" TargetMode="External"/><Relationship Id="rId118" Type="http://schemas.openxmlformats.org/officeDocument/2006/relationships/hyperlink" Target="file:///teams/CHI/2025.html" TargetMode="External"/><Relationship Id="rId325" Type="http://schemas.openxmlformats.org/officeDocument/2006/relationships/hyperlink" Target="file:///players/h/hawkijo01.html" TargetMode="External"/><Relationship Id="rId532" Type="http://schemas.openxmlformats.org/officeDocument/2006/relationships/hyperlink" Target="file:///players/m/merrisa01.html" TargetMode="External"/><Relationship Id="rId977" Type="http://schemas.openxmlformats.org/officeDocument/2006/relationships/hyperlink" Target="file:///players/m/millele01.html" TargetMode="External"/><Relationship Id="rId171" Type="http://schemas.openxmlformats.org/officeDocument/2006/relationships/hyperlink" Target="file:///players/g/georgke01.html" TargetMode="External"/><Relationship Id="rId837" Type="http://schemas.openxmlformats.org/officeDocument/2006/relationships/hyperlink" Target="file:///teams/MIL/2025.html" TargetMode="External"/><Relationship Id="rId1022" Type="http://schemas.openxmlformats.org/officeDocument/2006/relationships/hyperlink" Target="file:///players/b/bridgja01.html" TargetMode="External"/><Relationship Id="rId269" Type="http://schemas.openxmlformats.org/officeDocument/2006/relationships/hyperlink" Target="file:///players/g/giddejo01.html" TargetMode="External"/><Relationship Id="rId476" Type="http://schemas.openxmlformats.org/officeDocument/2006/relationships/hyperlink" Target="file:///players/c/conlemi01.html" TargetMode="External"/><Relationship Id="rId683" Type="http://schemas.openxmlformats.org/officeDocument/2006/relationships/hyperlink" Target="file:///teams/NOP/2025.html" TargetMode="External"/><Relationship Id="rId890" Type="http://schemas.openxmlformats.org/officeDocument/2006/relationships/hyperlink" Target="file:///teams/LAL/2025.html" TargetMode="External"/><Relationship Id="rId904" Type="http://schemas.openxmlformats.org/officeDocument/2006/relationships/hyperlink" Target="file:///teams/MIL/2025.html" TargetMode="External"/><Relationship Id="rId33" Type="http://schemas.openxmlformats.org/officeDocument/2006/relationships/hyperlink" Target="file:///players/t/thomaca02.html" TargetMode="External"/><Relationship Id="rId129" Type="http://schemas.openxmlformats.org/officeDocument/2006/relationships/hyperlink" Target="file:///players/b/bealbr01.html" TargetMode="External"/><Relationship Id="rId336" Type="http://schemas.openxmlformats.org/officeDocument/2006/relationships/hyperlink" Target="file:///teams/TOR/2025.html" TargetMode="External"/><Relationship Id="rId543" Type="http://schemas.openxmlformats.org/officeDocument/2006/relationships/hyperlink" Target="file:///players/f/fontesi01.html" TargetMode="External"/><Relationship Id="rId988" Type="http://schemas.openxmlformats.org/officeDocument/2006/relationships/hyperlink" Target="file:///players/b/barlodo01.html" TargetMode="External"/><Relationship Id="rId182" Type="http://schemas.openxmlformats.org/officeDocument/2006/relationships/hyperlink" Target="file:///players/k/kuzmaky01.html" TargetMode="External"/><Relationship Id="rId403" Type="http://schemas.openxmlformats.org/officeDocument/2006/relationships/hyperlink" Target="file:///teams/BRK/2025.html" TargetMode="External"/><Relationship Id="rId750" Type="http://schemas.openxmlformats.org/officeDocument/2006/relationships/hyperlink" Target="file:///players/w/weslebl01.html" TargetMode="External"/><Relationship Id="rId848" Type="http://schemas.openxmlformats.org/officeDocument/2006/relationships/hyperlink" Target="file:///players/h/holmeri01.html" TargetMode="External"/><Relationship Id="rId1033" Type="http://schemas.openxmlformats.org/officeDocument/2006/relationships/hyperlink" Target="file:///teams/SAC/2025.html" TargetMode="External"/><Relationship Id="rId487" Type="http://schemas.openxmlformats.org/officeDocument/2006/relationships/hyperlink" Target="file:///teams/BRK/2025.html" TargetMode="External"/><Relationship Id="rId610" Type="http://schemas.openxmlformats.org/officeDocument/2006/relationships/hyperlink" Target="file:///teams/MIA/2025.html" TargetMode="External"/><Relationship Id="rId694" Type="http://schemas.openxmlformats.org/officeDocument/2006/relationships/hyperlink" Target="file:///players/k/kornelu01.html" TargetMode="External"/><Relationship Id="rId708" Type="http://schemas.openxmlformats.org/officeDocument/2006/relationships/hyperlink" Target="file:///players/s/simpskj01.html" TargetMode="External"/><Relationship Id="rId915" Type="http://schemas.openxmlformats.org/officeDocument/2006/relationships/hyperlink" Target="file:///players/h/hukpoar01.html" TargetMode="External"/><Relationship Id="rId347" Type="http://schemas.openxmlformats.org/officeDocument/2006/relationships/hyperlink" Target="file:///players/y/yabusgu01.html" TargetMode="External"/><Relationship Id="rId999" Type="http://schemas.openxmlformats.org/officeDocument/2006/relationships/hyperlink" Target="file:///teams/BOS/2025.html" TargetMode="External"/><Relationship Id="rId44" Type="http://schemas.openxmlformats.org/officeDocument/2006/relationships/hyperlink" Target="file:///teams/DAL/2025.html" TargetMode="External"/><Relationship Id="rId554" Type="http://schemas.openxmlformats.org/officeDocument/2006/relationships/hyperlink" Target="file:///teams/IND/2025.html" TargetMode="External"/><Relationship Id="rId761" Type="http://schemas.openxmlformats.org/officeDocument/2006/relationships/hyperlink" Target="file:///teams/UTA/2025.html" TargetMode="External"/><Relationship Id="rId859" Type="http://schemas.openxmlformats.org/officeDocument/2006/relationships/hyperlink" Target="file:///teams/CLE/2025.html" TargetMode="External"/><Relationship Id="rId193" Type="http://schemas.openxmlformats.org/officeDocument/2006/relationships/hyperlink" Target="file:///teams/POR/2025.html" TargetMode="External"/><Relationship Id="rId207" Type="http://schemas.openxmlformats.org/officeDocument/2006/relationships/hyperlink" Target="file:///teams/POR/2025.html" TargetMode="External"/><Relationship Id="rId414" Type="http://schemas.openxmlformats.org/officeDocument/2006/relationships/hyperlink" Target="file:///players/m/martica02.html" TargetMode="External"/><Relationship Id="rId498" Type="http://schemas.openxmlformats.org/officeDocument/2006/relationships/hyperlink" Target="file:///players/c/clarkbr01.html" TargetMode="External"/><Relationship Id="rId621" Type="http://schemas.openxmlformats.org/officeDocument/2006/relationships/hyperlink" Target="file:///players/b/branhma01.html" TargetMode="External"/><Relationship Id="rId1044" Type="http://schemas.openxmlformats.org/officeDocument/2006/relationships/hyperlink" Target="file:///players/j/jonesma05.html" TargetMode="External"/><Relationship Id="rId260" Type="http://schemas.openxmlformats.org/officeDocument/2006/relationships/hyperlink" Target="file:///teams/BOS/2025.html" TargetMode="External"/><Relationship Id="rId719" Type="http://schemas.openxmlformats.org/officeDocument/2006/relationships/hyperlink" Target="file:///teams/LAL/2025.html" TargetMode="External"/><Relationship Id="rId926" Type="http://schemas.openxmlformats.org/officeDocument/2006/relationships/hyperlink" Target="file:///teams/NYK/2025.html" TargetMode="External"/><Relationship Id="rId55" Type="http://schemas.openxmlformats.org/officeDocument/2006/relationships/hyperlink" Target="file:///players/b/barrerj01.html" TargetMode="External"/><Relationship Id="rId120" Type="http://schemas.openxmlformats.org/officeDocument/2006/relationships/hyperlink" Target="file:///teams/NYK/2025.html" TargetMode="External"/><Relationship Id="rId358" Type="http://schemas.openxmlformats.org/officeDocument/2006/relationships/hyperlink" Target="file:///teams/WAS/2025.html" TargetMode="External"/><Relationship Id="rId565" Type="http://schemas.openxmlformats.org/officeDocument/2006/relationships/hyperlink" Target="file:///players/b/burksal01.html" TargetMode="External"/><Relationship Id="rId772" Type="http://schemas.openxmlformats.org/officeDocument/2006/relationships/hyperlink" Target="file:///players/d/diabamo01.html" TargetMode="External"/><Relationship Id="rId218" Type="http://schemas.openxmlformats.org/officeDocument/2006/relationships/hyperlink" Target="file:///players/b/brookdi01.html" TargetMode="External"/><Relationship Id="rId425" Type="http://schemas.openxmlformats.org/officeDocument/2006/relationships/hyperlink" Target="file:///teams/BRK/2025.html" TargetMode="External"/><Relationship Id="rId632" Type="http://schemas.openxmlformats.org/officeDocument/2006/relationships/hyperlink" Target="file:///players/b/bryanth01.html" TargetMode="External"/><Relationship Id="rId1055" Type="http://schemas.openxmlformats.org/officeDocument/2006/relationships/hyperlink" Target="file:///teams/DET/2025.html" TargetMode="External"/><Relationship Id="rId271" Type="http://schemas.openxmlformats.org/officeDocument/2006/relationships/hyperlink" Target="file:///players/h/hachiru01.html" TargetMode="External"/><Relationship Id="rId937" Type="http://schemas.openxmlformats.org/officeDocument/2006/relationships/hyperlink" Target="file:///players/s/spencpa01.html" TargetMode="External"/><Relationship Id="rId66" Type="http://schemas.openxmlformats.org/officeDocument/2006/relationships/hyperlink" Target="file:///teams/ATL/2025.html" TargetMode="External"/><Relationship Id="rId131" Type="http://schemas.openxmlformats.org/officeDocument/2006/relationships/hyperlink" Target="file:///players/s/sextoco01.html" TargetMode="External"/><Relationship Id="rId369" Type="http://schemas.openxmlformats.org/officeDocument/2006/relationships/hyperlink" Target="file:///teams/LAL/2025.html" TargetMode="External"/><Relationship Id="rId576" Type="http://schemas.openxmlformats.org/officeDocument/2006/relationships/hyperlink" Target="file:///teams/LAC/2025.html" TargetMode="External"/><Relationship Id="rId783" Type="http://schemas.openxmlformats.org/officeDocument/2006/relationships/hyperlink" Target="file:///teams/DEN/2025.html" TargetMode="External"/><Relationship Id="rId990" Type="http://schemas.openxmlformats.org/officeDocument/2006/relationships/hyperlink" Target="file:///players/a/alexatr01.html" TargetMode="External"/><Relationship Id="rId229" Type="http://schemas.openxmlformats.org/officeDocument/2006/relationships/hyperlink" Target="file:///teams/MEM/2025.html" TargetMode="External"/><Relationship Id="rId436" Type="http://schemas.openxmlformats.org/officeDocument/2006/relationships/hyperlink" Target="file:///players/a/alexani01.html" TargetMode="External"/><Relationship Id="rId643" Type="http://schemas.openxmlformats.org/officeDocument/2006/relationships/hyperlink" Target="file:///teams/SAS/2025.html" TargetMode="External"/><Relationship Id="rId850" Type="http://schemas.openxmlformats.org/officeDocument/2006/relationships/hyperlink" Target="file:///players/k/klebima01.html" TargetMode="External"/><Relationship Id="rId948" Type="http://schemas.openxmlformats.org/officeDocument/2006/relationships/hyperlink" Target="file:///teams/MIA/2025.html" TargetMode="External"/><Relationship Id="rId77" Type="http://schemas.openxmlformats.org/officeDocument/2006/relationships/hyperlink" Target="file:///players/m/millebr02.html" TargetMode="External"/><Relationship Id="rId282" Type="http://schemas.openxmlformats.org/officeDocument/2006/relationships/hyperlink" Target="file:///teams/WAS/2025.html" TargetMode="External"/><Relationship Id="rId503" Type="http://schemas.openxmlformats.org/officeDocument/2006/relationships/hyperlink" Target="file:///teams/DET/2025.html" TargetMode="External"/><Relationship Id="rId587" Type="http://schemas.openxmlformats.org/officeDocument/2006/relationships/hyperlink" Target="file:///players/b/battlja01.html" TargetMode="External"/><Relationship Id="rId710" Type="http://schemas.openxmlformats.org/officeDocument/2006/relationships/hyperlink" Target="file:///players/s/smithni01.html" TargetMode="External"/><Relationship Id="rId808" Type="http://schemas.openxmlformats.org/officeDocument/2006/relationships/hyperlink" Target="file:///players/g/gilleco01.html" TargetMode="External"/><Relationship Id="rId8" Type="http://schemas.openxmlformats.org/officeDocument/2006/relationships/hyperlink" Target="file:///teams/CHO/2025.html" TargetMode="External"/><Relationship Id="rId142" Type="http://schemas.openxmlformats.org/officeDocument/2006/relationships/hyperlink" Target="file:///teams/BOS/2025.html" TargetMode="External"/><Relationship Id="rId447" Type="http://schemas.openxmlformats.org/officeDocument/2006/relationships/hyperlink" Target="file:///teams/BOS/2025.html" TargetMode="External"/><Relationship Id="rId794" Type="http://schemas.openxmlformats.org/officeDocument/2006/relationships/hyperlink" Target="file:///players/j/jordade01.html" TargetMode="External"/><Relationship Id="rId654" Type="http://schemas.openxmlformats.org/officeDocument/2006/relationships/hyperlink" Target="file:///players/r/roddyda01.html" TargetMode="External"/><Relationship Id="rId861" Type="http://schemas.openxmlformats.org/officeDocument/2006/relationships/hyperlink" Target="file:///teams/DEN/2025.html" TargetMode="External"/><Relationship Id="rId959" Type="http://schemas.openxmlformats.org/officeDocument/2006/relationships/hyperlink" Target="file:///players/t/travelu01.html" TargetMode="External"/><Relationship Id="rId293" Type="http://schemas.openxmlformats.org/officeDocument/2006/relationships/hyperlink" Target="file:///players/h/hendesc01.html" TargetMode="External"/><Relationship Id="rId307" Type="http://schemas.openxmlformats.org/officeDocument/2006/relationships/hyperlink" Target="file:///players/o/okongon01.html" TargetMode="External"/><Relationship Id="rId514" Type="http://schemas.openxmlformats.org/officeDocument/2006/relationships/hyperlink" Target="file:///players/e/elliske01.html" TargetMode="External"/><Relationship Id="rId721" Type="http://schemas.openxmlformats.org/officeDocument/2006/relationships/hyperlink" Target="file:///teams/LAC/2025.html" TargetMode="External"/><Relationship Id="rId88" Type="http://schemas.openxmlformats.org/officeDocument/2006/relationships/hyperlink" Target="file:///teams/SAC/2025.html" TargetMode="External"/><Relationship Id="rId153" Type="http://schemas.openxmlformats.org/officeDocument/2006/relationships/hyperlink" Target="file:///players/h/holmgch01.html" TargetMode="External"/><Relationship Id="rId360" Type="http://schemas.openxmlformats.org/officeDocument/2006/relationships/hyperlink" Target="file:///players/f/finnedo01.html" TargetMode="External"/><Relationship Id="rId598" Type="http://schemas.openxmlformats.org/officeDocument/2006/relationships/hyperlink" Target="file:///teams/MIA/2025.html" TargetMode="External"/><Relationship Id="rId819" Type="http://schemas.openxmlformats.org/officeDocument/2006/relationships/hyperlink" Target="file:///teams/PHI/2025.html" TargetMode="External"/><Relationship Id="rId1004" Type="http://schemas.openxmlformats.org/officeDocument/2006/relationships/hyperlink" Target="file:///players/r/robbili01.html" TargetMode="External"/><Relationship Id="rId220" Type="http://schemas.openxmlformats.org/officeDocument/2006/relationships/hyperlink" Target="file:///players/s/sochaje01.html" TargetMode="External"/><Relationship Id="rId458" Type="http://schemas.openxmlformats.org/officeDocument/2006/relationships/hyperlink" Target="file:///players/n/nowelja01.html" TargetMode="External"/><Relationship Id="rId665" Type="http://schemas.openxmlformats.org/officeDocument/2006/relationships/hyperlink" Target="file:///teams/LAC/2025.html" TargetMode="External"/><Relationship Id="rId872" Type="http://schemas.openxmlformats.org/officeDocument/2006/relationships/hyperlink" Target="file:///players/k/kolekty01.html" TargetMode="External"/><Relationship Id="rId15" Type="http://schemas.openxmlformats.org/officeDocument/2006/relationships/hyperlink" Target="file:///players/d/duranke01.html" TargetMode="External"/><Relationship Id="rId318" Type="http://schemas.openxmlformats.org/officeDocument/2006/relationships/hyperlink" Target="file:///teams/IND/2025.html" TargetMode="External"/><Relationship Id="rId525" Type="http://schemas.openxmlformats.org/officeDocument/2006/relationships/hyperlink" Target="file:///teams/SAC/2025.html" TargetMode="External"/><Relationship Id="rId732" Type="http://schemas.openxmlformats.org/officeDocument/2006/relationships/hyperlink" Target="file:///players/t/thorjt01.html" TargetMode="External"/><Relationship Id="rId99" Type="http://schemas.openxmlformats.org/officeDocument/2006/relationships/hyperlink" Target="file:///players/s/siakapa01.html" TargetMode="External"/><Relationship Id="rId164" Type="http://schemas.openxmlformats.org/officeDocument/2006/relationships/hyperlink" Target="file:///teams/NOP/2025.html" TargetMode="External"/><Relationship Id="rId371" Type="http://schemas.openxmlformats.org/officeDocument/2006/relationships/hyperlink" Target="file:///teams/NYK/2025.html" TargetMode="External"/><Relationship Id="rId1015" Type="http://schemas.openxmlformats.org/officeDocument/2006/relationships/hyperlink" Target="file:///teams/TOR/2025.html" TargetMode="External"/><Relationship Id="rId469" Type="http://schemas.openxmlformats.org/officeDocument/2006/relationships/hyperlink" Target="file:///teams/MEM/2025.html" TargetMode="External"/><Relationship Id="rId676" Type="http://schemas.openxmlformats.org/officeDocument/2006/relationships/hyperlink" Target="file:///players/r/reedpa01.html" TargetMode="External"/><Relationship Id="rId883" Type="http://schemas.openxmlformats.org/officeDocument/2006/relationships/hyperlink" Target="file:///players/k/kolokch01.html" TargetMode="External"/><Relationship Id="rId26" Type="http://schemas.openxmlformats.org/officeDocument/2006/relationships/hyperlink" Target="file:///teams/NYK/2025.html" TargetMode="External"/><Relationship Id="rId231" Type="http://schemas.openxmlformats.org/officeDocument/2006/relationships/hyperlink" Target="file:///teams/ATL/2025.html" TargetMode="External"/><Relationship Id="rId329" Type="http://schemas.openxmlformats.org/officeDocument/2006/relationships/hyperlink" Target="file:///players/o/onealro01.html" TargetMode="External"/><Relationship Id="rId536" Type="http://schemas.openxmlformats.org/officeDocument/2006/relationships/hyperlink" Target="file:///players/m/miltosh01.html" TargetMode="External"/><Relationship Id="rId175" Type="http://schemas.openxmlformats.org/officeDocument/2006/relationships/hyperlink" Target="file:///teams/BRK/2025.html" TargetMode="External"/><Relationship Id="rId743" Type="http://schemas.openxmlformats.org/officeDocument/2006/relationships/hyperlink" Target="file:///teams/HOU/2025.html" TargetMode="External"/><Relationship Id="rId950" Type="http://schemas.openxmlformats.org/officeDocument/2006/relationships/hyperlink" Target="file:///teams/IND/2025.html" TargetMode="External"/><Relationship Id="rId1026" Type="http://schemas.openxmlformats.org/officeDocument/2006/relationships/hyperlink" Target="file:///players/n/nixda01.html" TargetMode="External"/><Relationship Id="rId382" Type="http://schemas.openxmlformats.org/officeDocument/2006/relationships/hyperlink" Target="file:///players/c/capelca01.html" TargetMode="External"/><Relationship Id="rId603" Type="http://schemas.openxmlformats.org/officeDocument/2006/relationships/hyperlink" Target="file:///players/i/isaacjo01.html" TargetMode="External"/><Relationship Id="rId687" Type="http://schemas.openxmlformats.org/officeDocument/2006/relationships/hyperlink" Target="file:///teams/ATL/2025.html" TargetMode="External"/><Relationship Id="rId810" Type="http://schemas.openxmlformats.org/officeDocument/2006/relationships/hyperlink" Target="file:///players/k/konchjo01.html" TargetMode="External"/><Relationship Id="rId908" Type="http://schemas.openxmlformats.org/officeDocument/2006/relationships/hyperlink" Target="file:///teams/PHO/2025.html" TargetMode="External"/><Relationship Id="rId242" Type="http://schemas.openxmlformats.org/officeDocument/2006/relationships/hyperlink" Target="file:///players/j/johnske04.html" TargetMode="External"/><Relationship Id="rId894" Type="http://schemas.openxmlformats.org/officeDocument/2006/relationships/hyperlink" Target="file:///teams/ORL/2025.html" TargetMode="External"/><Relationship Id="rId37" Type="http://schemas.openxmlformats.org/officeDocument/2006/relationships/hyperlink" Target="file:///players/e/embiijo01.html" TargetMode="External"/><Relationship Id="rId102" Type="http://schemas.openxmlformats.org/officeDocument/2006/relationships/hyperlink" Target="file:///teams/MIN/2025.html" TargetMode="External"/><Relationship Id="rId547" Type="http://schemas.openxmlformats.org/officeDocument/2006/relationships/hyperlink" Target="file:///players/p/payneca01.html" TargetMode="External"/><Relationship Id="rId754" Type="http://schemas.openxmlformats.org/officeDocument/2006/relationships/hyperlink" Target="file:///players/j/jonesis01.html" TargetMode="External"/><Relationship Id="rId961" Type="http://schemas.openxmlformats.org/officeDocument/2006/relationships/hyperlink" Target="file:///players/c/cissosi01.html" TargetMode="External"/><Relationship Id="rId90" Type="http://schemas.openxmlformats.org/officeDocument/2006/relationships/hyperlink" Target="file:///teams/TOR/2025.html" TargetMode="External"/><Relationship Id="rId186" Type="http://schemas.openxmlformats.org/officeDocument/2006/relationships/hyperlink" Target="file:///players/q/quickim01.html" TargetMode="External"/><Relationship Id="rId393" Type="http://schemas.openxmlformats.org/officeDocument/2006/relationships/hyperlink" Target="file:///teams/MIA/2025.html" TargetMode="External"/><Relationship Id="rId407" Type="http://schemas.openxmlformats.org/officeDocument/2006/relationships/hyperlink" Target="file:///teams/OKC/2025.html" TargetMode="External"/><Relationship Id="rId614" Type="http://schemas.openxmlformats.org/officeDocument/2006/relationships/hyperlink" Target="file:///teams/LAC/2025.html" TargetMode="External"/><Relationship Id="rId821" Type="http://schemas.openxmlformats.org/officeDocument/2006/relationships/hyperlink" Target="file:///teams/LAL/2025.html" TargetMode="External"/><Relationship Id="rId1037" Type="http://schemas.openxmlformats.org/officeDocument/2006/relationships/hyperlink" Target="file:///teams/DAL/2025.html" TargetMode="External"/><Relationship Id="rId253" Type="http://schemas.openxmlformats.org/officeDocument/2006/relationships/hyperlink" Target="file:///players/h/hieldbu01.html" TargetMode="External"/><Relationship Id="rId460" Type="http://schemas.openxmlformats.org/officeDocument/2006/relationships/hyperlink" Target="file:///players/c/cartewe01.html" TargetMode="External"/><Relationship Id="rId698" Type="http://schemas.openxmlformats.org/officeDocument/2006/relationships/hyperlink" Target="file:///players/m/mamuksa01.html" TargetMode="External"/><Relationship Id="rId919" Type="http://schemas.openxmlformats.org/officeDocument/2006/relationships/hyperlink" Target="file:///players/w/willije02.html" TargetMode="External"/><Relationship Id="rId48" Type="http://schemas.openxmlformats.org/officeDocument/2006/relationships/hyperlink" Target="file:///teams/LAL/2025.html" TargetMode="External"/><Relationship Id="rId113" Type="http://schemas.openxmlformats.org/officeDocument/2006/relationships/hyperlink" Target="file:///players/p/portemi01.html" TargetMode="External"/><Relationship Id="rId320" Type="http://schemas.openxmlformats.org/officeDocument/2006/relationships/hyperlink" Target="file:///teams/LAC/2025.html" TargetMode="External"/><Relationship Id="rId558" Type="http://schemas.openxmlformats.org/officeDocument/2006/relationships/hyperlink" Target="file:///teams/LAC/2025.html" TargetMode="External"/><Relationship Id="rId765" Type="http://schemas.openxmlformats.org/officeDocument/2006/relationships/hyperlink" Target="file:///teams/DET/2025.html" TargetMode="External"/><Relationship Id="rId972" Type="http://schemas.openxmlformats.org/officeDocument/2006/relationships/hyperlink" Target="file:///teams/ATL/2025.html" TargetMode="External"/><Relationship Id="rId197" Type="http://schemas.openxmlformats.org/officeDocument/2006/relationships/hyperlink" Target="file:///teams/BOS/2025.html" TargetMode="External"/><Relationship Id="rId418" Type="http://schemas.openxmlformats.org/officeDocument/2006/relationships/hyperlink" Target="file:///players/n/nesmiaa01.html" TargetMode="External"/><Relationship Id="rId625" Type="http://schemas.openxmlformats.org/officeDocument/2006/relationships/hyperlink" Target="file:///players/c/councri01.html" TargetMode="External"/><Relationship Id="rId832" Type="http://schemas.openxmlformats.org/officeDocument/2006/relationships/hyperlink" Target="file:///players/d/davisjo06.html" TargetMode="External"/><Relationship Id="rId1048" Type="http://schemas.openxmlformats.org/officeDocument/2006/relationships/hyperlink" Target="file:///players/m/mccluma01.html" TargetMode="External"/><Relationship Id="rId264" Type="http://schemas.openxmlformats.org/officeDocument/2006/relationships/hyperlink" Target="file:///teams/CHO/2025.html" TargetMode="External"/><Relationship Id="rId471" Type="http://schemas.openxmlformats.org/officeDocument/2006/relationships/hyperlink" Target="file:///teams/CHO/2025.html" TargetMode="External"/><Relationship Id="rId59" Type="http://schemas.openxmlformats.org/officeDocument/2006/relationships/hyperlink" Target="file:///players/c/curryst01.html" TargetMode="External"/><Relationship Id="rId124" Type="http://schemas.openxmlformats.org/officeDocument/2006/relationships/hyperlink" Target="file:///teams/BOS/2025.html" TargetMode="External"/><Relationship Id="rId569" Type="http://schemas.openxmlformats.org/officeDocument/2006/relationships/hyperlink" Target="file:///players/r/robinje02.html" TargetMode="External"/><Relationship Id="rId776" Type="http://schemas.openxmlformats.org/officeDocument/2006/relationships/hyperlink" Target="file:///players/f/fernabr01.html" TargetMode="External"/><Relationship Id="rId983" Type="http://schemas.openxmlformats.org/officeDocument/2006/relationships/hyperlink" Target="file:///players/l/lewisma05.html" TargetMode="External"/><Relationship Id="rId331" Type="http://schemas.openxmlformats.org/officeDocument/2006/relationships/hyperlink" Target="file:///players/t/toppiob01.html" TargetMode="External"/><Relationship Id="rId429" Type="http://schemas.openxmlformats.org/officeDocument/2006/relationships/hyperlink" Target="file:///teams/DAL/2025.html" TargetMode="External"/><Relationship Id="rId636" Type="http://schemas.openxmlformats.org/officeDocument/2006/relationships/hyperlink" Target="file:///players/b/balllo01.html" TargetMode="External"/><Relationship Id="rId843" Type="http://schemas.openxmlformats.org/officeDocument/2006/relationships/hyperlink" Target="file:///teams/POR/2025.html" TargetMode="External"/><Relationship Id="rId275" Type="http://schemas.openxmlformats.org/officeDocument/2006/relationships/hyperlink" Target="file:///players/s/smithja05.html" TargetMode="External"/><Relationship Id="rId482" Type="http://schemas.openxmlformats.org/officeDocument/2006/relationships/hyperlink" Target="file:///players/s/smithja04.html" TargetMode="External"/><Relationship Id="rId703" Type="http://schemas.openxmlformats.org/officeDocument/2006/relationships/hyperlink" Target="file:///teams/MIL/2025.html" TargetMode="External"/><Relationship Id="rId910" Type="http://schemas.openxmlformats.org/officeDocument/2006/relationships/hyperlink" Target="file:///teams/PHI/2025.html" TargetMode="External"/><Relationship Id="rId135" Type="http://schemas.openxmlformats.org/officeDocument/2006/relationships/hyperlink" Target="file:///players/c/collijo01.html" TargetMode="External"/><Relationship Id="rId342" Type="http://schemas.openxmlformats.org/officeDocument/2006/relationships/hyperlink" Target="file:///teams/GSW/2025.html" TargetMode="External"/><Relationship Id="rId787" Type="http://schemas.openxmlformats.org/officeDocument/2006/relationships/hyperlink" Target="file:///teams/POR/2025.html" TargetMode="External"/><Relationship Id="rId994" Type="http://schemas.openxmlformats.org/officeDocument/2006/relationships/hyperlink" Target="file:///players/c/chomcul01.html" TargetMode="External"/><Relationship Id="rId202" Type="http://schemas.openxmlformats.org/officeDocument/2006/relationships/hyperlink" Target="file:///players/m/manntr01.html" TargetMode="External"/><Relationship Id="rId647" Type="http://schemas.openxmlformats.org/officeDocument/2006/relationships/hyperlink" Target="file:///teams/LAL/2025.html" TargetMode="External"/><Relationship Id="rId854" Type="http://schemas.openxmlformats.org/officeDocument/2006/relationships/hyperlink" Target="file:///players/j/jemistr01.html" TargetMode="External"/><Relationship Id="rId286" Type="http://schemas.openxmlformats.org/officeDocument/2006/relationships/hyperlink" Target="file:///teams/CLE/2025.html" TargetMode="External"/><Relationship Id="rId493" Type="http://schemas.openxmlformats.org/officeDocument/2006/relationships/hyperlink" Target="file:///teams/BOS/2025.html" TargetMode="External"/><Relationship Id="rId507" Type="http://schemas.openxmlformats.org/officeDocument/2006/relationships/hyperlink" Target="file:///teams/MIL/2025.html" TargetMode="External"/><Relationship Id="rId714" Type="http://schemas.openxmlformats.org/officeDocument/2006/relationships/hyperlink" Target="file:///players/w/whiteda01.html" TargetMode="External"/><Relationship Id="rId921" Type="http://schemas.openxmlformats.org/officeDocument/2006/relationships/hyperlink" Target="file:///players/s/simsje01.html" TargetMode="External"/><Relationship Id="rId50" Type="http://schemas.openxmlformats.org/officeDocument/2006/relationships/hyperlink" Target="file:///teams/LAC/2025.html" TargetMode="External"/><Relationship Id="rId146" Type="http://schemas.openxmlformats.org/officeDocument/2006/relationships/hyperlink" Target="file:///teams/GSW/2025.html" TargetMode="External"/><Relationship Id="rId353" Type="http://schemas.openxmlformats.org/officeDocument/2006/relationships/hyperlink" Target="file:///players/a/alvarjo01.html" TargetMode="External"/><Relationship Id="rId560" Type="http://schemas.openxmlformats.org/officeDocument/2006/relationships/hyperlink" Target="file:///teams/PHI/2025.html" TargetMode="External"/><Relationship Id="rId798" Type="http://schemas.openxmlformats.org/officeDocument/2006/relationships/hyperlink" Target="file:///players/b/brownmo01.html" TargetMode="External"/><Relationship Id="rId213" Type="http://schemas.openxmlformats.org/officeDocument/2006/relationships/hyperlink" Target="file:///teams/WAS/2025.html" TargetMode="External"/><Relationship Id="rId420" Type="http://schemas.openxmlformats.org/officeDocument/2006/relationships/hyperlink" Target="file:///players/r/richani01.html" TargetMode="External"/><Relationship Id="rId658" Type="http://schemas.openxmlformats.org/officeDocument/2006/relationships/hyperlink" Target="file:///players/l/looneke01.html" TargetMode="External"/><Relationship Id="rId865" Type="http://schemas.openxmlformats.org/officeDocument/2006/relationships/hyperlink" Target="file:///teams/PHI/2025.html" TargetMode="External"/><Relationship Id="rId1050" Type="http://schemas.openxmlformats.org/officeDocument/2006/relationships/hyperlink" Target="file:///players/m/minayju01.html" TargetMode="External"/><Relationship Id="rId297" Type="http://schemas.openxmlformats.org/officeDocument/2006/relationships/hyperlink" Target="file:///players/b/barneha02.html" TargetMode="External"/><Relationship Id="rId518" Type="http://schemas.openxmlformats.org/officeDocument/2006/relationships/hyperlink" Target="file:///players/d/drumman01.html" TargetMode="External"/><Relationship Id="rId725" Type="http://schemas.openxmlformats.org/officeDocument/2006/relationships/hyperlink" Target="file:///teams/OKC/2025.html" TargetMode="External"/><Relationship Id="rId932" Type="http://schemas.openxmlformats.org/officeDocument/2006/relationships/hyperlink" Target="file:///teams/MEM/2025.html" TargetMode="External"/><Relationship Id="rId157" Type="http://schemas.openxmlformats.org/officeDocument/2006/relationships/hyperlink" Target="file:///players/s/suggsja01.html" TargetMode="External"/><Relationship Id="rId364" Type="http://schemas.openxmlformats.org/officeDocument/2006/relationships/hyperlink" Target="file:///players/c/claxtni01.html" TargetMode="External"/><Relationship Id="rId1008" Type="http://schemas.openxmlformats.org/officeDocument/2006/relationships/hyperlink" Target="file:///players/c/carlsbr01.html" TargetMode="External"/><Relationship Id="rId61" Type="http://schemas.openxmlformats.org/officeDocument/2006/relationships/hyperlink" Target="file:///players/j/jacksja02.html" TargetMode="External"/><Relationship Id="rId571" Type="http://schemas.openxmlformats.org/officeDocument/2006/relationships/hyperlink" Target="file:///players/s/smithdr01.html" TargetMode="External"/><Relationship Id="rId669" Type="http://schemas.openxmlformats.org/officeDocument/2006/relationships/hyperlink" Target="file:///teams/DET/2025.html" TargetMode="External"/><Relationship Id="rId876" Type="http://schemas.openxmlformats.org/officeDocument/2006/relationships/hyperlink" Target="file:///players/b/beekmre01.html" TargetMode="External"/><Relationship Id="rId19" Type="http://schemas.openxmlformats.org/officeDocument/2006/relationships/hyperlink" Target="file:///players/d/davisan02.html" TargetMode="External"/><Relationship Id="rId224" Type="http://schemas.openxmlformats.org/officeDocument/2006/relationships/hyperlink" Target="file:///players/h/harrito02.html" TargetMode="External"/><Relationship Id="rId431" Type="http://schemas.openxmlformats.org/officeDocument/2006/relationships/hyperlink" Target="file:///teams/LAC/2025.html" TargetMode="External"/><Relationship Id="rId529" Type="http://schemas.openxmlformats.org/officeDocument/2006/relationships/hyperlink" Target="file:///teams/WAS/2025.html" TargetMode="External"/><Relationship Id="rId736" Type="http://schemas.openxmlformats.org/officeDocument/2006/relationships/hyperlink" Target="file:///players/j/jacksre01.html" TargetMode="External"/><Relationship Id="rId168" Type="http://schemas.openxmlformats.org/officeDocument/2006/relationships/hyperlink" Target="file:///teams/PHI/2025.html" TargetMode="External"/><Relationship Id="rId943" Type="http://schemas.openxmlformats.org/officeDocument/2006/relationships/hyperlink" Target="file:///players/f/flaglad01.html" TargetMode="External"/><Relationship Id="rId1019" Type="http://schemas.openxmlformats.org/officeDocument/2006/relationships/hyperlink" Target="file:///teams/LAL/2025.html" TargetMode="External"/><Relationship Id="rId72" Type="http://schemas.openxmlformats.org/officeDocument/2006/relationships/hyperlink" Target="file:///teams/WAS/2025.html" TargetMode="External"/><Relationship Id="rId375" Type="http://schemas.openxmlformats.org/officeDocument/2006/relationships/hyperlink" Target="file:///teams/LAC/2025.html" TargetMode="External"/><Relationship Id="rId582" Type="http://schemas.openxmlformats.org/officeDocument/2006/relationships/hyperlink" Target="file:///teams/GSW/2025.html" TargetMode="External"/><Relationship Id="rId803" Type="http://schemas.openxmlformats.org/officeDocument/2006/relationships/hyperlink" Target="file:///teams/UTA/2025.html" TargetMode="External"/><Relationship Id="rId3" Type="http://schemas.openxmlformats.org/officeDocument/2006/relationships/hyperlink" Target="file:///players/a/antetgi01.html" TargetMode="External"/><Relationship Id="rId235" Type="http://schemas.openxmlformats.org/officeDocument/2006/relationships/hyperlink" Target="file:///teams/MIN/2025.html" TargetMode="External"/><Relationship Id="rId442" Type="http://schemas.openxmlformats.org/officeDocument/2006/relationships/hyperlink" Target="file:///players/w/watsope01.html" TargetMode="External"/><Relationship Id="rId887" Type="http://schemas.openxmlformats.org/officeDocument/2006/relationships/hyperlink" Target="file:///players/t/thomptr01.html" TargetMode="External"/><Relationship Id="rId302" Type="http://schemas.openxmlformats.org/officeDocument/2006/relationships/hyperlink" Target="file:///teams/MIA/2025.html" TargetMode="External"/><Relationship Id="rId747" Type="http://schemas.openxmlformats.org/officeDocument/2006/relationships/hyperlink" Target="file:///teams/HOU/2025.html" TargetMode="External"/><Relationship Id="rId954" Type="http://schemas.openxmlformats.org/officeDocument/2006/relationships/hyperlink" Target="file:///teams/HOU/2025.html" TargetMode="External"/><Relationship Id="rId83" Type="http://schemas.openxmlformats.org/officeDocument/2006/relationships/hyperlink" Target="file:///players/m/murphtr02.html" TargetMode="External"/><Relationship Id="rId179" Type="http://schemas.openxmlformats.org/officeDocument/2006/relationships/hyperlink" Target="file:///teams/PHI/2025.html" TargetMode="External"/><Relationship Id="rId386" Type="http://schemas.openxmlformats.org/officeDocument/2006/relationships/hyperlink" Target="file:///players/p/paulch01.html" TargetMode="External"/><Relationship Id="rId593" Type="http://schemas.openxmlformats.org/officeDocument/2006/relationships/hyperlink" Target="file:///players/o/okorois01.html" TargetMode="External"/><Relationship Id="rId607" Type="http://schemas.openxmlformats.org/officeDocument/2006/relationships/hyperlink" Target="file:///players/s/stewais01.html" TargetMode="External"/><Relationship Id="rId814" Type="http://schemas.openxmlformats.org/officeDocument/2006/relationships/hyperlink" Target="file:///players/m/minotjo01.html" TargetMode="External"/><Relationship Id="rId246" Type="http://schemas.openxmlformats.org/officeDocument/2006/relationships/hyperlink" Target="file:///teams/LAL/2025.html" TargetMode="External"/><Relationship Id="rId453" Type="http://schemas.openxmlformats.org/officeDocument/2006/relationships/hyperlink" Target="file:///teams/PHO/2025.html" TargetMode="External"/><Relationship Id="rId660" Type="http://schemas.openxmlformats.org/officeDocument/2006/relationships/hyperlink" Target="file:///players/m/mogbojo01.html" TargetMode="External"/><Relationship Id="rId898" Type="http://schemas.openxmlformats.org/officeDocument/2006/relationships/hyperlink" Target="file:///teams/DAL/2025.html" TargetMode="External"/><Relationship Id="rId106" Type="http://schemas.openxmlformats.org/officeDocument/2006/relationships/hyperlink" Target="file:///teams/ATL/2025.html" TargetMode="External"/><Relationship Id="rId313" Type="http://schemas.openxmlformats.org/officeDocument/2006/relationships/hyperlink" Target="file:///players/p/pippesc02.html" TargetMode="External"/><Relationship Id="rId758" Type="http://schemas.openxmlformats.org/officeDocument/2006/relationships/hyperlink" Target="file:///players/m/mcderdo01.html" TargetMode="External"/><Relationship Id="rId965" Type="http://schemas.openxmlformats.org/officeDocument/2006/relationships/hyperlink" Target="file:///players/n/nnajize01.html" TargetMode="External"/><Relationship Id="rId10" Type="http://schemas.openxmlformats.org/officeDocument/2006/relationships/hyperlink" Target="file:///teams/ORL/2025.html" TargetMode="External"/><Relationship Id="rId94" Type="http://schemas.openxmlformats.org/officeDocument/2006/relationships/hyperlink" Target="file:///teams/CHI/2025.html" TargetMode="External"/><Relationship Id="rId397" Type="http://schemas.openxmlformats.org/officeDocument/2006/relationships/hyperlink" Target="file:///teams/ATL/2025.html" TargetMode="External"/><Relationship Id="rId520" Type="http://schemas.openxmlformats.org/officeDocument/2006/relationships/hyperlink" Target="file:///players/h/hylanbo01.html" TargetMode="External"/><Relationship Id="rId618" Type="http://schemas.openxmlformats.org/officeDocument/2006/relationships/hyperlink" Target="file:///teams/POR/2025.html" TargetMode="External"/><Relationship Id="rId825" Type="http://schemas.openxmlformats.org/officeDocument/2006/relationships/hyperlink" Target="file:///teams/UTA/2025.html" TargetMode="External"/><Relationship Id="rId257" Type="http://schemas.openxmlformats.org/officeDocument/2006/relationships/hyperlink" Target="file:///players/h/harteis01.html" TargetMode="External"/><Relationship Id="rId464" Type="http://schemas.openxmlformats.org/officeDocument/2006/relationships/hyperlink" Target="file:///players/g/greenaj01.html" TargetMode="External"/><Relationship Id="rId1010" Type="http://schemas.openxmlformats.org/officeDocument/2006/relationships/hyperlink" Target="file:///players/c/cuiyo01.html" TargetMode="External"/><Relationship Id="rId117" Type="http://schemas.openxmlformats.org/officeDocument/2006/relationships/hyperlink" Target="file:///players/w/whiteco01.html" TargetMode="External"/><Relationship Id="rId671" Type="http://schemas.openxmlformats.org/officeDocument/2006/relationships/hyperlink" Target="file:///teams/WAS/2025.html" TargetMode="External"/><Relationship Id="rId769" Type="http://schemas.openxmlformats.org/officeDocument/2006/relationships/hyperlink" Target="file:///teams/CHI/2025.html" TargetMode="External"/><Relationship Id="rId976" Type="http://schemas.openxmlformats.org/officeDocument/2006/relationships/hyperlink" Target="file:///teams/POR/2025.html" TargetMode="External"/><Relationship Id="rId324" Type="http://schemas.openxmlformats.org/officeDocument/2006/relationships/hyperlink" Target="file:///teams/DET/2025.html" TargetMode="External"/><Relationship Id="rId531" Type="http://schemas.openxmlformats.org/officeDocument/2006/relationships/hyperlink" Target="file:///teams/MIA/2025.html" TargetMode="External"/><Relationship Id="rId629" Type="http://schemas.openxmlformats.org/officeDocument/2006/relationships/hyperlink" Target="file:///players/s/sheppbe01.html" TargetMode="External"/><Relationship Id="rId836" Type="http://schemas.openxmlformats.org/officeDocument/2006/relationships/hyperlink" Target="file:///players/w/wrighde01.html" TargetMode="External"/><Relationship Id="rId1021" Type="http://schemas.openxmlformats.org/officeDocument/2006/relationships/hyperlink" Target="file:///teams/DEN/2025.html" TargetMode="External"/><Relationship Id="rId903" Type="http://schemas.openxmlformats.org/officeDocument/2006/relationships/hyperlink" Target="file:///players/s/smithty02.html" TargetMode="External"/><Relationship Id="rId32" Type="http://schemas.openxmlformats.org/officeDocument/2006/relationships/hyperlink" Target="file:///teams/MIL/2025.html" TargetMode="External"/><Relationship Id="rId181" Type="http://schemas.openxmlformats.org/officeDocument/2006/relationships/hyperlink" Target="file:///teams/SAS/2025.html" TargetMode="External"/><Relationship Id="rId279" Type="http://schemas.openxmlformats.org/officeDocument/2006/relationships/hyperlink" Target="file:///players/m/murrake02.html" TargetMode="External"/><Relationship Id="rId486" Type="http://schemas.openxmlformats.org/officeDocument/2006/relationships/hyperlink" Target="file:///players/j/johnske07.html" TargetMode="External"/><Relationship Id="rId693" Type="http://schemas.openxmlformats.org/officeDocument/2006/relationships/hyperlink" Target="file:///teams/MIL/2025.html" TargetMode="External"/><Relationship Id="rId139" Type="http://schemas.openxmlformats.org/officeDocument/2006/relationships/hyperlink" Target="file:///players/i/iveyja01.html" TargetMode="External"/><Relationship Id="rId346" Type="http://schemas.openxmlformats.org/officeDocument/2006/relationships/hyperlink" Target="file:///teams/CLE/2025.html" TargetMode="External"/><Relationship Id="rId553" Type="http://schemas.openxmlformats.org/officeDocument/2006/relationships/hyperlink" Target="file:///players/w/walkeja02.html" TargetMode="External"/><Relationship Id="rId760" Type="http://schemas.openxmlformats.org/officeDocument/2006/relationships/hyperlink" Target="file:///players/w/willico04.html" TargetMode="External"/><Relationship Id="rId998" Type="http://schemas.openxmlformats.org/officeDocument/2006/relationships/hyperlink" Target="file:///players/s/scheiba01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eamrankings.com/nba/team/san-antonio-spurs" TargetMode="External"/><Relationship Id="rId13" Type="http://schemas.openxmlformats.org/officeDocument/2006/relationships/hyperlink" Target="https://www.teamrankings.com/nba/team/new-york-knicks" TargetMode="External"/><Relationship Id="rId18" Type="http://schemas.openxmlformats.org/officeDocument/2006/relationships/hyperlink" Target="https://www.teamrankings.com/nba/team/philadelphia-76ers" TargetMode="External"/><Relationship Id="rId26" Type="http://schemas.openxmlformats.org/officeDocument/2006/relationships/hyperlink" Target="https://www.teamrankings.com/nba/team/washington-wizards" TargetMode="External"/><Relationship Id="rId3" Type="http://schemas.openxmlformats.org/officeDocument/2006/relationships/hyperlink" Target="https://www.teamrankings.com/nba/team/boston-celtics" TargetMode="External"/><Relationship Id="rId21" Type="http://schemas.openxmlformats.org/officeDocument/2006/relationships/hyperlink" Target="https://www.teamrankings.com/nba/team/toronto-raptors" TargetMode="External"/><Relationship Id="rId7" Type="http://schemas.openxmlformats.org/officeDocument/2006/relationships/hyperlink" Target="https://www.teamrankings.com/nba/team/los-angeles-clippers" TargetMode="External"/><Relationship Id="rId12" Type="http://schemas.openxmlformats.org/officeDocument/2006/relationships/hyperlink" Target="https://www.teamrankings.com/nba/team/sacramento-kings" TargetMode="External"/><Relationship Id="rId17" Type="http://schemas.openxmlformats.org/officeDocument/2006/relationships/hyperlink" Target="https://www.teamrankings.com/nba/team/golden-state-warriors" TargetMode="External"/><Relationship Id="rId25" Type="http://schemas.openxmlformats.org/officeDocument/2006/relationships/hyperlink" Target="https://www.teamrankings.com/nba/team/new-orleans-pelicans" TargetMode="External"/><Relationship Id="rId2" Type="http://schemas.openxmlformats.org/officeDocument/2006/relationships/hyperlink" Target="https://www.teamrankings.com/nba/team/houston-rockets" TargetMode="External"/><Relationship Id="rId16" Type="http://schemas.openxmlformats.org/officeDocument/2006/relationships/hyperlink" Target="https://www.teamrankings.com/nba/team/dallas-mavericks" TargetMode="External"/><Relationship Id="rId20" Type="http://schemas.openxmlformats.org/officeDocument/2006/relationships/hyperlink" Target="https://www.teamrankings.com/nba/team/phoenix-suns" TargetMode="External"/><Relationship Id="rId29" Type="http://schemas.openxmlformats.org/officeDocument/2006/relationships/hyperlink" Target="https://www.teamrankings.com/nba/team/chicago-bulls" TargetMode="External"/><Relationship Id="rId1" Type="http://schemas.openxmlformats.org/officeDocument/2006/relationships/hyperlink" Target="https://www.teamrankings.com/nba/team/orlando-magic" TargetMode="External"/><Relationship Id="rId6" Type="http://schemas.openxmlformats.org/officeDocument/2006/relationships/hyperlink" Target="https://www.teamrankings.com/nba/team/milwaukee-bucks" TargetMode="External"/><Relationship Id="rId11" Type="http://schemas.openxmlformats.org/officeDocument/2006/relationships/hyperlink" Target="https://www.teamrankings.com/nba/team/cleveland-cavaliers" TargetMode="External"/><Relationship Id="rId24" Type="http://schemas.openxmlformats.org/officeDocument/2006/relationships/hyperlink" Target="https://www.teamrankings.com/nba/team/los-angeles-lakers" TargetMode="External"/><Relationship Id="rId5" Type="http://schemas.openxmlformats.org/officeDocument/2006/relationships/hyperlink" Target="https://www.teamrankings.com/nba/team/minnesota-timberwolves" TargetMode="External"/><Relationship Id="rId15" Type="http://schemas.openxmlformats.org/officeDocument/2006/relationships/hyperlink" Target="https://www.teamrankings.com/nba/team/charlotte-hornets" TargetMode="External"/><Relationship Id="rId23" Type="http://schemas.openxmlformats.org/officeDocument/2006/relationships/hyperlink" Target="https://www.teamrankings.com/nba/team/portland-trail-blazers" TargetMode="External"/><Relationship Id="rId28" Type="http://schemas.openxmlformats.org/officeDocument/2006/relationships/hyperlink" Target="https://www.teamrankings.com/nba/team/atlanta-hawks" TargetMode="External"/><Relationship Id="rId10" Type="http://schemas.openxmlformats.org/officeDocument/2006/relationships/hyperlink" Target="https://www.teamrankings.com/nba/team/memphis-grizzlies" TargetMode="External"/><Relationship Id="rId19" Type="http://schemas.openxmlformats.org/officeDocument/2006/relationships/hyperlink" Target="https://www.teamrankings.com/nba/team/miami-heat" TargetMode="External"/><Relationship Id="rId31" Type="http://schemas.openxmlformats.org/officeDocument/2006/relationships/queryTable" Target="../queryTables/queryTable2.xml"/><Relationship Id="rId4" Type="http://schemas.openxmlformats.org/officeDocument/2006/relationships/hyperlink" Target="https://www.teamrankings.com/nba/team/oklahoma-city-thunder" TargetMode="External"/><Relationship Id="rId9" Type="http://schemas.openxmlformats.org/officeDocument/2006/relationships/hyperlink" Target="https://www.teamrankings.com/nba/team/detroit-pistons" TargetMode="External"/><Relationship Id="rId14" Type="http://schemas.openxmlformats.org/officeDocument/2006/relationships/hyperlink" Target="https://www.teamrankings.com/nba/team/indiana-pacers" TargetMode="External"/><Relationship Id="rId22" Type="http://schemas.openxmlformats.org/officeDocument/2006/relationships/hyperlink" Target="https://www.teamrankings.com/nba/team/brooklyn-nets" TargetMode="External"/><Relationship Id="rId27" Type="http://schemas.openxmlformats.org/officeDocument/2006/relationships/hyperlink" Target="https://www.teamrankings.com/nba/team/utah-jazz" TargetMode="External"/><Relationship Id="rId30" Type="http://schemas.openxmlformats.org/officeDocument/2006/relationships/hyperlink" Target="https://www.teamrankings.com/nba/team/denver-nuggets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eamrankings.com/nba/team/milwaukee-bucks" TargetMode="External"/><Relationship Id="rId13" Type="http://schemas.openxmlformats.org/officeDocument/2006/relationships/hyperlink" Target="https://www.teamrankings.com/nba/team/san-antonio-spurs" TargetMode="External"/><Relationship Id="rId18" Type="http://schemas.openxmlformats.org/officeDocument/2006/relationships/hyperlink" Target="https://www.teamrankings.com/nba/team/sacramento-kings" TargetMode="External"/><Relationship Id="rId26" Type="http://schemas.openxmlformats.org/officeDocument/2006/relationships/hyperlink" Target="https://www.teamrankings.com/nba/team/utah-jazz" TargetMode="External"/><Relationship Id="rId3" Type="http://schemas.openxmlformats.org/officeDocument/2006/relationships/hyperlink" Target="https://www.teamrankings.com/nba/team/houston-rockets" TargetMode="External"/><Relationship Id="rId21" Type="http://schemas.openxmlformats.org/officeDocument/2006/relationships/hyperlink" Target="https://www.teamrankings.com/nba/team/memphis-grizzlies" TargetMode="External"/><Relationship Id="rId7" Type="http://schemas.openxmlformats.org/officeDocument/2006/relationships/hyperlink" Target="https://www.teamrankings.com/nba/team/miami-heat" TargetMode="External"/><Relationship Id="rId12" Type="http://schemas.openxmlformats.org/officeDocument/2006/relationships/hyperlink" Target="https://www.teamrankings.com/nba/team/cleveland-cavaliers" TargetMode="External"/><Relationship Id="rId17" Type="http://schemas.openxmlformats.org/officeDocument/2006/relationships/hyperlink" Target="https://www.teamrankings.com/nba/team/brooklyn-nets" TargetMode="External"/><Relationship Id="rId25" Type="http://schemas.openxmlformats.org/officeDocument/2006/relationships/hyperlink" Target="https://www.teamrankings.com/nba/team/new-orleans-pelicans" TargetMode="External"/><Relationship Id="rId2" Type="http://schemas.openxmlformats.org/officeDocument/2006/relationships/hyperlink" Target="https://www.teamrankings.com/nba/team/oklahoma-city-thunder" TargetMode="External"/><Relationship Id="rId16" Type="http://schemas.openxmlformats.org/officeDocument/2006/relationships/hyperlink" Target="https://www.teamrankings.com/nba/team/detroit-pistons" TargetMode="External"/><Relationship Id="rId20" Type="http://schemas.openxmlformats.org/officeDocument/2006/relationships/hyperlink" Target="https://www.teamrankings.com/nba/team/los-angeles-lakers" TargetMode="External"/><Relationship Id="rId29" Type="http://schemas.openxmlformats.org/officeDocument/2006/relationships/hyperlink" Target="https://www.teamrankings.com/nba/team/chicago-bulls" TargetMode="External"/><Relationship Id="rId1" Type="http://schemas.openxmlformats.org/officeDocument/2006/relationships/hyperlink" Target="https://www.teamrankings.com/nba/team/orlando-magic" TargetMode="External"/><Relationship Id="rId6" Type="http://schemas.openxmlformats.org/officeDocument/2006/relationships/hyperlink" Target="https://www.teamrankings.com/nba/team/los-angeles-clippers" TargetMode="External"/><Relationship Id="rId11" Type="http://schemas.openxmlformats.org/officeDocument/2006/relationships/hyperlink" Target="https://www.teamrankings.com/nba/team/golden-state-warriors" TargetMode="External"/><Relationship Id="rId24" Type="http://schemas.openxmlformats.org/officeDocument/2006/relationships/hyperlink" Target="https://www.teamrankings.com/nba/team/denver-nuggets" TargetMode="External"/><Relationship Id="rId5" Type="http://schemas.openxmlformats.org/officeDocument/2006/relationships/hyperlink" Target="https://www.teamrankings.com/nba/team/boston-celtics" TargetMode="External"/><Relationship Id="rId15" Type="http://schemas.openxmlformats.org/officeDocument/2006/relationships/hyperlink" Target="https://www.teamrankings.com/nba/team/charlotte-hornets" TargetMode="External"/><Relationship Id="rId23" Type="http://schemas.openxmlformats.org/officeDocument/2006/relationships/hyperlink" Target="https://www.teamrankings.com/nba/team/portland-trail-blazers" TargetMode="External"/><Relationship Id="rId28" Type="http://schemas.openxmlformats.org/officeDocument/2006/relationships/hyperlink" Target="https://www.teamrankings.com/nba/team/atlanta-hawks" TargetMode="External"/><Relationship Id="rId10" Type="http://schemas.openxmlformats.org/officeDocument/2006/relationships/hyperlink" Target="https://www.teamrankings.com/nba/team/philadelphia-76ers" TargetMode="External"/><Relationship Id="rId19" Type="http://schemas.openxmlformats.org/officeDocument/2006/relationships/hyperlink" Target="https://www.teamrankings.com/nba/team/phoenix-suns" TargetMode="External"/><Relationship Id="rId31" Type="http://schemas.openxmlformats.org/officeDocument/2006/relationships/queryTable" Target="../queryTables/queryTable3.xml"/><Relationship Id="rId4" Type="http://schemas.openxmlformats.org/officeDocument/2006/relationships/hyperlink" Target="https://www.teamrankings.com/nba/team/minnesota-timberwolves" TargetMode="External"/><Relationship Id="rId9" Type="http://schemas.openxmlformats.org/officeDocument/2006/relationships/hyperlink" Target="https://www.teamrankings.com/nba/team/new-york-knicks" TargetMode="External"/><Relationship Id="rId14" Type="http://schemas.openxmlformats.org/officeDocument/2006/relationships/hyperlink" Target="https://www.teamrankings.com/nba/team/dallas-mavericks" TargetMode="External"/><Relationship Id="rId22" Type="http://schemas.openxmlformats.org/officeDocument/2006/relationships/hyperlink" Target="https://www.teamrankings.com/nba/team/indiana-pacers" TargetMode="External"/><Relationship Id="rId27" Type="http://schemas.openxmlformats.org/officeDocument/2006/relationships/hyperlink" Target="https://www.teamrankings.com/nba/team/toronto-raptors" TargetMode="External"/><Relationship Id="rId30" Type="http://schemas.openxmlformats.org/officeDocument/2006/relationships/hyperlink" Target="https://www.teamrankings.com/nba/team/washington-wizards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eamrankings.com/nba/team/golden-state-warriors" TargetMode="External"/><Relationship Id="rId13" Type="http://schemas.openxmlformats.org/officeDocument/2006/relationships/hyperlink" Target="https://www.teamrankings.com/nba/team/oklahoma-city-thunder" TargetMode="External"/><Relationship Id="rId18" Type="http://schemas.openxmlformats.org/officeDocument/2006/relationships/hyperlink" Target="https://www.teamrankings.com/nba/team/san-antonio-spurs" TargetMode="External"/><Relationship Id="rId26" Type="http://schemas.openxmlformats.org/officeDocument/2006/relationships/hyperlink" Target="https://www.teamrankings.com/nba/team/minnesota-timberwolves" TargetMode="External"/><Relationship Id="rId3" Type="http://schemas.openxmlformats.org/officeDocument/2006/relationships/hyperlink" Target="https://www.teamrankings.com/nba/team/atlanta-hawks" TargetMode="External"/><Relationship Id="rId21" Type="http://schemas.openxmlformats.org/officeDocument/2006/relationships/hyperlink" Target="https://www.teamrankings.com/nba/team/los-angeles-clippers" TargetMode="External"/><Relationship Id="rId7" Type="http://schemas.openxmlformats.org/officeDocument/2006/relationships/hyperlink" Target="https://www.teamrankings.com/nba/team/sacramento-kings" TargetMode="External"/><Relationship Id="rId12" Type="http://schemas.openxmlformats.org/officeDocument/2006/relationships/hyperlink" Target="https://www.teamrankings.com/nba/team/detroit-pistons" TargetMode="External"/><Relationship Id="rId17" Type="http://schemas.openxmlformats.org/officeDocument/2006/relationships/hyperlink" Target="https://www.teamrankings.com/nba/team/milwaukee-bucks" TargetMode="External"/><Relationship Id="rId25" Type="http://schemas.openxmlformats.org/officeDocument/2006/relationships/hyperlink" Target="https://www.teamrankings.com/nba/team/philadelphia-76ers" TargetMode="External"/><Relationship Id="rId2" Type="http://schemas.openxmlformats.org/officeDocument/2006/relationships/hyperlink" Target="https://www.teamrankings.com/nba/team/chicago-bulls" TargetMode="External"/><Relationship Id="rId16" Type="http://schemas.openxmlformats.org/officeDocument/2006/relationships/hyperlink" Target="https://www.teamrankings.com/nba/team/new-orleans-pelicans" TargetMode="External"/><Relationship Id="rId20" Type="http://schemas.openxmlformats.org/officeDocument/2006/relationships/hyperlink" Target="https://www.teamrankings.com/nba/team/utah-jazz" TargetMode="External"/><Relationship Id="rId29" Type="http://schemas.openxmlformats.org/officeDocument/2006/relationships/hyperlink" Target="https://www.teamrankings.com/nba/team/new-york-knicks" TargetMode="External"/><Relationship Id="rId1" Type="http://schemas.openxmlformats.org/officeDocument/2006/relationships/hyperlink" Target="https://www.teamrankings.com/nba/team/memphis-grizzlies" TargetMode="External"/><Relationship Id="rId6" Type="http://schemas.openxmlformats.org/officeDocument/2006/relationships/hyperlink" Target="https://www.teamrankings.com/nba/team/toronto-raptors" TargetMode="External"/><Relationship Id="rId11" Type="http://schemas.openxmlformats.org/officeDocument/2006/relationships/hyperlink" Target="https://www.teamrankings.com/nba/team/houston-rockets" TargetMode="External"/><Relationship Id="rId24" Type="http://schemas.openxmlformats.org/officeDocument/2006/relationships/hyperlink" Target="https://www.teamrankings.com/nba/team/miami-heat" TargetMode="External"/><Relationship Id="rId5" Type="http://schemas.openxmlformats.org/officeDocument/2006/relationships/hyperlink" Target="https://www.teamrankings.com/nba/team/denver-nuggets" TargetMode="External"/><Relationship Id="rId15" Type="http://schemas.openxmlformats.org/officeDocument/2006/relationships/hyperlink" Target="https://www.teamrankings.com/nba/team/portland-trail-blazers" TargetMode="External"/><Relationship Id="rId23" Type="http://schemas.openxmlformats.org/officeDocument/2006/relationships/hyperlink" Target="https://www.teamrankings.com/nba/team/los-angeles-lakers" TargetMode="External"/><Relationship Id="rId28" Type="http://schemas.openxmlformats.org/officeDocument/2006/relationships/hyperlink" Target="https://www.teamrankings.com/nba/team/brooklyn-nets" TargetMode="External"/><Relationship Id="rId10" Type="http://schemas.openxmlformats.org/officeDocument/2006/relationships/hyperlink" Target="https://www.teamrankings.com/nba/team/indiana-pacers" TargetMode="External"/><Relationship Id="rId19" Type="http://schemas.openxmlformats.org/officeDocument/2006/relationships/hyperlink" Target="https://www.teamrankings.com/nba/team/charlotte-hornets" TargetMode="External"/><Relationship Id="rId31" Type="http://schemas.openxmlformats.org/officeDocument/2006/relationships/queryTable" Target="../queryTables/queryTable4.xml"/><Relationship Id="rId4" Type="http://schemas.openxmlformats.org/officeDocument/2006/relationships/hyperlink" Target="https://www.teamrankings.com/nba/team/washington-wizards" TargetMode="External"/><Relationship Id="rId9" Type="http://schemas.openxmlformats.org/officeDocument/2006/relationships/hyperlink" Target="https://www.teamrankings.com/nba/team/cleveland-cavaliers" TargetMode="External"/><Relationship Id="rId14" Type="http://schemas.openxmlformats.org/officeDocument/2006/relationships/hyperlink" Target="https://www.teamrankings.com/nba/team/dallas-mavericks" TargetMode="External"/><Relationship Id="rId22" Type="http://schemas.openxmlformats.org/officeDocument/2006/relationships/hyperlink" Target="https://www.teamrankings.com/nba/team/boston-celtics" TargetMode="External"/><Relationship Id="rId27" Type="http://schemas.openxmlformats.org/officeDocument/2006/relationships/hyperlink" Target="https://www.teamrankings.com/nba/team/phoenix-suns" TargetMode="External"/><Relationship Id="rId30" Type="http://schemas.openxmlformats.org/officeDocument/2006/relationships/hyperlink" Target="https://www.teamrankings.com/nba/team/orlando-magic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eamrankings.com/nba/team/golden-state-warriors" TargetMode="External"/><Relationship Id="rId13" Type="http://schemas.openxmlformats.org/officeDocument/2006/relationships/hyperlink" Target="https://www.teamrankings.com/nba/team/orlando-magic" TargetMode="External"/><Relationship Id="rId18" Type="http://schemas.openxmlformats.org/officeDocument/2006/relationships/hyperlink" Target="https://www.teamrankings.com/nba/team/sacramento-kings" TargetMode="External"/><Relationship Id="rId26" Type="http://schemas.openxmlformats.org/officeDocument/2006/relationships/hyperlink" Target="https://www.teamrankings.com/nba/team/phoenix-suns" TargetMode="External"/><Relationship Id="rId3" Type="http://schemas.openxmlformats.org/officeDocument/2006/relationships/hyperlink" Target="https://www.teamrankings.com/nba/team/utah-jazz" TargetMode="External"/><Relationship Id="rId21" Type="http://schemas.openxmlformats.org/officeDocument/2006/relationships/hyperlink" Target="https://www.teamrankings.com/nba/team/philadelphia-76ers" TargetMode="External"/><Relationship Id="rId7" Type="http://schemas.openxmlformats.org/officeDocument/2006/relationships/hyperlink" Target="https://www.teamrankings.com/nba/team/new-orleans-pelicans" TargetMode="External"/><Relationship Id="rId12" Type="http://schemas.openxmlformats.org/officeDocument/2006/relationships/hyperlink" Target="https://www.teamrankings.com/nba/team/denver-nuggets" TargetMode="External"/><Relationship Id="rId17" Type="http://schemas.openxmlformats.org/officeDocument/2006/relationships/hyperlink" Target="https://www.teamrankings.com/nba/team/boston-celtics" TargetMode="External"/><Relationship Id="rId25" Type="http://schemas.openxmlformats.org/officeDocument/2006/relationships/hyperlink" Target="https://www.teamrankings.com/nba/team/brooklyn-nets" TargetMode="External"/><Relationship Id="rId2" Type="http://schemas.openxmlformats.org/officeDocument/2006/relationships/hyperlink" Target="https://www.teamrankings.com/nba/team/memphis-grizzlies" TargetMode="External"/><Relationship Id="rId16" Type="http://schemas.openxmlformats.org/officeDocument/2006/relationships/hyperlink" Target="https://www.teamrankings.com/nba/team/los-angeles-clippers" TargetMode="External"/><Relationship Id="rId20" Type="http://schemas.openxmlformats.org/officeDocument/2006/relationships/hyperlink" Target="https://www.teamrankings.com/nba/team/washington-wizards" TargetMode="External"/><Relationship Id="rId29" Type="http://schemas.openxmlformats.org/officeDocument/2006/relationships/hyperlink" Target="https://www.teamrankings.com/nba/team/chicago-bulls" TargetMode="External"/><Relationship Id="rId1" Type="http://schemas.openxmlformats.org/officeDocument/2006/relationships/hyperlink" Target="https://www.teamrankings.com/nba/team/houston-rockets" TargetMode="External"/><Relationship Id="rId6" Type="http://schemas.openxmlformats.org/officeDocument/2006/relationships/hyperlink" Target="https://www.teamrankings.com/nba/team/toronto-raptors" TargetMode="External"/><Relationship Id="rId11" Type="http://schemas.openxmlformats.org/officeDocument/2006/relationships/hyperlink" Target="https://www.teamrankings.com/nba/team/detroit-pistons" TargetMode="External"/><Relationship Id="rId24" Type="http://schemas.openxmlformats.org/officeDocument/2006/relationships/hyperlink" Target="https://www.teamrankings.com/nba/team/oklahoma-city-thunder" TargetMode="External"/><Relationship Id="rId5" Type="http://schemas.openxmlformats.org/officeDocument/2006/relationships/hyperlink" Target="https://www.teamrankings.com/nba/team/portland-trail-blazers" TargetMode="External"/><Relationship Id="rId15" Type="http://schemas.openxmlformats.org/officeDocument/2006/relationships/hyperlink" Target="https://www.teamrankings.com/nba/team/san-antonio-spurs" TargetMode="External"/><Relationship Id="rId23" Type="http://schemas.openxmlformats.org/officeDocument/2006/relationships/hyperlink" Target="https://www.teamrankings.com/nba/team/los-angeles-lakers" TargetMode="External"/><Relationship Id="rId28" Type="http://schemas.openxmlformats.org/officeDocument/2006/relationships/hyperlink" Target="https://www.teamrankings.com/nba/team/indiana-pacers" TargetMode="External"/><Relationship Id="rId10" Type="http://schemas.openxmlformats.org/officeDocument/2006/relationships/hyperlink" Target="https://www.teamrankings.com/nba/team/dallas-mavericks" TargetMode="External"/><Relationship Id="rId19" Type="http://schemas.openxmlformats.org/officeDocument/2006/relationships/hyperlink" Target="https://www.teamrankings.com/nba/team/minnesota-timberwolves" TargetMode="External"/><Relationship Id="rId31" Type="http://schemas.openxmlformats.org/officeDocument/2006/relationships/queryTable" Target="../queryTables/queryTable5.xml"/><Relationship Id="rId4" Type="http://schemas.openxmlformats.org/officeDocument/2006/relationships/hyperlink" Target="https://www.teamrankings.com/nba/team/charlotte-hornets" TargetMode="External"/><Relationship Id="rId9" Type="http://schemas.openxmlformats.org/officeDocument/2006/relationships/hyperlink" Target="https://www.teamrankings.com/nba/team/atlanta-hawks" TargetMode="External"/><Relationship Id="rId14" Type="http://schemas.openxmlformats.org/officeDocument/2006/relationships/hyperlink" Target="https://www.teamrankings.com/nba/team/new-york-knicks" TargetMode="External"/><Relationship Id="rId22" Type="http://schemas.openxmlformats.org/officeDocument/2006/relationships/hyperlink" Target="https://www.teamrankings.com/nba/team/cleveland-cavaliers" TargetMode="External"/><Relationship Id="rId27" Type="http://schemas.openxmlformats.org/officeDocument/2006/relationships/hyperlink" Target="https://www.teamrankings.com/nba/team/miami-heat" TargetMode="External"/><Relationship Id="rId30" Type="http://schemas.openxmlformats.org/officeDocument/2006/relationships/hyperlink" Target="https://www.teamrankings.com/nba/team/milwaukee-bucks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eamrankings.com/nba/team/new-york-knicks" TargetMode="External"/><Relationship Id="rId13" Type="http://schemas.openxmlformats.org/officeDocument/2006/relationships/hyperlink" Target="https://www.teamrankings.com/nba/team/cleveland-cavaliers" TargetMode="External"/><Relationship Id="rId18" Type="http://schemas.openxmlformats.org/officeDocument/2006/relationships/hyperlink" Target="https://www.teamrankings.com/nba/team/phoenix-suns" TargetMode="External"/><Relationship Id="rId26" Type="http://schemas.openxmlformats.org/officeDocument/2006/relationships/hyperlink" Target="https://www.teamrankings.com/nba/team/oklahoma-city-thunder" TargetMode="External"/><Relationship Id="rId3" Type="http://schemas.openxmlformats.org/officeDocument/2006/relationships/hyperlink" Target="https://www.teamrankings.com/nba/team/sacramento-kings" TargetMode="External"/><Relationship Id="rId21" Type="http://schemas.openxmlformats.org/officeDocument/2006/relationships/hyperlink" Target="https://www.teamrankings.com/nba/team/san-antonio-spurs" TargetMode="External"/><Relationship Id="rId7" Type="http://schemas.openxmlformats.org/officeDocument/2006/relationships/hyperlink" Target="https://www.teamrankings.com/nba/team/boston-celtics" TargetMode="External"/><Relationship Id="rId12" Type="http://schemas.openxmlformats.org/officeDocument/2006/relationships/hyperlink" Target="https://www.teamrankings.com/nba/team/houston-rockets" TargetMode="External"/><Relationship Id="rId17" Type="http://schemas.openxmlformats.org/officeDocument/2006/relationships/hyperlink" Target="https://www.teamrankings.com/nba/team/utah-jazz" TargetMode="External"/><Relationship Id="rId25" Type="http://schemas.openxmlformats.org/officeDocument/2006/relationships/hyperlink" Target="https://www.teamrankings.com/nba/team/los-angeles-lakers" TargetMode="External"/><Relationship Id="rId2" Type="http://schemas.openxmlformats.org/officeDocument/2006/relationships/hyperlink" Target="https://www.teamrankings.com/nba/team/milwaukee-bucks" TargetMode="External"/><Relationship Id="rId16" Type="http://schemas.openxmlformats.org/officeDocument/2006/relationships/hyperlink" Target="https://www.teamrankings.com/nba/team/memphis-grizzlies" TargetMode="External"/><Relationship Id="rId20" Type="http://schemas.openxmlformats.org/officeDocument/2006/relationships/hyperlink" Target="https://www.teamrankings.com/nba/team/philadelphia-76ers" TargetMode="External"/><Relationship Id="rId29" Type="http://schemas.openxmlformats.org/officeDocument/2006/relationships/hyperlink" Target="https://www.teamrankings.com/nba/team/new-orleans-pelicans" TargetMode="External"/><Relationship Id="rId1" Type="http://schemas.openxmlformats.org/officeDocument/2006/relationships/hyperlink" Target="https://www.teamrankings.com/nba/team/orlando-magic" TargetMode="External"/><Relationship Id="rId6" Type="http://schemas.openxmlformats.org/officeDocument/2006/relationships/hyperlink" Target="https://www.teamrankings.com/nba/team/chicago-bulls" TargetMode="External"/><Relationship Id="rId11" Type="http://schemas.openxmlformats.org/officeDocument/2006/relationships/hyperlink" Target="https://www.teamrankings.com/nba/team/charlotte-hornets" TargetMode="External"/><Relationship Id="rId24" Type="http://schemas.openxmlformats.org/officeDocument/2006/relationships/hyperlink" Target="https://www.teamrankings.com/nba/team/dallas-mavericks" TargetMode="External"/><Relationship Id="rId5" Type="http://schemas.openxmlformats.org/officeDocument/2006/relationships/hyperlink" Target="https://www.teamrankings.com/nba/team/detroit-pistons" TargetMode="External"/><Relationship Id="rId15" Type="http://schemas.openxmlformats.org/officeDocument/2006/relationships/hyperlink" Target="https://www.teamrankings.com/nba/team/atlanta-hawks" TargetMode="External"/><Relationship Id="rId23" Type="http://schemas.openxmlformats.org/officeDocument/2006/relationships/hyperlink" Target="https://www.teamrankings.com/nba/team/denver-nuggets" TargetMode="External"/><Relationship Id="rId28" Type="http://schemas.openxmlformats.org/officeDocument/2006/relationships/hyperlink" Target="https://www.teamrankings.com/nba/team/washington-wizards" TargetMode="External"/><Relationship Id="rId10" Type="http://schemas.openxmlformats.org/officeDocument/2006/relationships/hyperlink" Target="https://www.teamrankings.com/nba/team/golden-state-warriors" TargetMode="External"/><Relationship Id="rId19" Type="http://schemas.openxmlformats.org/officeDocument/2006/relationships/hyperlink" Target="https://www.teamrankings.com/nba/team/miami-heat" TargetMode="External"/><Relationship Id="rId31" Type="http://schemas.openxmlformats.org/officeDocument/2006/relationships/queryTable" Target="../queryTables/queryTable6.xml"/><Relationship Id="rId4" Type="http://schemas.openxmlformats.org/officeDocument/2006/relationships/hyperlink" Target="https://www.teamrankings.com/nba/team/los-angeles-clippers" TargetMode="External"/><Relationship Id="rId9" Type="http://schemas.openxmlformats.org/officeDocument/2006/relationships/hyperlink" Target="https://www.teamrankings.com/nba/team/brooklyn-nets" TargetMode="External"/><Relationship Id="rId14" Type="http://schemas.openxmlformats.org/officeDocument/2006/relationships/hyperlink" Target="https://www.teamrankings.com/nba/team/minnesota-timberwolves" TargetMode="External"/><Relationship Id="rId22" Type="http://schemas.openxmlformats.org/officeDocument/2006/relationships/hyperlink" Target="https://www.teamrankings.com/nba/team/indiana-pacers" TargetMode="External"/><Relationship Id="rId27" Type="http://schemas.openxmlformats.org/officeDocument/2006/relationships/hyperlink" Target="https://www.teamrankings.com/nba/team/toronto-raptors" TargetMode="External"/><Relationship Id="rId30" Type="http://schemas.openxmlformats.org/officeDocument/2006/relationships/hyperlink" Target="https://www.teamrankings.com/nba/team/portland-trail-blaze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7C664-AD98-7444-AB08-714A5397671F}">
  <dimension ref="A2:T4"/>
  <sheetViews>
    <sheetView workbookViewId="0">
      <selection activeCell="A4" sqref="A4:T4"/>
    </sheetView>
  </sheetViews>
  <sheetFormatPr baseColWidth="10" defaultRowHeight="16" x14ac:dyDescent="0.2"/>
  <sheetData>
    <row r="2" spans="1:20" x14ac:dyDescent="0.2">
      <c r="A2" t="s">
        <v>674</v>
      </c>
    </row>
    <row r="4" spans="1:20" ht="21" x14ac:dyDescent="0.25">
      <c r="A4" s="38" t="s">
        <v>675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</row>
  </sheetData>
  <mergeCells count="1">
    <mergeCell ref="A4:T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DFD1B-01B8-4F46-B752-6520DA228170}">
  <sheetPr codeName="Sheet1"/>
  <dimension ref="B2:O21"/>
  <sheetViews>
    <sheetView showGridLines="0" tabSelected="1" zoomScale="120" zoomScaleNormal="120" workbookViewId="0">
      <selection activeCell="G1" sqref="G1:G1048576"/>
    </sheetView>
  </sheetViews>
  <sheetFormatPr baseColWidth="10" defaultRowHeight="16" x14ac:dyDescent="0.2"/>
  <cols>
    <col min="1" max="2" width="10.83203125" style="10"/>
    <col min="3" max="3" width="10.83203125" style="10" customWidth="1"/>
    <col min="4" max="4" width="10.83203125" style="10"/>
    <col min="5" max="5" width="18.83203125" style="10" customWidth="1"/>
    <col min="6" max="6" width="14.33203125" style="10" customWidth="1"/>
    <col min="7" max="7" width="15.5" style="10" customWidth="1"/>
    <col min="8" max="8" width="12.5" style="10" customWidth="1"/>
    <col min="9" max="9" width="17.33203125" style="10" customWidth="1"/>
    <col min="10" max="10" width="12.1640625" style="10" customWidth="1"/>
    <col min="11" max="11" width="15" style="10" customWidth="1"/>
    <col min="12" max="12" width="14.33203125" style="10" customWidth="1"/>
    <col min="13" max="16384" width="10.83203125" style="10"/>
  </cols>
  <sheetData>
    <row r="2" spans="2:15" ht="16" customHeight="1" x14ac:dyDescent="0.2">
      <c r="B2" s="81" t="s">
        <v>507</v>
      </c>
      <c r="C2" s="49"/>
      <c r="D2" s="50"/>
      <c r="E2" s="82" t="s">
        <v>185</v>
      </c>
      <c r="F2" s="59"/>
      <c r="G2" s="59"/>
      <c r="H2" s="59"/>
      <c r="I2" s="59"/>
      <c r="J2" s="59"/>
      <c r="K2" s="60"/>
      <c r="L2" s="64" t="s">
        <v>509</v>
      </c>
      <c r="M2" s="65"/>
      <c r="N2" s="72">
        <f>_xlfn.XLOOKUP(E2,'Player Stats'!$B$3:$B$1004,'Player Stats'!$H$3:$H$1004)</f>
        <v>35</v>
      </c>
      <c r="O2" s="73"/>
    </row>
    <row r="3" spans="2:15" ht="16" customHeight="1" x14ac:dyDescent="0.2">
      <c r="B3" s="51"/>
      <c r="C3" s="52"/>
      <c r="D3" s="53"/>
      <c r="E3" s="61"/>
      <c r="F3" s="62"/>
      <c r="G3" s="62"/>
      <c r="H3" s="62"/>
      <c r="I3" s="62"/>
      <c r="J3" s="62"/>
      <c r="K3" s="63"/>
      <c r="L3" s="66"/>
      <c r="M3" s="67"/>
      <c r="N3" s="74"/>
      <c r="O3" s="75"/>
    </row>
    <row r="4" spans="2:15" ht="16" customHeight="1" x14ac:dyDescent="0.2">
      <c r="B4" s="80" t="s">
        <v>508</v>
      </c>
      <c r="C4" s="54"/>
      <c r="D4" s="55"/>
      <c r="E4" s="82" t="s">
        <v>491</v>
      </c>
      <c r="F4" s="59"/>
      <c r="G4" s="59"/>
      <c r="H4" s="59"/>
      <c r="I4" s="59"/>
      <c r="J4" s="59"/>
      <c r="K4" s="60"/>
      <c r="L4" s="68" t="s">
        <v>510</v>
      </c>
      <c r="M4" s="69"/>
      <c r="N4" s="76" t="s">
        <v>511</v>
      </c>
      <c r="O4" s="77"/>
    </row>
    <row r="5" spans="2:15" ht="16" customHeight="1" x14ac:dyDescent="0.2">
      <c r="B5" s="56"/>
      <c r="C5" s="57"/>
      <c r="D5" s="58"/>
      <c r="E5" s="61"/>
      <c r="F5" s="62"/>
      <c r="G5" s="62"/>
      <c r="H5" s="62"/>
      <c r="I5" s="62"/>
      <c r="J5" s="62"/>
      <c r="K5" s="63"/>
      <c r="L5" s="70"/>
      <c r="M5" s="71"/>
      <c r="N5" s="78"/>
      <c r="O5" s="79"/>
    </row>
    <row r="6" spans="2:15" x14ac:dyDescent="0.2">
      <c r="N6" s="34"/>
    </row>
    <row r="7" spans="2:15" ht="16" customHeight="1" x14ac:dyDescent="0.2">
      <c r="E7" s="14" t="s">
        <v>512</v>
      </c>
      <c r="F7" s="14" t="s">
        <v>676</v>
      </c>
      <c r="G7" s="14" t="s">
        <v>677</v>
      </c>
      <c r="H7" s="14" t="s">
        <v>513</v>
      </c>
      <c r="I7" s="14" t="s">
        <v>514</v>
      </c>
      <c r="J7" s="14" t="s">
        <v>515</v>
      </c>
      <c r="K7" s="14" t="s">
        <v>678</v>
      </c>
      <c r="L7" s="14" t="s">
        <v>679</v>
      </c>
      <c r="N7" s="31"/>
      <c r="O7" s="31"/>
    </row>
    <row r="8" spans="2:15" ht="16" customHeight="1" x14ac:dyDescent="0.2">
      <c r="E8" s="11">
        <f>IF(N4="Yes",SQRT(1.01),1/SQRT(1.01))</f>
        <v>1.004987562112089</v>
      </c>
      <c r="F8" s="22">
        <f>_xlfn.XLOOKUP(E2,'Player Stats'!$B$3:$B$1004,'Player Stats'!$V$3:$V$1004)</f>
        <v>0.7</v>
      </c>
      <c r="G8" s="12">
        <f>_xlfn.XLOOKUP(E2,'Player Stats'!$B$3:$B$1004,'Player Stats'!$W$3:$W$1004)</f>
        <v>3</v>
      </c>
      <c r="H8" s="11">
        <f>N2/_xlfn.XLOOKUP(E2,'Player Stats'!$B$3:$B$1004,'Player Stats'!$H$3:$H$1004)</f>
        <v>1</v>
      </c>
      <c r="I8" s="12" t="str" cm="1">
        <f t="array" ref="I8">_xlfn.XLOOKUP(E2,_xlfn.ANCHORARRAY('Player Stats'!$AG$3),_xlfn.ANCHORARRAY('Player Stats'!$AH$3))</f>
        <v>IND</v>
      </c>
      <c r="J8" s="13">
        <f>SQRT(_xlfn.XLOOKUP(_xlfn.XLOOKUP(I8,'Team ID'!$A$2:$A$31,'Team ID'!$C$2:$C$31),PACE!$B$2:$B$31,PACE!$C$2:$C$31)*_xlfn.XLOOKUP(_xlfn.XLOOKUP(E4,'Team ID'!$B$2:$B$31,'Team ID'!$C$2:$C$31),PACE!$B$2:$B$31,PACE!$C$2:$C$31))/_xlfn.XLOOKUP(_xlfn.XLOOKUP(E4,'Team ID'!$B$2:$B$31,'Team ID'!$C$2:$C$31),PACE!$B$2:$B$31,PACE!$C$2:$C$31)</f>
        <v>0.99951585569662893</v>
      </c>
      <c r="K8" s="13">
        <f>(1-(_xlfn.XLOOKUP(_xlfn.XLOOKUP(E4,'Team ID'!$B$2:$B$31,'Team ID'!$C$2:$C$31),'Def Reb %'!$B$2:$B$31,'Def Reb %'!$C$2:$C$31)))/'Off Reb %'!$C$33</f>
        <v>0.96748077182566428</v>
      </c>
      <c r="L8" s="13">
        <f>(1-(_xlfn.XLOOKUP(_xlfn.XLOOKUP(E4,'Team ID'!$B$2:$B$31,'Team ID'!$C$2:$C$31),'Off Reb %'!$B$2:$B$31,'Off Reb %'!$C$2:$C$31)))/'Def Reb %'!$C$33</f>
        <v>0.97160072659607433</v>
      </c>
      <c r="N8" s="31"/>
      <c r="O8" s="31"/>
    </row>
    <row r="9" spans="2:15" x14ac:dyDescent="0.2">
      <c r="E9" s="15"/>
      <c r="H9" s="15"/>
      <c r="J9" s="16"/>
      <c r="K9" s="16"/>
      <c r="L9" s="16"/>
    </row>
    <row r="10" spans="2:15" x14ac:dyDescent="0.2">
      <c r="E10" s="14" t="s">
        <v>660</v>
      </c>
      <c r="F10" s="14" t="s">
        <v>657</v>
      </c>
      <c r="G10" s="14" t="s">
        <v>15</v>
      </c>
      <c r="H10" s="14" t="s">
        <v>658</v>
      </c>
      <c r="I10" s="14" t="s">
        <v>12</v>
      </c>
      <c r="J10" s="14" t="s">
        <v>659</v>
      </c>
      <c r="K10" s="14" t="s">
        <v>19</v>
      </c>
      <c r="L10" s="14" t="s">
        <v>680</v>
      </c>
      <c r="M10"/>
    </row>
    <row r="11" spans="2:15" x14ac:dyDescent="0.2">
      <c r="E11" s="24">
        <f>_xlfn.XLOOKUP(E2,'Player Stats'!$B$3:$B$1004,'Player Stats'!$J$3:$J$1004)+_xlfn.XLOOKUP(E2,'Player Stats'!$B$3:$B$1004,'Player Stats'!$T$3:$T$1004)</f>
        <v>17.5</v>
      </c>
      <c r="F11" s="11">
        <f>_xlfn.XLOOKUP(E2,'Player Stats'!$B$3:$B$1004,'Player Stats'!$P$3:$P$1004)/(_xlfn.XLOOKUP(E2,'Player Stats'!$B$3:$B$1004,'Player Stats'!$P$3:$P$1004)+_xlfn.XLOOKUP(E2,'Player Stats'!$B$3:$B$1004,'Player Stats'!$M$3:$M$1004)+_xlfn.XLOOKUP(E2,'Player Stats'!$B$3:$B$1004,'Player Stats'!$T$3:$T$1004))</f>
        <v>0.33714285714285719</v>
      </c>
      <c r="G11" s="11">
        <f>_xlfn.XLOOKUP(E2,'Player Stats'!$B$3:$B$1004,'Player Stats'!$Q$3:$Q$1004)</f>
        <v>0.55400000000000005</v>
      </c>
      <c r="H11" s="11">
        <f>_xlfn.XLOOKUP(E2,'Player Stats'!$B$3:$B$1004,'Player Stats'!$M$3:$M$1004)/(_xlfn.XLOOKUP(E2,'Player Stats'!$B$3:$B$1004,'Player Stats'!$P$3:$P$1004)+_xlfn.XLOOKUP(E2,'Player Stats'!$B$3:$B$1004,'Player Stats'!$M$3:$M$1004)+_xlfn.XLOOKUP(E2,'Player Stats'!$B$3:$B$1004,'Player Stats'!$T$3:$T$1004))</f>
        <v>0.47428571428571431</v>
      </c>
      <c r="I11" s="11">
        <f>_xlfn.XLOOKUP(E2,'Player Stats'!$B$3:$B$1004,'Player Stats'!$N$3:$N$1004)</f>
        <v>0.36099999999999999</v>
      </c>
      <c r="J11" s="11">
        <f>_xlfn.XLOOKUP(E2,'Player Stats'!$B$3:$B$1004,'Player Stats'!$T$3:$T$1004)/(_xlfn.XLOOKUP(E2,'Player Stats'!$B$3:$B$1004,'Player Stats'!$P$3:$P$1004)+_xlfn.XLOOKUP(E2,'Player Stats'!$B$3:$B$1004,'Player Stats'!$M$3:$M$1004)+_xlfn.XLOOKUP(E2,'Player Stats'!$B$3:$B$1004,'Player Stats'!$T$3:$T$1004))</f>
        <v>0.18857142857142856</v>
      </c>
      <c r="K11" s="11">
        <f>_xlfn.XLOOKUP(E2,'Player Stats'!$B$3:$B$1004,'Player Stats'!$U$3:$U$1004)</f>
        <v>0.85</v>
      </c>
      <c r="L11" s="13">
        <f>_xlfn.XLOOKUP(_xlfn.XLOOKUP(E4,'Team ID'!$B$2:$B$31,'Team ID'!$C$2:$C$31),'Points Allowed'!$B$2:$B$31,'Points Allowed'!$C$2:$C$31)/AVERAGE('Points Allowed'!$C$2:$C$31)</f>
        <v>0.98266237410284429</v>
      </c>
      <c r="M11"/>
    </row>
    <row r="12" spans="2:15" x14ac:dyDescent="0.2">
      <c r="E12" s="15"/>
      <c r="F12" s="23"/>
      <c r="G12" s="23"/>
      <c r="H12" s="23"/>
      <c r="I12" s="23"/>
      <c r="J12" s="23"/>
      <c r="K12" s="23"/>
      <c r="L12" s="23"/>
    </row>
    <row r="13" spans="2:15" x14ac:dyDescent="0.2">
      <c r="C13" s="27"/>
      <c r="G13" s="23"/>
      <c r="H13" s="14" t="s">
        <v>661</v>
      </c>
      <c r="I13" s="14" t="s">
        <v>662</v>
      </c>
      <c r="J13" s="23"/>
      <c r="K13" s="23"/>
      <c r="L13" s="23"/>
    </row>
    <row r="14" spans="2:15" x14ac:dyDescent="0.2">
      <c r="G14" s="23"/>
      <c r="H14" s="24">
        <f>_xlfn.XLOOKUP(E2,'Player Stats'!$B$3:$B$1004,'Player Stats'!$Y$3:$Y$1004)</f>
        <v>8.9</v>
      </c>
      <c r="I14" s="25">
        <f>_xlfn.XLOOKUP(_xlfn.XLOOKUP(E4,'Team ID'!$B$2:$B$31,'Team ID'!$C$2:$C$31),Assists!$B$2:$B$31,Assists!$C$2:$C$31)/AVERAGE(Assists!$C$2:$C$31)</f>
        <v>1.0048211113930476</v>
      </c>
      <c r="J14" s="23"/>
      <c r="K14" s="23"/>
      <c r="L14" s="23"/>
    </row>
    <row r="15" spans="2:15" x14ac:dyDescent="0.2">
      <c r="G15" s="23"/>
      <c r="H15" s="35"/>
      <c r="I15" s="26"/>
      <c r="J15" s="23"/>
      <c r="K15" s="23"/>
      <c r="L15" s="23"/>
    </row>
    <row r="16" spans="2:15" ht="16" customHeight="1" x14ac:dyDescent="0.2">
      <c r="B16" s="43"/>
      <c r="C16" s="43"/>
      <c r="D16" s="42"/>
      <c r="E16" s="42"/>
      <c r="F16" s="33"/>
      <c r="G16" s="43"/>
      <c r="H16" s="43"/>
      <c r="I16" s="42"/>
      <c r="J16" s="42"/>
      <c r="K16" s="36"/>
      <c r="L16" s="43"/>
      <c r="M16" s="43"/>
      <c r="N16" s="42"/>
      <c r="O16" s="42"/>
    </row>
    <row r="17" spans="2:15" ht="16" customHeight="1" x14ac:dyDescent="0.2">
      <c r="B17" s="44"/>
      <c r="C17" s="44"/>
      <c r="D17" s="45"/>
      <c r="E17" s="45"/>
      <c r="G17" s="40" t="s">
        <v>663</v>
      </c>
      <c r="H17" s="40"/>
      <c r="I17" s="41">
        <f>$E$11*$L$11*$E$8*$H$8*$J$8*($F$11*$G$11*2+$H$11*$I$11*3+$J$11*$K$11)</f>
        <v>18.094360085307624</v>
      </c>
      <c r="J17" s="41"/>
    </row>
    <row r="18" spans="2:15" ht="16" customHeight="1" x14ac:dyDescent="0.2">
      <c r="B18" s="44"/>
      <c r="C18" s="44"/>
      <c r="D18" s="45"/>
      <c r="E18" s="45"/>
      <c r="F18" s="28"/>
      <c r="G18" s="46" t="s">
        <v>517</v>
      </c>
      <c r="H18" s="46"/>
      <c r="I18" s="39">
        <f>E8*F8*H8*J8*K8+E8*G8*H8*J8*L8</f>
        <v>3.6082064975126156</v>
      </c>
      <c r="J18" s="39"/>
      <c r="K18" s="28"/>
      <c r="L18" s="32"/>
      <c r="M18" s="32"/>
      <c r="N18" s="29"/>
      <c r="O18" s="29"/>
    </row>
    <row r="19" spans="2:15" ht="16" customHeight="1" x14ac:dyDescent="0.2">
      <c r="B19" s="44"/>
      <c r="C19" s="44"/>
      <c r="D19" s="45"/>
      <c r="E19" s="45"/>
      <c r="F19" s="28"/>
      <c r="G19" s="40" t="s">
        <v>664</v>
      </c>
      <c r="H19" s="40"/>
      <c r="I19" s="41">
        <f>E8*H8*J8*H14*I14</f>
        <v>8.983159947620214</v>
      </c>
      <c r="J19" s="41"/>
      <c r="K19" s="28"/>
      <c r="L19" s="32"/>
      <c r="M19" s="32"/>
      <c r="N19" s="30"/>
      <c r="O19" s="30"/>
    </row>
    <row r="20" spans="2:15" x14ac:dyDescent="0.2">
      <c r="B20" s="33"/>
      <c r="C20" s="33"/>
      <c r="D20" s="33"/>
      <c r="E20" s="33"/>
      <c r="G20" s="37"/>
      <c r="H20" s="37"/>
    </row>
    <row r="21" spans="2:15" ht="16" customHeight="1" x14ac:dyDescent="0.2">
      <c r="B21" s="44"/>
      <c r="C21" s="44"/>
      <c r="D21" s="45"/>
      <c r="E21" s="45"/>
      <c r="G21" s="40" t="s">
        <v>671</v>
      </c>
      <c r="H21" s="40"/>
      <c r="I21" s="41">
        <f>I17+I18+I19</f>
        <v>30.685726530440455</v>
      </c>
      <c r="J21" s="41"/>
    </row>
  </sheetData>
  <mergeCells count="22">
    <mergeCell ref="B21:C21"/>
    <mergeCell ref="D21:E21"/>
    <mergeCell ref="G21:H21"/>
    <mergeCell ref="I21:J21"/>
    <mergeCell ref="B19:C19"/>
    <mergeCell ref="D19:E19"/>
    <mergeCell ref="B18:C18"/>
    <mergeCell ref="D18:E18"/>
    <mergeCell ref="B16:C16"/>
    <mergeCell ref="D16:E16"/>
    <mergeCell ref="G16:H16"/>
    <mergeCell ref="G17:H17"/>
    <mergeCell ref="G18:H18"/>
    <mergeCell ref="B17:C17"/>
    <mergeCell ref="D17:E17"/>
    <mergeCell ref="I18:J18"/>
    <mergeCell ref="G19:H19"/>
    <mergeCell ref="I19:J19"/>
    <mergeCell ref="I16:J16"/>
    <mergeCell ref="L16:M16"/>
    <mergeCell ref="N16:O16"/>
    <mergeCell ref="I17:J17"/>
  </mergeCells>
  <dataValidations count="3">
    <dataValidation type="list" allowBlank="1" showInputMessage="1" showErrorMessage="1" sqref="E4:K5" xr:uid="{3AA0C357-EE71-5147-9332-A9B14D818444}">
      <formula1>teams</formula1>
    </dataValidation>
    <dataValidation type="list" allowBlank="1" showInputMessage="1" showErrorMessage="1" sqref="N4:O5" xr:uid="{5906D5FB-5A6E-E54B-B441-AEE0B5FABA16}">
      <formula1>"Yes,No"</formula1>
    </dataValidation>
    <dataValidation type="list" allowBlank="1" showInputMessage="1" showErrorMessage="1" sqref="N7:O8" xr:uid="{C8F0D234-1B07-D847-BA21-9105FB6BD19E}">
      <formula1>"American, Decimal"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67FAF0-B9D0-4048-9445-3207CEBEE817}">
          <x14:formula1>
            <xm:f>_xlfn.ANCHORARRAY('Player Stats'!$AG$3)</xm:f>
          </x14:formula1>
          <xm:sqref>E2:K3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D591-9B8F-3D45-91FE-A068E2D0C79A}">
  <sheetPr codeName="Sheet2"/>
  <dimension ref="A1:B1002"/>
  <sheetViews>
    <sheetView workbookViewId="0">
      <selection activeCell="B6" sqref="B6"/>
    </sheetView>
  </sheetViews>
  <sheetFormatPr baseColWidth="10" defaultRowHeight="16" x14ac:dyDescent="0.2"/>
  <cols>
    <col min="1" max="1" width="10.83203125" style="10"/>
    <col min="2" max="2" width="41.33203125" style="10" customWidth="1"/>
    <col min="3" max="16384" width="10.83203125" style="10"/>
  </cols>
  <sheetData>
    <row r="1" spans="1:2" x14ac:dyDescent="0.2">
      <c r="B1" s="10" t="str">
        <f>Projections!E2&amp;" points"</f>
        <v>Tyrese Haliburton points</v>
      </c>
    </row>
    <row r="2" spans="1:2" x14ac:dyDescent="0.2">
      <c r="A2" s="10" t="s">
        <v>672</v>
      </c>
      <c r="B2" s="27">
        <f ca="1">2*_xlfn.BINOM.INV(_xlfn.BINOM.INV(_xlfn.BINOM.INV(10000,(Projections!$E$11*Projections!$E$8*Projections!$H$8*Projections!$J$8*Projections!$L$11)/10000,RAND()),Projections!$F$11,RAND()),Projections!$G$11,RAND())+3*_xlfn.BINOM.INV(_xlfn.BINOM.INV(_xlfn.BINOM.INV(10000,(Projections!$E$11*Projections!$E$8*Projections!$H$8*Projections!$J$8*Projections!$L$11)/10000,RAND()),Projections!$H$11,RAND()),Projections!$I$11,RAND())+_xlfn.BINOM.INV(_xlfn.BINOM.INV(_xlfn.BINOM.INV(10000,(Projections!$E$11*Projections!$E$8*Projections!$H$8*Projections!$J$8*Projections!$L$11)/10000,RAND()),Projections!$J$11,RAND()),Projections!$K$11,RAND())</f>
        <v>13</v>
      </c>
    </row>
    <row r="3" spans="1:2" x14ac:dyDescent="0.2">
      <c r="A3" s="10" cm="1">
        <f t="array" ref="A3:A1002">_xlfn.SEQUENCE(1000)</f>
        <v>1</v>
      </c>
      <c r="B3" s="10">
        <f t="dataTable" ref="B3:B1002" dt2D="0" dtr="0" r1="E14" ca="1"/>
        <v>26</v>
      </c>
    </row>
    <row r="4" spans="1:2" x14ac:dyDescent="0.2">
      <c r="A4" s="10">
        <v>2</v>
      </c>
      <c r="B4" s="10">
        <v>16</v>
      </c>
    </row>
    <row r="5" spans="1:2" x14ac:dyDescent="0.2">
      <c r="A5" s="10">
        <v>3</v>
      </c>
      <c r="B5" s="10">
        <v>27</v>
      </c>
    </row>
    <row r="6" spans="1:2" x14ac:dyDescent="0.2">
      <c r="A6" s="10">
        <v>4</v>
      </c>
      <c r="B6" s="10">
        <v>22</v>
      </c>
    </row>
    <row r="7" spans="1:2" x14ac:dyDescent="0.2">
      <c r="A7" s="10">
        <v>5</v>
      </c>
      <c r="B7" s="10">
        <v>14</v>
      </c>
    </row>
    <row r="8" spans="1:2" x14ac:dyDescent="0.2">
      <c r="A8" s="10">
        <v>6</v>
      </c>
      <c r="B8" s="10">
        <v>20</v>
      </c>
    </row>
    <row r="9" spans="1:2" x14ac:dyDescent="0.2">
      <c r="A9" s="10">
        <v>7</v>
      </c>
      <c r="B9" s="10">
        <v>26</v>
      </c>
    </row>
    <row r="10" spans="1:2" x14ac:dyDescent="0.2">
      <c r="A10" s="10">
        <v>8</v>
      </c>
      <c r="B10" s="10">
        <v>17</v>
      </c>
    </row>
    <row r="11" spans="1:2" x14ac:dyDescent="0.2">
      <c r="A11" s="10">
        <v>9</v>
      </c>
      <c r="B11" s="10">
        <v>24</v>
      </c>
    </row>
    <row r="12" spans="1:2" x14ac:dyDescent="0.2">
      <c r="A12" s="10">
        <v>10</v>
      </c>
      <c r="B12" s="10">
        <v>15</v>
      </c>
    </row>
    <row r="13" spans="1:2" x14ac:dyDescent="0.2">
      <c r="A13" s="10">
        <v>11</v>
      </c>
      <c r="B13" s="10">
        <v>11</v>
      </c>
    </row>
    <row r="14" spans="1:2" x14ac:dyDescent="0.2">
      <c r="A14" s="10">
        <v>12</v>
      </c>
      <c r="B14" s="10">
        <v>25</v>
      </c>
    </row>
    <row r="15" spans="1:2" x14ac:dyDescent="0.2">
      <c r="A15" s="10">
        <v>13</v>
      </c>
      <c r="B15" s="10">
        <v>12</v>
      </c>
    </row>
    <row r="16" spans="1:2" x14ac:dyDescent="0.2">
      <c r="A16" s="10">
        <v>14</v>
      </c>
      <c r="B16" s="10">
        <v>18</v>
      </c>
    </row>
    <row r="17" spans="1:2" x14ac:dyDescent="0.2">
      <c r="A17" s="10">
        <v>15</v>
      </c>
      <c r="B17" s="10">
        <v>22</v>
      </c>
    </row>
    <row r="18" spans="1:2" x14ac:dyDescent="0.2">
      <c r="A18" s="10">
        <v>16</v>
      </c>
      <c r="B18" s="10">
        <v>26</v>
      </c>
    </row>
    <row r="19" spans="1:2" x14ac:dyDescent="0.2">
      <c r="A19" s="10">
        <v>17</v>
      </c>
      <c r="B19" s="10">
        <v>11</v>
      </c>
    </row>
    <row r="20" spans="1:2" x14ac:dyDescent="0.2">
      <c r="A20" s="10">
        <v>18</v>
      </c>
      <c r="B20" s="10">
        <v>16</v>
      </c>
    </row>
    <row r="21" spans="1:2" x14ac:dyDescent="0.2">
      <c r="A21" s="10">
        <v>19</v>
      </c>
      <c r="B21" s="10">
        <v>16</v>
      </c>
    </row>
    <row r="22" spans="1:2" x14ac:dyDescent="0.2">
      <c r="A22" s="10">
        <v>20</v>
      </c>
      <c r="B22" s="10">
        <v>19</v>
      </c>
    </row>
    <row r="23" spans="1:2" x14ac:dyDescent="0.2">
      <c r="A23" s="10">
        <v>21</v>
      </c>
      <c r="B23" s="10">
        <v>6</v>
      </c>
    </row>
    <row r="24" spans="1:2" x14ac:dyDescent="0.2">
      <c r="A24" s="10">
        <v>22</v>
      </c>
      <c r="B24" s="10">
        <v>27</v>
      </c>
    </row>
    <row r="25" spans="1:2" x14ac:dyDescent="0.2">
      <c r="A25" s="10">
        <v>23</v>
      </c>
      <c r="B25" s="10">
        <v>18</v>
      </c>
    </row>
    <row r="26" spans="1:2" x14ac:dyDescent="0.2">
      <c r="A26" s="10">
        <v>24</v>
      </c>
      <c r="B26" s="10">
        <v>12</v>
      </c>
    </row>
    <row r="27" spans="1:2" x14ac:dyDescent="0.2">
      <c r="A27" s="10">
        <v>25</v>
      </c>
      <c r="B27" s="10">
        <v>14</v>
      </c>
    </row>
    <row r="28" spans="1:2" x14ac:dyDescent="0.2">
      <c r="A28" s="10">
        <v>26</v>
      </c>
      <c r="B28" s="10">
        <v>8</v>
      </c>
    </row>
    <row r="29" spans="1:2" x14ac:dyDescent="0.2">
      <c r="A29" s="10">
        <v>27</v>
      </c>
      <c r="B29" s="10">
        <v>12</v>
      </c>
    </row>
    <row r="30" spans="1:2" x14ac:dyDescent="0.2">
      <c r="A30" s="10">
        <v>28</v>
      </c>
      <c r="B30" s="10">
        <v>15</v>
      </c>
    </row>
    <row r="31" spans="1:2" x14ac:dyDescent="0.2">
      <c r="A31" s="10">
        <v>29</v>
      </c>
      <c r="B31" s="10">
        <v>24</v>
      </c>
    </row>
    <row r="32" spans="1:2" x14ac:dyDescent="0.2">
      <c r="A32" s="10">
        <v>30</v>
      </c>
      <c r="B32" s="10">
        <v>18</v>
      </c>
    </row>
    <row r="33" spans="1:2" x14ac:dyDescent="0.2">
      <c r="A33" s="10">
        <v>31</v>
      </c>
      <c r="B33" s="10">
        <v>17</v>
      </c>
    </row>
    <row r="34" spans="1:2" x14ac:dyDescent="0.2">
      <c r="A34" s="10">
        <v>32</v>
      </c>
      <c r="B34" s="10">
        <v>15</v>
      </c>
    </row>
    <row r="35" spans="1:2" x14ac:dyDescent="0.2">
      <c r="A35" s="10">
        <v>33</v>
      </c>
      <c r="B35" s="10">
        <v>19</v>
      </c>
    </row>
    <row r="36" spans="1:2" x14ac:dyDescent="0.2">
      <c r="A36" s="10">
        <v>34</v>
      </c>
      <c r="B36" s="10">
        <v>25</v>
      </c>
    </row>
    <row r="37" spans="1:2" x14ac:dyDescent="0.2">
      <c r="A37" s="10">
        <v>35</v>
      </c>
      <c r="B37" s="10">
        <v>20</v>
      </c>
    </row>
    <row r="38" spans="1:2" x14ac:dyDescent="0.2">
      <c r="A38" s="10">
        <v>36</v>
      </c>
      <c r="B38" s="10">
        <v>29</v>
      </c>
    </row>
    <row r="39" spans="1:2" x14ac:dyDescent="0.2">
      <c r="A39" s="10">
        <v>37</v>
      </c>
      <c r="B39" s="10">
        <v>26</v>
      </c>
    </row>
    <row r="40" spans="1:2" x14ac:dyDescent="0.2">
      <c r="A40" s="10">
        <v>38</v>
      </c>
      <c r="B40" s="10">
        <v>18</v>
      </c>
    </row>
    <row r="41" spans="1:2" x14ac:dyDescent="0.2">
      <c r="A41" s="10">
        <v>39</v>
      </c>
      <c r="B41" s="10">
        <v>23</v>
      </c>
    </row>
    <row r="42" spans="1:2" x14ac:dyDescent="0.2">
      <c r="A42" s="10">
        <v>40</v>
      </c>
      <c r="B42" s="10">
        <v>11</v>
      </c>
    </row>
    <row r="43" spans="1:2" x14ac:dyDescent="0.2">
      <c r="A43" s="10">
        <v>41</v>
      </c>
      <c r="B43" s="10">
        <v>25</v>
      </c>
    </row>
    <row r="44" spans="1:2" x14ac:dyDescent="0.2">
      <c r="A44" s="10">
        <v>42</v>
      </c>
      <c r="B44" s="10">
        <v>20</v>
      </c>
    </row>
    <row r="45" spans="1:2" x14ac:dyDescent="0.2">
      <c r="A45" s="10">
        <v>43</v>
      </c>
      <c r="B45" s="10">
        <v>6</v>
      </c>
    </row>
    <row r="46" spans="1:2" x14ac:dyDescent="0.2">
      <c r="A46" s="10">
        <v>44</v>
      </c>
      <c r="B46" s="10">
        <v>11</v>
      </c>
    </row>
    <row r="47" spans="1:2" x14ac:dyDescent="0.2">
      <c r="A47" s="10">
        <v>45</v>
      </c>
      <c r="B47" s="10">
        <v>8</v>
      </c>
    </row>
    <row r="48" spans="1:2" x14ac:dyDescent="0.2">
      <c r="A48" s="10">
        <v>46</v>
      </c>
      <c r="B48" s="10">
        <v>15</v>
      </c>
    </row>
    <row r="49" spans="1:2" x14ac:dyDescent="0.2">
      <c r="A49" s="10">
        <v>47</v>
      </c>
      <c r="B49" s="10">
        <v>21</v>
      </c>
    </row>
    <row r="50" spans="1:2" x14ac:dyDescent="0.2">
      <c r="A50" s="10">
        <v>48</v>
      </c>
      <c r="B50" s="10">
        <v>15</v>
      </c>
    </row>
    <row r="51" spans="1:2" x14ac:dyDescent="0.2">
      <c r="A51" s="10">
        <v>49</v>
      </c>
      <c r="B51" s="10">
        <v>28</v>
      </c>
    </row>
    <row r="52" spans="1:2" x14ac:dyDescent="0.2">
      <c r="A52" s="10">
        <v>50</v>
      </c>
      <c r="B52" s="10">
        <v>16</v>
      </c>
    </row>
    <row r="53" spans="1:2" x14ac:dyDescent="0.2">
      <c r="A53" s="10">
        <v>51</v>
      </c>
      <c r="B53" s="10">
        <v>25</v>
      </c>
    </row>
    <row r="54" spans="1:2" x14ac:dyDescent="0.2">
      <c r="A54" s="10">
        <v>52</v>
      </c>
      <c r="B54" s="10">
        <v>18</v>
      </c>
    </row>
    <row r="55" spans="1:2" x14ac:dyDescent="0.2">
      <c r="A55" s="10">
        <v>53</v>
      </c>
      <c r="B55" s="10">
        <v>13</v>
      </c>
    </row>
    <row r="56" spans="1:2" x14ac:dyDescent="0.2">
      <c r="A56" s="10">
        <v>54</v>
      </c>
      <c r="B56" s="10">
        <v>11</v>
      </c>
    </row>
    <row r="57" spans="1:2" x14ac:dyDescent="0.2">
      <c r="A57" s="10">
        <v>55</v>
      </c>
      <c r="B57" s="10">
        <v>15</v>
      </c>
    </row>
    <row r="58" spans="1:2" x14ac:dyDescent="0.2">
      <c r="A58" s="10">
        <v>56</v>
      </c>
      <c r="B58" s="10">
        <v>13</v>
      </c>
    </row>
    <row r="59" spans="1:2" x14ac:dyDescent="0.2">
      <c r="A59" s="10">
        <v>57</v>
      </c>
      <c r="B59" s="10">
        <v>18</v>
      </c>
    </row>
    <row r="60" spans="1:2" x14ac:dyDescent="0.2">
      <c r="A60" s="10">
        <v>58</v>
      </c>
      <c r="B60" s="10">
        <v>28</v>
      </c>
    </row>
    <row r="61" spans="1:2" x14ac:dyDescent="0.2">
      <c r="A61" s="10">
        <v>59</v>
      </c>
      <c r="B61" s="10">
        <v>14</v>
      </c>
    </row>
    <row r="62" spans="1:2" x14ac:dyDescent="0.2">
      <c r="A62" s="10">
        <v>60</v>
      </c>
      <c r="B62" s="10">
        <v>16</v>
      </c>
    </row>
    <row r="63" spans="1:2" x14ac:dyDescent="0.2">
      <c r="A63" s="10">
        <v>61</v>
      </c>
      <c r="B63" s="10">
        <v>28</v>
      </c>
    </row>
    <row r="64" spans="1:2" x14ac:dyDescent="0.2">
      <c r="A64" s="10">
        <v>62</v>
      </c>
      <c r="B64" s="10">
        <v>13</v>
      </c>
    </row>
    <row r="65" spans="1:2" x14ac:dyDescent="0.2">
      <c r="A65" s="10">
        <v>63</v>
      </c>
      <c r="B65" s="10">
        <v>14</v>
      </c>
    </row>
    <row r="66" spans="1:2" x14ac:dyDescent="0.2">
      <c r="A66" s="10">
        <v>64</v>
      </c>
      <c r="B66" s="10">
        <v>28</v>
      </c>
    </row>
    <row r="67" spans="1:2" x14ac:dyDescent="0.2">
      <c r="A67" s="10">
        <v>65</v>
      </c>
      <c r="B67" s="10">
        <v>11</v>
      </c>
    </row>
    <row r="68" spans="1:2" x14ac:dyDescent="0.2">
      <c r="A68" s="10">
        <v>66</v>
      </c>
      <c r="B68" s="10">
        <v>26</v>
      </c>
    </row>
    <row r="69" spans="1:2" x14ac:dyDescent="0.2">
      <c r="A69" s="10">
        <v>67</v>
      </c>
      <c r="B69" s="10">
        <v>13</v>
      </c>
    </row>
    <row r="70" spans="1:2" x14ac:dyDescent="0.2">
      <c r="A70" s="10">
        <v>68</v>
      </c>
      <c r="B70" s="10">
        <v>17</v>
      </c>
    </row>
    <row r="71" spans="1:2" x14ac:dyDescent="0.2">
      <c r="A71" s="10">
        <v>69</v>
      </c>
      <c r="B71" s="10">
        <v>11</v>
      </c>
    </row>
    <row r="72" spans="1:2" x14ac:dyDescent="0.2">
      <c r="A72" s="10">
        <v>70</v>
      </c>
      <c r="B72" s="10">
        <v>19</v>
      </c>
    </row>
    <row r="73" spans="1:2" x14ac:dyDescent="0.2">
      <c r="A73" s="10">
        <v>71</v>
      </c>
      <c r="B73" s="10">
        <v>8</v>
      </c>
    </row>
    <row r="74" spans="1:2" x14ac:dyDescent="0.2">
      <c r="A74" s="10">
        <v>72</v>
      </c>
      <c r="B74" s="10">
        <v>13</v>
      </c>
    </row>
    <row r="75" spans="1:2" x14ac:dyDescent="0.2">
      <c r="A75" s="10">
        <v>73</v>
      </c>
      <c r="B75" s="10">
        <v>14</v>
      </c>
    </row>
    <row r="76" spans="1:2" x14ac:dyDescent="0.2">
      <c r="A76" s="10">
        <v>74</v>
      </c>
      <c r="B76" s="10">
        <v>14</v>
      </c>
    </row>
    <row r="77" spans="1:2" x14ac:dyDescent="0.2">
      <c r="A77" s="10">
        <v>75</v>
      </c>
      <c r="B77" s="10">
        <v>23</v>
      </c>
    </row>
    <row r="78" spans="1:2" x14ac:dyDescent="0.2">
      <c r="A78" s="10">
        <v>76</v>
      </c>
      <c r="B78" s="10">
        <v>9</v>
      </c>
    </row>
    <row r="79" spans="1:2" x14ac:dyDescent="0.2">
      <c r="A79" s="10">
        <v>77</v>
      </c>
      <c r="B79" s="10">
        <v>20</v>
      </c>
    </row>
    <row r="80" spans="1:2" x14ac:dyDescent="0.2">
      <c r="A80" s="10">
        <v>78</v>
      </c>
      <c r="B80" s="10">
        <v>20</v>
      </c>
    </row>
    <row r="81" spans="1:2" x14ac:dyDescent="0.2">
      <c r="A81" s="10">
        <v>79</v>
      </c>
      <c r="B81" s="10">
        <v>19</v>
      </c>
    </row>
    <row r="82" spans="1:2" x14ac:dyDescent="0.2">
      <c r="A82" s="10">
        <v>80</v>
      </c>
      <c r="B82" s="10">
        <v>19</v>
      </c>
    </row>
    <row r="83" spans="1:2" x14ac:dyDescent="0.2">
      <c r="A83" s="10">
        <v>81</v>
      </c>
      <c r="B83" s="10">
        <v>24</v>
      </c>
    </row>
    <row r="84" spans="1:2" x14ac:dyDescent="0.2">
      <c r="A84" s="10">
        <v>82</v>
      </c>
      <c r="B84" s="10">
        <v>10</v>
      </c>
    </row>
    <row r="85" spans="1:2" x14ac:dyDescent="0.2">
      <c r="A85" s="10">
        <v>83</v>
      </c>
      <c r="B85" s="10">
        <v>14</v>
      </c>
    </row>
    <row r="86" spans="1:2" x14ac:dyDescent="0.2">
      <c r="A86" s="10">
        <v>84</v>
      </c>
      <c r="B86" s="10">
        <v>14</v>
      </c>
    </row>
    <row r="87" spans="1:2" x14ac:dyDescent="0.2">
      <c r="A87" s="10">
        <v>85</v>
      </c>
      <c r="B87" s="10">
        <v>11</v>
      </c>
    </row>
    <row r="88" spans="1:2" x14ac:dyDescent="0.2">
      <c r="A88" s="10">
        <v>86</v>
      </c>
      <c r="B88" s="10">
        <v>16</v>
      </c>
    </row>
    <row r="89" spans="1:2" x14ac:dyDescent="0.2">
      <c r="A89" s="10">
        <v>87</v>
      </c>
      <c r="B89" s="10">
        <v>25</v>
      </c>
    </row>
    <row r="90" spans="1:2" x14ac:dyDescent="0.2">
      <c r="A90" s="10">
        <v>88</v>
      </c>
      <c r="B90" s="10">
        <v>23</v>
      </c>
    </row>
    <row r="91" spans="1:2" x14ac:dyDescent="0.2">
      <c r="A91" s="10">
        <v>89</v>
      </c>
      <c r="B91" s="10">
        <v>32</v>
      </c>
    </row>
    <row r="92" spans="1:2" x14ac:dyDescent="0.2">
      <c r="A92" s="10">
        <v>90</v>
      </c>
      <c r="B92" s="10">
        <v>29</v>
      </c>
    </row>
    <row r="93" spans="1:2" x14ac:dyDescent="0.2">
      <c r="A93" s="10">
        <v>91</v>
      </c>
      <c r="B93" s="10">
        <v>19</v>
      </c>
    </row>
    <row r="94" spans="1:2" x14ac:dyDescent="0.2">
      <c r="A94" s="10">
        <v>92</v>
      </c>
      <c r="B94" s="10">
        <v>15</v>
      </c>
    </row>
    <row r="95" spans="1:2" x14ac:dyDescent="0.2">
      <c r="A95" s="10">
        <v>93</v>
      </c>
      <c r="B95" s="10">
        <v>19</v>
      </c>
    </row>
    <row r="96" spans="1:2" x14ac:dyDescent="0.2">
      <c r="A96" s="10">
        <v>94</v>
      </c>
      <c r="B96" s="10">
        <v>19</v>
      </c>
    </row>
    <row r="97" spans="1:2" x14ac:dyDescent="0.2">
      <c r="A97" s="10">
        <v>95</v>
      </c>
      <c r="B97" s="10">
        <v>9</v>
      </c>
    </row>
    <row r="98" spans="1:2" x14ac:dyDescent="0.2">
      <c r="A98" s="10">
        <v>96</v>
      </c>
      <c r="B98" s="10">
        <v>23</v>
      </c>
    </row>
    <row r="99" spans="1:2" x14ac:dyDescent="0.2">
      <c r="A99" s="10">
        <v>97</v>
      </c>
      <c r="B99" s="10">
        <v>28</v>
      </c>
    </row>
    <row r="100" spans="1:2" x14ac:dyDescent="0.2">
      <c r="A100" s="10">
        <v>98</v>
      </c>
      <c r="B100" s="10">
        <v>20</v>
      </c>
    </row>
    <row r="101" spans="1:2" x14ac:dyDescent="0.2">
      <c r="A101" s="10">
        <v>99</v>
      </c>
      <c r="B101" s="10">
        <v>33</v>
      </c>
    </row>
    <row r="102" spans="1:2" x14ac:dyDescent="0.2">
      <c r="A102" s="10">
        <v>100</v>
      </c>
      <c r="B102" s="10">
        <v>13</v>
      </c>
    </row>
    <row r="103" spans="1:2" x14ac:dyDescent="0.2">
      <c r="A103" s="10">
        <v>101</v>
      </c>
      <c r="B103" s="10">
        <v>11</v>
      </c>
    </row>
    <row r="104" spans="1:2" x14ac:dyDescent="0.2">
      <c r="A104" s="10">
        <v>102</v>
      </c>
      <c r="B104" s="10">
        <v>12</v>
      </c>
    </row>
    <row r="105" spans="1:2" x14ac:dyDescent="0.2">
      <c r="A105" s="10">
        <v>103</v>
      </c>
      <c r="B105" s="10">
        <v>16</v>
      </c>
    </row>
    <row r="106" spans="1:2" x14ac:dyDescent="0.2">
      <c r="A106" s="10">
        <v>104</v>
      </c>
      <c r="B106" s="10">
        <v>7</v>
      </c>
    </row>
    <row r="107" spans="1:2" x14ac:dyDescent="0.2">
      <c r="A107" s="10">
        <v>105</v>
      </c>
      <c r="B107" s="10">
        <v>13</v>
      </c>
    </row>
    <row r="108" spans="1:2" x14ac:dyDescent="0.2">
      <c r="A108" s="10">
        <v>106</v>
      </c>
      <c r="B108" s="10">
        <v>20</v>
      </c>
    </row>
    <row r="109" spans="1:2" x14ac:dyDescent="0.2">
      <c r="A109" s="10">
        <v>107</v>
      </c>
      <c r="B109" s="10">
        <v>38</v>
      </c>
    </row>
    <row r="110" spans="1:2" x14ac:dyDescent="0.2">
      <c r="A110" s="10">
        <v>108</v>
      </c>
      <c r="B110" s="10">
        <v>6</v>
      </c>
    </row>
    <row r="111" spans="1:2" x14ac:dyDescent="0.2">
      <c r="A111" s="10">
        <v>109</v>
      </c>
      <c r="B111" s="10">
        <v>15</v>
      </c>
    </row>
    <row r="112" spans="1:2" x14ac:dyDescent="0.2">
      <c r="A112" s="10">
        <v>110</v>
      </c>
      <c r="B112" s="10">
        <v>15</v>
      </c>
    </row>
    <row r="113" spans="1:2" x14ac:dyDescent="0.2">
      <c r="A113" s="10">
        <v>111</v>
      </c>
      <c r="B113" s="10">
        <v>8</v>
      </c>
    </row>
    <row r="114" spans="1:2" x14ac:dyDescent="0.2">
      <c r="A114" s="10">
        <v>112</v>
      </c>
      <c r="B114" s="10">
        <v>16</v>
      </c>
    </row>
    <row r="115" spans="1:2" x14ac:dyDescent="0.2">
      <c r="A115" s="10">
        <v>113</v>
      </c>
      <c r="B115" s="10">
        <v>16</v>
      </c>
    </row>
    <row r="116" spans="1:2" x14ac:dyDescent="0.2">
      <c r="A116" s="10">
        <v>114</v>
      </c>
      <c r="B116" s="10">
        <v>10</v>
      </c>
    </row>
    <row r="117" spans="1:2" x14ac:dyDescent="0.2">
      <c r="A117" s="10">
        <v>115</v>
      </c>
      <c r="B117" s="10">
        <v>19</v>
      </c>
    </row>
    <row r="118" spans="1:2" x14ac:dyDescent="0.2">
      <c r="A118" s="10">
        <v>116</v>
      </c>
      <c r="B118" s="10">
        <v>22</v>
      </c>
    </row>
    <row r="119" spans="1:2" x14ac:dyDescent="0.2">
      <c r="A119" s="10">
        <v>117</v>
      </c>
      <c r="B119" s="10">
        <v>17</v>
      </c>
    </row>
    <row r="120" spans="1:2" x14ac:dyDescent="0.2">
      <c r="A120" s="10">
        <v>118</v>
      </c>
      <c r="B120" s="10">
        <v>26</v>
      </c>
    </row>
    <row r="121" spans="1:2" x14ac:dyDescent="0.2">
      <c r="A121" s="10">
        <v>119</v>
      </c>
      <c r="B121" s="10">
        <v>25</v>
      </c>
    </row>
    <row r="122" spans="1:2" x14ac:dyDescent="0.2">
      <c r="A122" s="10">
        <v>120</v>
      </c>
      <c r="B122" s="10">
        <v>14</v>
      </c>
    </row>
    <row r="123" spans="1:2" x14ac:dyDescent="0.2">
      <c r="A123" s="10">
        <v>121</v>
      </c>
      <c r="B123" s="10">
        <v>34</v>
      </c>
    </row>
    <row r="124" spans="1:2" x14ac:dyDescent="0.2">
      <c r="A124" s="10">
        <v>122</v>
      </c>
      <c r="B124" s="10">
        <v>16</v>
      </c>
    </row>
    <row r="125" spans="1:2" x14ac:dyDescent="0.2">
      <c r="A125" s="10">
        <v>123</v>
      </c>
      <c r="B125" s="10">
        <v>19</v>
      </c>
    </row>
    <row r="126" spans="1:2" x14ac:dyDescent="0.2">
      <c r="A126" s="10">
        <v>124</v>
      </c>
      <c r="B126" s="10">
        <v>21</v>
      </c>
    </row>
    <row r="127" spans="1:2" x14ac:dyDescent="0.2">
      <c r="A127" s="10">
        <v>125</v>
      </c>
      <c r="B127" s="10">
        <v>24</v>
      </c>
    </row>
    <row r="128" spans="1:2" x14ac:dyDescent="0.2">
      <c r="A128" s="10">
        <v>126</v>
      </c>
      <c r="B128" s="10">
        <v>19</v>
      </c>
    </row>
    <row r="129" spans="1:2" x14ac:dyDescent="0.2">
      <c r="A129" s="10">
        <v>127</v>
      </c>
      <c r="B129" s="10">
        <v>24</v>
      </c>
    </row>
    <row r="130" spans="1:2" x14ac:dyDescent="0.2">
      <c r="A130" s="10">
        <v>128</v>
      </c>
      <c r="B130" s="10">
        <v>25</v>
      </c>
    </row>
    <row r="131" spans="1:2" x14ac:dyDescent="0.2">
      <c r="A131" s="10">
        <v>129</v>
      </c>
      <c r="B131" s="10">
        <v>16</v>
      </c>
    </row>
    <row r="132" spans="1:2" x14ac:dyDescent="0.2">
      <c r="A132" s="10">
        <v>130</v>
      </c>
      <c r="B132" s="10">
        <v>23</v>
      </c>
    </row>
    <row r="133" spans="1:2" x14ac:dyDescent="0.2">
      <c r="A133" s="10">
        <v>131</v>
      </c>
      <c r="B133" s="10">
        <v>13</v>
      </c>
    </row>
    <row r="134" spans="1:2" x14ac:dyDescent="0.2">
      <c r="A134" s="10">
        <v>132</v>
      </c>
      <c r="B134" s="10">
        <v>7</v>
      </c>
    </row>
    <row r="135" spans="1:2" x14ac:dyDescent="0.2">
      <c r="A135" s="10">
        <v>133</v>
      </c>
      <c r="B135" s="10">
        <v>18</v>
      </c>
    </row>
    <row r="136" spans="1:2" x14ac:dyDescent="0.2">
      <c r="A136" s="10">
        <v>134</v>
      </c>
      <c r="B136" s="10">
        <v>16</v>
      </c>
    </row>
    <row r="137" spans="1:2" x14ac:dyDescent="0.2">
      <c r="A137" s="10">
        <v>135</v>
      </c>
      <c r="B137" s="10">
        <v>21</v>
      </c>
    </row>
    <row r="138" spans="1:2" x14ac:dyDescent="0.2">
      <c r="A138" s="10">
        <v>136</v>
      </c>
      <c r="B138" s="10">
        <v>20</v>
      </c>
    </row>
    <row r="139" spans="1:2" x14ac:dyDescent="0.2">
      <c r="A139" s="10">
        <v>137</v>
      </c>
      <c r="B139" s="10">
        <v>28</v>
      </c>
    </row>
    <row r="140" spans="1:2" x14ac:dyDescent="0.2">
      <c r="A140" s="10">
        <v>138</v>
      </c>
      <c r="B140" s="10">
        <v>11</v>
      </c>
    </row>
    <row r="141" spans="1:2" x14ac:dyDescent="0.2">
      <c r="A141" s="10">
        <v>139</v>
      </c>
      <c r="B141" s="10">
        <v>13</v>
      </c>
    </row>
    <row r="142" spans="1:2" x14ac:dyDescent="0.2">
      <c r="A142" s="10">
        <v>140</v>
      </c>
      <c r="B142" s="10">
        <v>19</v>
      </c>
    </row>
    <row r="143" spans="1:2" x14ac:dyDescent="0.2">
      <c r="A143" s="10">
        <v>141</v>
      </c>
      <c r="B143" s="10">
        <v>15</v>
      </c>
    </row>
    <row r="144" spans="1:2" x14ac:dyDescent="0.2">
      <c r="A144" s="10">
        <v>142</v>
      </c>
      <c r="B144" s="10">
        <v>14</v>
      </c>
    </row>
    <row r="145" spans="1:2" x14ac:dyDescent="0.2">
      <c r="A145" s="10">
        <v>143</v>
      </c>
      <c r="B145" s="10">
        <v>8</v>
      </c>
    </row>
    <row r="146" spans="1:2" x14ac:dyDescent="0.2">
      <c r="A146" s="10">
        <v>144</v>
      </c>
      <c r="B146" s="10">
        <v>7</v>
      </c>
    </row>
    <row r="147" spans="1:2" x14ac:dyDescent="0.2">
      <c r="A147" s="10">
        <v>145</v>
      </c>
      <c r="B147" s="10">
        <v>15</v>
      </c>
    </row>
    <row r="148" spans="1:2" x14ac:dyDescent="0.2">
      <c r="A148" s="10">
        <v>146</v>
      </c>
      <c r="B148" s="10">
        <v>29</v>
      </c>
    </row>
    <row r="149" spans="1:2" x14ac:dyDescent="0.2">
      <c r="A149" s="10">
        <v>147</v>
      </c>
      <c r="B149" s="10">
        <v>28</v>
      </c>
    </row>
    <row r="150" spans="1:2" x14ac:dyDescent="0.2">
      <c r="A150" s="10">
        <v>148</v>
      </c>
      <c r="B150" s="10">
        <v>10</v>
      </c>
    </row>
    <row r="151" spans="1:2" x14ac:dyDescent="0.2">
      <c r="A151" s="10">
        <v>149</v>
      </c>
      <c r="B151" s="10">
        <v>24</v>
      </c>
    </row>
    <row r="152" spans="1:2" x14ac:dyDescent="0.2">
      <c r="A152" s="10">
        <v>150</v>
      </c>
      <c r="B152" s="10">
        <v>22</v>
      </c>
    </row>
    <row r="153" spans="1:2" x14ac:dyDescent="0.2">
      <c r="A153" s="10">
        <v>151</v>
      </c>
      <c r="B153" s="10">
        <v>20</v>
      </c>
    </row>
    <row r="154" spans="1:2" x14ac:dyDescent="0.2">
      <c r="A154" s="10">
        <v>152</v>
      </c>
      <c r="B154" s="10">
        <v>14</v>
      </c>
    </row>
    <row r="155" spans="1:2" x14ac:dyDescent="0.2">
      <c r="A155" s="10">
        <v>153</v>
      </c>
      <c r="B155" s="10">
        <v>22</v>
      </c>
    </row>
    <row r="156" spans="1:2" x14ac:dyDescent="0.2">
      <c r="A156" s="10">
        <v>154</v>
      </c>
      <c r="B156" s="10">
        <v>21</v>
      </c>
    </row>
    <row r="157" spans="1:2" x14ac:dyDescent="0.2">
      <c r="A157" s="10">
        <v>155</v>
      </c>
      <c r="B157" s="10">
        <v>26</v>
      </c>
    </row>
    <row r="158" spans="1:2" x14ac:dyDescent="0.2">
      <c r="A158" s="10">
        <v>156</v>
      </c>
      <c r="B158" s="10">
        <v>21</v>
      </c>
    </row>
    <row r="159" spans="1:2" x14ac:dyDescent="0.2">
      <c r="A159" s="10">
        <v>157</v>
      </c>
      <c r="B159" s="10">
        <v>23</v>
      </c>
    </row>
    <row r="160" spans="1:2" x14ac:dyDescent="0.2">
      <c r="A160" s="10">
        <v>158</v>
      </c>
      <c r="B160" s="10">
        <v>10</v>
      </c>
    </row>
    <row r="161" spans="1:2" x14ac:dyDescent="0.2">
      <c r="A161" s="10">
        <v>159</v>
      </c>
      <c r="B161" s="10">
        <v>18</v>
      </c>
    </row>
    <row r="162" spans="1:2" x14ac:dyDescent="0.2">
      <c r="A162" s="10">
        <v>160</v>
      </c>
      <c r="B162" s="10">
        <v>24</v>
      </c>
    </row>
    <row r="163" spans="1:2" x14ac:dyDescent="0.2">
      <c r="A163" s="10">
        <v>161</v>
      </c>
      <c r="B163" s="10">
        <v>18</v>
      </c>
    </row>
    <row r="164" spans="1:2" x14ac:dyDescent="0.2">
      <c r="A164" s="10">
        <v>162</v>
      </c>
      <c r="B164" s="10">
        <v>15</v>
      </c>
    </row>
    <row r="165" spans="1:2" x14ac:dyDescent="0.2">
      <c r="A165" s="10">
        <v>163</v>
      </c>
      <c r="B165" s="10">
        <v>21</v>
      </c>
    </row>
    <row r="166" spans="1:2" x14ac:dyDescent="0.2">
      <c r="A166" s="10">
        <v>164</v>
      </c>
      <c r="B166" s="10">
        <v>12</v>
      </c>
    </row>
    <row r="167" spans="1:2" x14ac:dyDescent="0.2">
      <c r="A167" s="10">
        <v>165</v>
      </c>
      <c r="B167" s="10">
        <v>21</v>
      </c>
    </row>
    <row r="168" spans="1:2" x14ac:dyDescent="0.2">
      <c r="A168" s="10">
        <v>166</v>
      </c>
      <c r="B168" s="10">
        <v>19</v>
      </c>
    </row>
    <row r="169" spans="1:2" x14ac:dyDescent="0.2">
      <c r="A169" s="10">
        <v>167</v>
      </c>
      <c r="B169" s="10">
        <v>14</v>
      </c>
    </row>
    <row r="170" spans="1:2" x14ac:dyDescent="0.2">
      <c r="A170" s="10">
        <v>168</v>
      </c>
      <c r="B170" s="10">
        <v>18</v>
      </c>
    </row>
    <row r="171" spans="1:2" x14ac:dyDescent="0.2">
      <c r="A171" s="10">
        <v>169</v>
      </c>
      <c r="B171" s="10">
        <v>15</v>
      </c>
    </row>
    <row r="172" spans="1:2" x14ac:dyDescent="0.2">
      <c r="A172" s="10">
        <v>170</v>
      </c>
      <c r="B172" s="10">
        <v>19</v>
      </c>
    </row>
    <row r="173" spans="1:2" x14ac:dyDescent="0.2">
      <c r="A173" s="10">
        <v>171</v>
      </c>
      <c r="B173" s="10">
        <v>15</v>
      </c>
    </row>
    <row r="174" spans="1:2" x14ac:dyDescent="0.2">
      <c r="A174" s="10">
        <v>172</v>
      </c>
      <c r="B174" s="10">
        <v>14</v>
      </c>
    </row>
    <row r="175" spans="1:2" x14ac:dyDescent="0.2">
      <c r="A175" s="10">
        <v>173</v>
      </c>
      <c r="B175" s="10">
        <v>9</v>
      </c>
    </row>
    <row r="176" spans="1:2" x14ac:dyDescent="0.2">
      <c r="A176" s="10">
        <v>174</v>
      </c>
      <c r="B176" s="10">
        <v>11</v>
      </c>
    </row>
    <row r="177" spans="1:2" x14ac:dyDescent="0.2">
      <c r="A177" s="10">
        <v>175</v>
      </c>
      <c r="B177" s="10">
        <v>12</v>
      </c>
    </row>
    <row r="178" spans="1:2" x14ac:dyDescent="0.2">
      <c r="A178" s="10">
        <v>176</v>
      </c>
      <c r="B178" s="10">
        <v>17</v>
      </c>
    </row>
    <row r="179" spans="1:2" x14ac:dyDescent="0.2">
      <c r="A179" s="10">
        <v>177</v>
      </c>
      <c r="B179" s="10">
        <v>26</v>
      </c>
    </row>
    <row r="180" spans="1:2" x14ac:dyDescent="0.2">
      <c r="A180" s="10">
        <v>178</v>
      </c>
      <c r="B180" s="10">
        <v>25</v>
      </c>
    </row>
    <row r="181" spans="1:2" x14ac:dyDescent="0.2">
      <c r="A181" s="10">
        <v>179</v>
      </c>
      <c r="B181" s="10">
        <v>26</v>
      </c>
    </row>
    <row r="182" spans="1:2" x14ac:dyDescent="0.2">
      <c r="A182" s="10">
        <v>180</v>
      </c>
      <c r="B182" s="10">
        <v>21</v>
      </c>
    </row>
    <row r="183" spans="1:2" x14ac:dyDescent="0.2">
      <c r="A183" s="10">
        <v>181</v>
      </c>
      <c r="B183" s="10">
        <v>18</v>
      </c>
    </row>
    <row r="184" spans="1:2" x14ac:dyDescent="0.2">
      <c r="A184" s="10">
        <v>182</v>
      </c>
      <c r="B184" s="10">
        <v>20</v>
      </c>
    </row>
    <row r="185" spans="1:2" x14ac:dyDescent="0.2">
      <c r="A185" s="10">
        <v>183</v>
      </c>
      <c r="B185" s="10">
        <v>21</v>
      </c>
    </row>
    <row r="186" spans="1:2" x14ac:dyDescent="0.2">
      <c r="A186" s="10">
        <v>184</v>
      </c>
      <c r="B186" s="10">
        <v>11</v>
      </c>
    </row>
    <row r="187" spans="1:2" x14ac:dyDescent="0.2">
      <c r="A187" s="10">
        <v>185</v>
      </c>
      <c r="B187" s="10">
        <v>18</v>
      </c>
    </row>
    <row r="188" spans="1:2" x14ac:dyDescent="0.2">
      <c r="A188" s="10">
        <v>186</v>
      </c>
      <c r="B188" s="10">
        <v>13</v>
      </c>
    </row>
    <row r="189" spans="1:2" x14ac:dyDescent="0.2">
      <c r="A189" s="10">
        <v>187</v>
      </c>
      <c r="B189" s="10">
        <v>16</v>
      </c>
    </row>
    <row r="190" spans="1:2" x14ac:dyDescent="0.2">
      <c r="A190" s="10">
        <v>188</v>
      </c>
      <c r="B190" s="10">
        <v>18</v>
      </c>
    </row>
    <row r="191" spans="1:2" x14ac:dyDescent="0.2">
      <c r="A191" s="10">
        <v>189</v>
      </c>
      <c r="B191" s="10">
        <v>15</v>
      </c>
    </row>
    <row r="192" spans="1:2" x14ac:dyDescent="0.2">
      <c r="A192" s="10">
        <v>190</v>
      </c>
      <c r="B192" s="10">
        <v>19</v>
      </c>
    </row>
    <row r="193" spans="1:2" x14ac:dyDescent="0.2">
      <c r="A193" s="10">
        <v>191</v>
      </c>
      <c r="B193" s="10">
        <v>16</v>
      </c>
    </row>
    <row r="194" spans="1:2" x14ac:dyDescent="0.2">
      <c r="A194" s="10">
        <v>192</v>
      </c>
      <c r="B194" s="10">
        <v>19</v>
      </c>
    </row>
    <row r="195" spans="1:2" x14ac:dyDescent="0.2">
      <c r="A195" s="10">
        <v>193</v>
      </c>
      <c r="B195" s="10">
        <v>25</v>
      </c>
    </row>
    <row r="196" spans="1:2" x14ac:dyDescent="0.2">
      <c r="A196" s="10">
        <v>194</v>
      </c>
      <c r="B196" s="10">
        <v>7</v>
      </c>
    </row>
    <row r="197" spans="1:2" x14ac:dyDescent="0.2">
      <c r="A197" s="10">
        <v>195</v>
      </c>
      <c r="B197" s="10">
        <v>23</v>
      </c>
    </row>
    <row r="198" spans="1:2" x14ac:dyDescent="0.2">
      <c r="A198" s="10">
        <v>196</v>
      </c>
      <c r="B198" s="10">
        <v>12</v>
      </c>
    </row>
    <row r="199" spans="1:2" x14ac:dyDescent="0.2">
      <c r="A199" s="10">
        <v>197</v>
      </c>
      <c r="B199" s="10">
        <v>19</v>
      </c>
    </row>
    <row r="200" spans="1:2" x14ac:dyDescent="0.2">
      <c r="A200" s="10">
        <v>198</v>
      </c>
      <c r="B200" s="10">
        <v>29</v>
      </c>
    </row>
    <row r="201" spans="1:2" x14ac:dyDescent="0.2">
      <c r="A201" s="10">
        <v>199</v>
      </c>
      <c r="B201" s="10">
        <v>3</v>
      </c>
    </row>
    <row r="202" spans="1:2" x14ac:dyDescent="0.2">
      <c r="A202" s="10">
        <v>200</v>
      </c>
      <c r="B202" s="10">
        <v>19</v>
      </c>
    </row>
    <row r="203" spans="1:2" x14ac:dyDescent="0.2">
      <c r="A203" s="10">
        <v>201</v>
      </c>
      <c r="B203" s="10">
        <v>17</v>
      </c>
    </row>
    <row r="204" spans="1:2" x14ac:dyDescent="0.2">
      <c r="A204" s="10">
        <v>202</v>
      </c>
      <c r="B204" s="10">
        <v>17</v>
      </c>
    </row>
    <row r="205" spans="1:2" x14ac:dyDescent="0.2">
      <c r="A205" s="10">
        <v>203</v>
      </c>
      <c r="B205" s="10">
        <v>21</v>
      </c>
    </row>
    <row r="206" spans="1:2" x14ac:dyDescent="0.2">
      <c r="A206" s="10">
        <v>204</v>
      </c>
      <c r="B206" s="10">
        <v>18</v>
      </c>
    </row>
    <row r="207" spans="1:2" x14ac:dyDescent="0.2">
      <c r="A207" s="10">
        <v>205</v>
      </c>
      <c r="B207" s="10">
        <v>27</v>
      </c>
    </row>
    <row r="208" spans="1:2" x14ac:dyDescent="0.2">
      <c r="A208" s="10">
        <v>206</v>
      </c>
      <c r="B208" s="10">
        <v>21</v>
      </c>
    </row>
    <row r="209" spans="1:2" x14ac:dyDescent="0.2">
      <c r="A209" s="10">
        <v>207</v>
      </c>
      <c r="B209" s="10">
        <v>24</v>
      </c>
    </row>
    <row r="210" spans="1:2" x14ac:dyDescent="0.2">
      <c r="A210" s="10">
        <v>208</v>
      </c>
      <c r="B210" s="10">
        <v>22</v>
      </c>
    </row>
    <row r="211" spans="1:2" x14ac:dyDescent="0.2">
      <c r="A211" s="10">
        <v>209</v>
      </c>
      <c r="B211" s="10">
        <v>29</v>
      </c>
    </row>
    <row r="212" spans="1:2" x14ac:dyDescent="0.2">
      <c r="A212" s="10">
        <v>210</v>
      </c>
      <c r="B212" s="10">
        <v>26</v>
      </c>
    </row>
    <row r="213" spans="1:2" x14ac:dyDescent="0.2">
      <c r="A213" s="10">
        <v>211</v>
      </c>
      <c r="B213" s="10">
        <v>17</v>
      </c>
    </row>
    <row r="214" spans="1:2" x14ac:dyDescent="0.2">
      <c r="A214" s="10">
        <v>212</v>
      </c>
      <c r="B214" s="10">
        <v>18</v>
      </c>
    </row>
    <row r="215" spans="1:2" x14ac:dyDescent="0.2">
      <c r="A215" s="10">
        <v>213</v>
      </c>
      <c r="B215" s="10">
        <v>27</v>
      </c>
    </row>
    <row r="216" spans="1:2" x14ac:dyDescent="0.2">
      <c r="A216" s="10">
        <v>214</v>
      </c>
      <c r="B216" s="10">
        <v>13</v>
      </c>
    </row>
    <row r="217" spans="1:2" x14ac:dyDescent="0.2">
      <c r="A217" s="10">
        <v>215</v>
      </c>
      <c r="B217" s="10">
        <v>20</v>
      </c>
    </row>
    <row r="218" spans="1:2" x14ac:dyDescent="0.2">
      <c r="A218" s="10">
        <v>216</v>
      </c>
      <c r="B218" s="10">
        <v>13</v>
      </c>
    </row>
    <row r="219" spans="1:2" x14ac:dyDescent="0.2">
      <c r="A219" s="10">
        <v>217</v>
      </c>
      <c r="B219" s="10">
        <v>25</v>
      </c>
    </row>
    <row r="220" spans="1:2" x14ac:dyDescent="0.2">
      <c r="A220" s="10">
        <v>218</v>
      </c>
      <c r="B220" s="10">
        <v>16</v>
      </c>
    </row>
    <row r="221" spans="1:2" x14ac:dyDescent="0.2">
      <c r="A221" s="10">
        <v>219</v>
      </c>
      <c r="B221" s="10">
        <v>21</v>
      </c>
    </row>
    <row r="222" spans="1:2" x14ac:dyDescent="0.2">
      <c r="A222" s="10">
        <v>220</v>
      </c>
      <c r="B222" s="10">
        <v>16</v>
      </c>
    </row>
    <row r="223" spans="1:2" x14ac:dyDescent="0.2">
      <c r="A223" s="10">
        <v>221</v>
      </c>
      <c r="B223" s="10">
        <v>23</v>
      </c>
    </row>
    <row r="224" spans="1:2" x14ac:dyDescent="0.2">
      <c r="A224" s="10">
        <v>222</v>
      </c>
      <c r="B224" s="10">
        <v>15</v>
      </c>
    </row>
    <row r="225" spans="1:2" x14ac:dyDescent="0.2">
      <c r="A225" s="10">
        <v>223</v>
      </c>
      <c r="B225" s="10">
        <v>12</v>
      </c>
    </row>
    <row r="226" spans="1:2" x14ac:dyDescent="0.2">
      <c r="A226" s="10">
        <v>224</v>
      </c>
      <c r="B226" s="10">
        <v>14</v>
      </c>
    </row>
    <row r="227" spans="1:2" x14ac:dyDescent="0.2">
      <c r="A227" s="10">
        <v>225</v>
      </c>
      <c r="B227" s="10">
        <v>27</v>
      </c>
    </row>
    <row r="228" spans="1:2" x14ac:dyDescent="0.2">
      <c r="A228" s="10">
        <v>226</v>
      </c>
      <c r="B228" s="10">
        <v>24</v>
      </c>
    </row>
    <row r="229" spans="1:2" x14ac:dyDescent="0.2">
      <c r="A229" s="10">
        <v>227</v>
      </c>
      <c r="B229" s="10">
        <v>29</v>
      </c>
    </row>
    <row r="230" spans="1:2" x14ac:dyDescent="0.2">
      <c r="A230" s="10">
        <v>228</v>
      </c>
      <c r="B230" s="10">
        <v>20</v>
      </c>
    </row>
    <row r="231" spans="1:2" x14ac:dyDescent="0.2">
      <c r="A231" s="10">
        <v>229</v>
      </c>
      <c r="B231" s="10">
        <v>15</v>
      </c>
    </row>
    <row r="232" spans="1:2" x14ac:dyDescent="0.2">
      <c r="A232" s="10">
        <v>230</v>
      </c>
      <c r="B232" s="10">
        <v>11</v>
      </c>
    </row>
    <row r="233" spans="1:2" x14ac:dyDescent="0.2">
      <c r="A233" s="10">
        <v>231</v>
      </c>
      <c r="B233" s="10">
        <v>5</v>
      </c>
    </row>
    <row r="234" spans="1:2" x14ac:dyDescent="0.2">
      <c r="A234" s="10">
        <v>232</v>
      </c>
      <c r="B234" s="10">
        <v>9</v>
      </c>
    </row>
    <row r="235" spans="1:2" x14ac:dyDescent="0.2">
      <c r="A235" s="10">
        <v>233</v>
      </c>
      <c r="B235" s="10">
        <v>21</v>
      </c>
    </row>
    <row r="236" spans="1:2" x14ac:dyDescent="0.2">
      <c r="A236" s="10">
        <v>234</v>
      </c>
      <c r="B236" s="10">
        <v>27</v>
      </c>
    </row>
    <row r="237" spans="1:2" x14ac:dyDescent="0.2">
      <c r="A237" s="10">
        <v>235</v>
      </c>
      <c r="B237" s="10">
        <v>17</v>
      </c>
    </row>
    <row r="238" spans="1:2" x14ac:dyDescent="0.2">
      <c r="A238" s="10">
        <v>236</v>
      </c>
      <c r="B238" s="10">
        <v>23</v>
      </c>
    </row>
    <row r="239" spans="1:2" x14ac:dyDescent="0.2">
      <c r="A239" s="10">
        <v>237</v>
      </c>
      <c r="B239" s="10">
        <v>23</v>
      </c>
    </row>
    <row r="240" spans="1:2" x14ac:dyDescent="0.2">
      <c r="A240" s="10">
        <v>238</v>
      </c>
      <c r="B240" s="10">
        <v>14</v>
      </c>
    </row>
    <row r="241" spans="1:2" x14ac:dyDescent="0.2">
      <c r="A241" s="10">
        <v>239</v>
      </c>
      <c r="B241" s="10">
        <v>13</v>
      </c>
    </row>
    <row r="242" spans="1:2" x14ac:dyDescent="0.2">
      <c r="A242" s="10">
        <v>240</v>
      </c>
      <c r="B242" s="10">
        <v>20</v>
      </c>
    </row>
    <row r="243" spans="1:2" x14ac:dyDescent="0.2">
      <c r="A243" s="10">
        <v>241</v>
      </c>
      <c r="B243" s="10">
        <v>16</v>
      </c>
    </row>
    <row r="244" spans="1:2" x14ac:dyDescent="0.2">
      <c r="A244" s="10">
        <v>242</v>
      </c>
      <c r="B244" s="10">
        <v>10</v>
      </c>
    </row>
    <row r="245" spans="1:2" x14ac:dyDescent="0.2">
      <c r="A245" s="10">
        <v>243</v>
      </c>
      <c r="B245" s="10">
        <v>10</v>
      </c>
    </row>
    <row r="246" spans="1:2" x14ac:dyDescent="0.2">
      <c r="A246" s="10">
        <v>244</v>
      </c>
      <c r="B246" s="10">
        <v>20</v>
      </c>
    </row>
    <row r="247" spans="1:2" x14ac:dyDescent="0.2">
      <c r="A247" s="10">
        <v>245</v>
      </c>
      <c r="B247" s="10">
        <v>11</v>
      </c>
    </row>
    <row r="248" spans="1:2" x14ac:dyDescent="0.2">
      <c r="A248" s="10">
        <v>246</v>
      </c>
      <c r="B248" s="10">
        <v>8</v>
      </c>
    </row>
    <row r="249" spans="1:2" x14ac:dyDescent="0.2">
      <c r="A249" s="10">
        <v>247</v>
      </c>
      <c r="B249" s="10">
        <v>21</v>
      </c>
    </row>
    <row r="250" spans="1:2" x14ac:dyDescent="0.2">
      <c r="A250" s="10">
        <v>248</v>
      </c>
      <c r="B250" s="10">
        <v>31</v>
      </c>
    </row>
    <row r="251" spans="1:2" x14ac:dyDescent="0.2">
      <c r="A251" s="10">
        <v>249</v>
      </c>
      <c r="B251" s="10">
        <v>14</v>
      </c>
    </row>
    <row r="252" spans="1:2" x14ac:dyDescent="0.2">
      <c r="A252" s="10">
        <v>250</v>
      </c>
      <c r="B252" s="10">
        <v>25</v>
      </c>
    </row>
    <row r="253" spans="1:2" x14ac:dyDescent="0.2">
      <c r="A253" s="10">
        <v>251</v>
      </c>
      <c r="B253" s="10">
        <v>21</v>
      </c>
    </row>
    <row r="254" spans="1:2" x14ac:dyDescent="0.2">
      <c r="A254" s="10">
        <v>252</v>
      </c>
      <c r="B254" s="10">
        <v>8</v>
      </c>
    </row>
    <row r="255" spans="1:2" x14ac:dyDescent="0.2">
      <c r="A255" s="10">
        <v>253</v>
      </c>
      <c r="B255" s="10">
        <v>11</v>
      </c>
    </row>
    <row r="256" spans="1:2" x14ac:dyDescent="0.2">
      <c r="A256" s="10">
        <v>254</v>
      </c>
      <c r="B256" s="10">
        <v>21</v>
      </c>
    </row>
    <row r="257" spans="1:2" x14ac:dyDescent="0.2">
      <c r="A257" s="10">
        <v>255</v>
      </c>
      <c r="B257" s="10">
        <v>12</v>
      </c>
    </row>
    <row r="258" spans="1:2" x14ac:dyDescent="0.2">
      <c r="A258" s="10">
        <v>256</v>
      </c>
      <c r="B258" s="10">
        <v>14</v>
      </c>
    </row>
    <row r="259" spans="1:2" x14ac:dyDescent="0.2">
      <c r="A259" s="10">
        <v>257</v>
      </c>
      <c r="B259" s="10">
        <v>7</v>
      </c>
    </row>
    <row r="260" spans="1:2" x14ac:dyDescent="0.2">
      <c r="A260" s="10">
        <v>258</v>
      </c>
      <c r="B260" s="10">
        <v>22</v>
      </c>
    </row>
    <row r="261" spans="1:2" x14ac:dyDescent="0.2">
      <c r="A261" s="10">
        <v>259</v>
      </c>
      <c r="B261" s="10">
        <v>21</v>
      </c>
    </row>
    <row r="262" spans="1:2" x14ac:dyDescent="0.2">
      <c r="A262" s="10">
        <v>260</v>
      </c>
      <c r="B262" s="10">
        <v>21</v>
      </c>
    </row>
    <row r="263" spans="1:2" x14ac:dyDescent="0.2">
      <c r="A263" s="10">
        <v>261</v>
      </c>
      <c r="B263" s="10">
        <v>19</v>
      </c>
    </row>
    <row r="264" spans="1:2" x14ac:dyDescent="0.2">
      <c r="A264" s="10">
        <v>262</v>
      </c>
      <c r="B264" s="10">
        <v>20</v>
      </c>
    </row>
    <row r="265" spans="1:2" x14ac:dyDescent="0.2">
      <c r="A265" s="10">
        <v>263</v>
      </c>
      <c r="B265" s="10">
        <v>14</v>
      </c>
    </row>
    <row r="266" spans="1:2" x14ac:dyDescent="0.2">
      <c r="A266" s="10">
        <v>264</v>
      </c>
      <c r="B266" s="10">
        <v>18</v>
      </c>
    </row>
    <row r="267" spans="1:2" x14ac:dyDescent="0.2">
      <c r="A267" s="10">
        <v>265</v>
      </c>
      <c r="B267" s="10">
        <v>10</v>
      </c>
    </row>
    <row r="268" spans="1:2" x14ac:dyDescent="0.2">
      <c r="A268" s="10">
        <v>266</v>
      </c>
      <c r="B268" s="10">
        <v>29</v>
      </c>
    </row>
    <row r="269" spans="1:2" x14ac:dyDescent="0.2">
      <c r="A269" s="10">
        <v>267</v>
      </c>
      <c r="B269" s="10">
        <v>17</v>
      </c>
    </row>
    <row r="270" spans="1:2" x14ac:dyDescent="0.2">
      <c r="A270" s="10">
        <v>268</v>
      </c>
      <c r="B270" s="10">
        <v>17</v>
      </c>
    </row>
    <row r="271" spans="1:2" x14ac:dyDescent="0.2">
      <c r="A271" s="10">
        <v>269</v>
      </c>
      <c r="B271" s="10">
        <v>15</v>
      </c>
    </row>
    <row r="272" spans="1:2" x14ac:dyDescent="0.2">
      <c r="A272" s="10">
        <v>270</v>
      </c>
      <c r="B272" s="10">
        <v>28</v>
      </c>
    </row>
    <row r="273" spans="1:2" x14ac:dyDescent="0.2">
      <c r="A273" s="10">
        <v>271</v>
      </c>
      <c r="B273" s="10">
        <v>18</v>
      </c>
    </row>
    <row r="274" spans="1:2" x14ac:dyDescent="0.2">
      <c r="A274" s="10">
        <v>272</v>
      </c>
      <c r="B274" s="10">
        <v>15</v>
      </c>
    </row>
    <row r="275" spans="1:2" x14ac:dyDescent="0.2">
      <c r="A275" s="10">
        <v>273</v>
      </c>
      <c r="B275" s="10">
        <v>15</v>
      </c>
    </row>
    <row r="276" spans="1:2" x14ac:dyDescent="0.2">
      <c r="A276" s="10">
        <v>274</v>
      </c>
      <c r="B276" s="10">
        <v>14</v>
      </c>
    </row>
    <row r="277" spans="1:2" x14ac:dyDescent="0.2">
      <c r="A277" s="10">
        <v>275</v>
      </c>
      <c r="B277" s="10">
        <v>16</v>
      </c>
    </row>
    <row r="278" spans="1:2" x14ac:dyDescent="0.2">
      <c r="A278" s="10">
        <v>276</v>
      </c>
      <c r="B278" s="10">
        <v>11</v>
      </c>
    </row>
    <row r="279" spans="1:2" x14ac:dyDescent="0.2">
      <c r="A279" s="10">
        <v>277</v>
      </c>
      <c r="B279" s="10">
        <v>19</v>
      </c>
    </row>
    <row r="280" spans="1:2" x14ac:dyDescent="0.2">
      <c r="A280" s="10">
        <v>278</v>
      </c>
      <c r="B280" s="10">
        <v>12</v>
      </c>
    </row>
    <row r="281" spans="1:2" x14ac:dyDescent="0.2">
      <c r="A281" s="10">
        <v>279</v>
      </c>
      <c r="B281" s="10">
        <v>25</v>
      </c>
    </row>
    <row r="282" spans="1:2" x14ac:dyDescent="0.2">
      <c r="A282" s="10">
        <v>280</v>
      </c>
      <c r="B282" s="10">
        <v>26</v>
      </c>
    </row>
    <row r="283" spans="1:2" x14ac:dyDescent="0.2">
      <c r="A283" s="10">
        <v>281</v>
      </c>
      <c r="B283" s="10">
        <v>15</v>
      </c>
    </row>
    <row r="284" spans="1:2" x14ac:dyDescent="0.2">
      <c r="A284" s="10">
        <v>282</v>
      </c>
      <c r="B284" s="10">
        <v>17</v>
      </c>
    </row>
    <row r="285" spans="1:2" x14ac:dyDescent="0.2">
      <c r="A285" s="10">
        <v>283</v>
      </c>
      <c r="B285" s="10">
        <v>8</v>
      </c>
    </row>
    <row r="286" spans="1:2" x14ac:dyDescent="0.2">
      <c r="A286" s="10">
        <v>284</v>
      </c>
      <c r="B286" s="10">
        <v>21</v>
      </c>
    </row>
    <row r="287" spans="1:2" x14ac:dyDescent="0.2">
      <c r="A287" s="10">
        <v>285</v>
      </c>
      <c r="B287" s="10">
        <v>17</v>
      </c>
    </row>
    <row r="288" spans="1:2" x14ac:dyDescent="0.2">
      <c r="A288" s="10">
        <v>286</v>
      </c>
      <c r="B288" s="10">
        <v>18</v>
      </c>
    </row>
    <row r="289" spans="1:2" x14ac:dyDescent="0.2">
      <c r="A289" s="10">
        <v>287</v>
      </c>
      <c r="B289" s="10">
        <v>22</v>
      </c>
    </row>
    <row r="290" spans="1:2" x14ac:dyDescent="0.2">
      <c r="A290" s="10">
        <v>288</v>
      </c>
      <c r="B290" s="10">
        <v>14</v>
      </c>
    </row>
    <row r="291" spans="1:2" x14ac:dyDescent="0.2">
      <c r="A291" s="10">
        <v>289</v>
      </c>
      <c r="B291" s="10">
        <v>19</v>
      </c>
    </row>
    <row r="292" spans="1:2" x14ac:dyDescent="0.2">
      <c r="A292" s="10">
        <v>290</v>
      </c>
      <c r="B292" s="10">
        <v>11</v>
      </c>
    </row>
    <row r="293" spans="1:2" x14ac:dyDescent="0.2">
      <c r="A293" s="10">
        <v>291</v>
      </c>
      <c r="B293" s="10">
        <v>11</v>
      </c>
    </row>
    <row r="294" spans="1:2" x14ac:dyDescent="0.2">
      <c r="A294" s="10">
        <v>292</v>
      </c>
      <c r="B294" s="10">
        <v>15</v>
      </c>
    </row>
    <row r="295" spans="1:2" x14ac:dyDescent="0.2">
      <c r="A295" s="10">
        <v>293</v>
      </c>
      <c r="B295" s="10">
        <v>35</v>
      </c>
    </row>
    <row r="296" spans="1:2" x14ac:dyDescent="0.2">
      <c r="A296" s="10">
        <v>294</v>
      </c>
      <c r="B296" s="10">
        <v>15</v>
      </c>
    </row>
    <row r="297" spans="1:2" x14ac:dyDescent="0.2">
      <c r="A297" s="10">
        <v>295</v>
      </c>
      <c r="B297" s="10">
        <v>18</v>
      </c>
    </row>
    <row r="298" spans="1:2" x14ac:dyDescent="0.2">
      <c r="A298" s="10">
        <v>296</v>
      </c>
      <c r="B298" s="10">
        <v>22</v>
      </c>
    </row>
    <row r="299" spans="1:2" x14ac:dyDescent="0.2">
      <c r="A299" s="10">
        <v>297</v>
      </c>
      <c r="B299" s="10">
        <v>17</v>
      </c>
    </row>
    <row r="300" spans="1:2" x14ac:dyDescent="0.2">
      <c r="A300" s="10">
        <v>298</v>
      </c>
      <c r="B300" s="10">
        <v>20</v>
      </c>
    </row>
    <row r="301" spans="1:2" x14ac:dyDescent="0.2">
      <c r="A301" s="10">
        <v>299</v>
      </c>
      <c r="B301" s="10">
        <v>20</v>
      </c>
    </row>
    <row r="302" spans="1:2" x14ac:dyDescent="0.2">
      <c r="A302" s="10">
        <v>300</v>
      </c>
      <c r="B302" s="10">
        <v>18</v>
      </c>
    </row>
    <row r="303" spans="1:2" x14ac:dyDescent="0.2">
      <c r="A303" s="10">
        <v>301</v>
      </c>
      <c r="B303" s="10">
        <v>12</v>
      </c>
    </row>
    <row r="304" spans="1:2" x14ac:dyDescent="0.2">
      <c r="A304" s="10">
        <v>302</v>
      </c>
      <c r="B304" s="10">
        <v>26</v>
      </c>
    </row>
    <row r="305" spans="1:2" x14ac:dyDescent="0.2">
      <c r="A305" s="10">
        <v>303</v>
      </c>
      <c r="B305" s="10">
        <v>11</v>
      </c>
    </row>
    <row r="306" spans="1:2" x14ac:dyDescent="0.2">
      <c r="A306" s="10">
        <v>304</v>
      </c>
      <c r="B306" s="10">
        <v>19</v>
      </c>
    </row>
    <row r="307" spans="1:2" x14ac:dyDescent="0.2">
      <c r="A307" s="10">
        <v>305</v>
      </c>
      <c r="B307" s="10">
        <v>16</v>
      </c>
    </row>
    <row r="308" spans="1:2" x14ac:dyDescent="0.2">
      <c r="A308" s="10">
        <v>306</v>
      </c>
      <c r="B308" s="10">
        <v>10</v>
      </c>
    </row>
    <row r="309" spans="1:2" x14ac:dyDescent="0.2">
      <c r="A309" s="10">
        <v>307</v>
      </c>
      <c r="B309" s="10">
        <v>14</v>
      </c>
    </row>
    <row r="310" spans="1:2" x14ac:dyDescent="0.2">
      <c r="A310" s="10">
        <v>308</v>
      </c>
      <c r="B310" s="10">
        <v>10</v>
      </c>
    </row>
    <row r="311" spans="1:2" x14ac:dyDescent="0.2">
      <c r="A311" s="10">
        <v>309</v>
      </c>
      <c r="B311" s="10">
        <v>10</v>
      </c>
    </row>
    <row r="312" spans="1:2" x14ac:dyDescent="0.2">
      <c r="A312" s="10">
        <v>310</v>
      </c>
      <c r="B312" s="10">
        <v>18</v>
      </c>
    </row>
    <row r="313" spans="1:2" x14ac:dyDescent="0.2">
      <c r="A313" s="10">
        <v>311</v>
      </c>
      <c r="B313" s="10">
        <v>12</v>
      </c>
    </row>
    <row r="314" spans="1:2" x14ac:dyDescent="0.2">
      <c r="A314" s="10">
        <v>312</v>
      </c>
      <c r="B314" s="10">
        <v>24</v>
      </c>
    </row>
    <row r="315" spans="1:2" x14ac:dyDescent="0.2">
      <c r="A315" s="10">
        <v>313</v>
      </c>
      <c r="B315" s="10">
        <v>12</v>
      </c>
    </row>
    <row r="316" spans="1:2" x14ac:dyDescent="0.2">
      <c r="A316" s="10">
        <v>314</v>
      </c>
      <c r="B316" s="10">
        <v>41</v>
      </c>
    </row>
    <row r="317" spans="1:2" x14ac:dyDescent="0.2">
      <c r="A317" s="10">
        <v>315</v>
      </c>
      <c r="B317" s="10">
        <v>26</v>
      </c>
    </row>
    <row r="318" spans="1:2" x14ac:dyDescent="0.2">
      <c r="A318" s="10">
        <v>316</v>
      </c>
      <c r="B318" s="10">
        <v>24</v>
      </c>
    </row>
    <row r="319" spans="1:2" x14ac:dyDescent="0.2">
      <c r="A319" s="10">
        <v>317</v>
      </c>
      <c r="B319" s="10">
        <v>11</v>
      </c>
    </row>
    <row r="320" spans="1:2" x14ac:dyDescent="0.2">
      <c r="A320" s="10">
        <v>318</v>
      </c>
      <c r="B320" s="10">
        <v>30</v>
      </c>
    </row>
    <row r="321" spans="1:2" x14ac:dyDescent="0.2">
      <c r="A321" s="10">
        <v>319</v>
      </c>
      <c r="B321" s="10">
        <v>36</v>
      </c>
    </row>
    <row r="322" spans="1:2" x14ac:dyDescent="0.2">
      <c r="A322" s="10">
        <v>320</v>
      </c>
      <c r="B322" s="10">
        <v>7</v>
      </c>
    </row>
    <row r="323" spans="1:2" x14ac:dyDescent="0.2">
      <c r="A323" s="10">
        <v>321</v>
      </c>
      <c r="B323" s="10">
        <v>20</v>
      </c>
    </row>
    <row r="324" spans="1:2" x14ac:dyDescent="0.2">
      <c r="A324" s="10">
        <v>322</v>
      </c>
      <c r="B324" s="10">
        <v>20</v>
      </c>
    </row>
    <row r="325" spans="1:2" x14ac:dyDescent="0.2">
      <c r="A325" s="10">
        <v>323</v>
      </c>
      <c r="B325" s="10">
        <v>15</v>
      </c>
    </row>
    <row r="326" spans="1:2" x14ac:dyDescent="0.2">
      <c r="A326" s="10">
        <v>324</v>
      </c>
      <c r="B326" s="10">
        <v>9</v>
      </c>
    </row>
    <row r="327" spans="1:2" x14ac:dyDescent="0.2">
      <c r="A327" s="10">
        <v>325</v>
      </c>
      <c r="B327" s="10">
        <v>14</v>
      </c>
    </row>
    <row r="328" spans="1:2" x14ac:dyDescent="0.2">
      <c r="A328" s="10">
        <v>326</v>
      </c>
      <c r="B328" s="10">
        <v>25</v>
      </c>
    </row>
    <row r="329" spans="1:2" x14ac:dyDescent="0.2">
      <c r="A329" s="10">
        <v>327</v>
      </c>
      <c r="B329" s="10">
        <v>17</v>
      </c>
    </row>
    <row r="330" spans="1:2" x14ac:dyDescent="0.2">
      <c r="A330" s="10">
        <v>328</v>
      </c>
      <c r="B330" s="10">
        <v>30</v>
      </c>
    </row>
    <row r="331" spans="1:2" x14ac:dyDescent="0.2">
      <c r="A331" s="10">
        <v>329</v>
      </c>
      <c r="B331" s="10">
        <v>23</v>
      </c>
    </row>
    <row r="332" spans="1:2" x14ac:dyDescent="0.2">
      <c r="A332" s="10">
        <v>330</v>
      </c>
      <c r="B332" s="10">
        <v>20</v>
      </c>
    </row>
    <row r="333" spans="1:2" x14ac:dyDescent="0.2">
      <c r="A333" s="10">
        <v>331</v>
      </c>
      <c r="B333" s="10">
        <v>20</v>
      </c>
    </row>
    <row r="334" spans="1:2" x14ac:dyDescent="0.2">
      <c r="A334" s="10">
        <v>332</v>
      </c>
      <c r="B334" s="10">
        <v>13</v>
      </c>
    </row>
    <row r="335" spans="1:2" x14ac:dyDescent="0.2">
      <c r="A335" s="10">
        <v>333</v>
      </c>
      <c r="B335" s="10">
        <v>12</v>
      </c>
    </row>
    <row r="336" spans="1:2" x14ac:dyDescent="0.2">
      <c r="A336" s="10">
        <v>334</v>
      </c>
      <c r="B336" s="10">
        <v>21</v>
      </c>
    </row>
    <row r="337" spans="1:2" x14ac:dyDescent="0.2">
      <c r="A337" s="10">
        <v>335</v>
      </c>
      <c r="B337" s="10">
        <v>28</v>
      </c>
    </row>
    <row r="338" spans="1:2" x14ac:dyDescent="0.2">
      <c r="A338" s="10">
        <v>336</v>
      </c>
      <c r="B338" s="10">
        <v>21</v>
      </c>
    </row>
    <row r="339" spans="1:2" x14ac:dyDescent="0.2">
      <c r="A339" s="10">
        <v>337</v>
      </c>
      <c r="B339" s="10">
        <v>18</v>
      </c>
    </row>
    <row r="340" spans="1:2" x14ac:dyDescent="0.2">
      <c r="A340" s="10">
        <v>338</v>
      </c>
      <c r="B340" s="10">
        <v>9</v>
      </c>
    </row>
    <row r="341" spans="1:2" x14ac:dyDescent="0.2">
      <c r="A341" s="10">
        <v>339</v>
      </c>
      <c r="B341" s="10">
        <v>24</v>
      </c>
    </row>
    <row r="342" spans="1:2" x14ac:dyDescent="0.2">
      <c r="A342" s="10">
        <v>340</v>
      </c>
      <c r="B342" s="10">
        <v>5</v>
      </c>
    </row>
    <row r="343" spans="1:2" x14ac:dyDescent="0.2">
      <c r="A343" s="10">
        <v>341</v>
      </c>
      <c r="B343" s="10">
        <v>20</v>
      </c>
    </row>
    <row r="344" spans="1:2" x14ac:dyDescent="0.2">
      <c r="A344" s="10">
        <v>342</v>
      </c>
      <c r="B344" s="10">
        <v>21</v>
      </c>
    </row>
    <row r="345" spans="1:2" x14ac:dyDescent="0.2">
      <c r="A345" s="10">
        <v>343</v>
      </c>
      <c r="B345" s="10">
        <v>19</v>
      </c>
    </row>
    <row r="346" spans="1:2" x14ac:dyDescent="0.2">
      <c r="A346" s="10">
        <v>344</v>
      </c>
      <c r="B346" s="10">
        <v>9</v>
      </c>
    </row>
    <row r="347" spans="1:2" x14ac:dyDescent="0.2">
      <c r="A347" s="10">
        <v>345</v>
      </c>
      <c r="B347" s="10">
        <v>19</v>
      </c>
    </row>
    <row r="348" spans="1:2" x14ac:dyDescent="0.2">
      <c r="A348" s="10">
        <v>346</v>
      </c>
      <c r="B348" s="10">
        <v>13</v>
      </c>
    </row>
    <row r="349" spans="1:2" x14ac:dyDescent="0.2">
      <c r="A349" s="10">
        <v>347</v>
      </c>
      <c r="B349" s="10">
        <v>23</v>
      </c>
    </row>
    <row r="350" spans="1:2" x14ac:dyDescent="0.2">
      <c r="A350" s="10">
        <v>348</v>
      </c>
      <c r="B350" s="10">
        <v>21</v>
      </c>
    </row>
    <row r="351" spans="1:2" x14ac:dyDescent="0.2">
      <c r="A351" s="10">
        <v>349</v>
      </c>
      <c r="B351" s="10">
        <v>15</v>
      </c>
    </row>
    <row r="352" spans="1:2" x14ac:dyDescent="0.2">
      <c r="A352" s="10">
        <v>350</v>
      </c>
      <c r="B352" s="10">
        <v>17</v>
      </c>
    </row>
    <row r="353" spans="1:2" x14ac:dyDescent="0.2">
      <c r="A353" s="10">
        <v>351</v>
      </c>
      <c r="B353" s="10">
        <v>14</v>
      </c>
    </row>
    <row r="354" spans="1:2" x14ac:dyDescent="0.2">
      <c r="A354" s="10">
        <v>352</v>
      </c>
      <c r="B354" s="10">
        <v>17</v>
      </c>
    </row>
    <row r="355" spans="1:2" x14ac:dyDescent="0.2">
      <c r="A355" s="10">
        <v>353</v>
      </c>
      <c r="B355" s="10">
        <v>12</v>
      </c>
    </row>
    <row r="356" spans="1:2" x14ac:dyDescent="0.2">
      <c r="A356" s="10">
        <v>354</v>
      </c>
      <c r="B356" s="10">
        <v>15</v>
      </c>
    </row>
    <row r="357" spans="1:2" x14ac:dyDescent="0.2">
      <c r="A357" s="10">
        <v>355</v>
      </c>
      <c r="B357" s="10">
        <v>17</v>
      </c>
    </row>
    <row r="358" spans="1:2" x14ac:dyDescent="0.2">
      <c r="A358" s="10">
        <v>356</v>
      </c>
      <c r="B358" s="10">
        <v>36</v>
      </c>
    </row>
    <row r="359" spans="1:2" x14ac:dyDescent="0.2">
      <c r="A359" s="10">
        <v>357</v>
      </c>
      <c r="B359" s="10">
        <v>17</v>
      </c>
    </row>
    <row r="360" spans="1:2" x14ac:dyDescent="0.2">
      <c r="A360" s="10">
        <v>358</v>
      </c>
      <c r="B360" s="10">
        <v>15</v>
      </c>
    </row>
    <row r="361" spans="1:2" x14ac:dyDescent="0.2">
      <c r="A361" s="10">
        <v>359</v>
      </c>
      <c r="B361" s="10">
        <v>20</v>
      </c>
    </row>
    <row r="362" spans="1:2" x14ac:dyDescent="0.2">
      <c r="A362" s="10">
        <v>360</v>
      </c>
      <c r="B362" s="10">
        <v>18</v>
      </c>
    </row>
    <row r="363" spans="1:2" x14ac:dyDescent="0.2">
      <c r="A363" s="10">
        <v>361</v>
      </c>
      <c r="B363" s="10">
        <v>26</v>
      </c>
    </row>
    <row r="364" spans="1:2" x14ac:dyDescent="0.2">
      <c r="A364" s="10">
        <v>362</v>
      </c>
      <c r="B364" s="10">
        <v>13</v>
      </c>
    </row>
    <row r="365" spans="1:2" x14ac:dyDescent="0.2">
      <c r="A365" s="10">
        <v>363</v>
      </c>
      <c r="B365" s="10">
        <v>6</v>
      </c>
    </row>
    <row r="366" spans="1:2" x14ac:dyDescent="0.2">
      <c r="A366" s="10">
        <v>364</v>
      </c>
      <c r="B366" s="10">
        <v>29</v>
      </c>
    </row>
    <row r="367" spans="1:2" x14ac:dyDescent="0.2">
      <c r="A367" s="10">
        <v>365</v>
      </c>
      <c r="B367" s="10">
        <v>14</v>
      </c>
    </row>
    <row r="368" spans="1:2" x14ac:dyDescent="0.2">
      <c r="A368" s="10">
        <v>366</v>
      </c>
      <c r="B368" s="10">
        <v>21</v>
      </c>
    </row>
    <row r="369" spans="1:2" x14ac:dyDescent="0.2">
      <c r="A369" s="10">
        <v>367</v>
      </c>
      <c r="B369" s="10">
        <v>13</v>
      </c>
    </row>
    <row r="370" spans="1:2" x14ac:dyDescent="0.2">
      <c r="A370" s="10">
        <v>368</v>
      </c>
      <c r="B370" s="10">
        <v>22</v>
      </c>
    </row>
    <row r="371" spans="1:2" x14ac:dyDescent="0.2">
      <c r="A371" s="10">
        <v>369</v>
      </c>
      <c r="B371" s="10">
        <v>20</v>
      </c>
    </row>
    <row r="372" spans="1:2" x14ac:dyDescent="0.2">
      <c r="A372" s="10">
        <v>370</v>
      </c>
      <c r="B372" s="10">
        <v>12</v>
      </c>
    </row>
    <row r="373" spans="1:2" x14ac:dyDescent="0.2">
      <c r="A373" s="10">
        <v>371</v>
      </c>
      <c r="B373" s="10">
        <v>14</v>
      </c>
    </row>
    <row r="374" spans="1:2" x14ac:dyDescent="0.2">
      <c r="A374" s="10">
        <v>372</v>
      </c>
      <c r="B374" s="10">
        <v>15</v>
      </c>
    </row>
    <row r="375" spans="1:2" x14ac:dyDescent="0.2">
      <c r="A375" s="10">
        <v>373</v>
      </c>
      <c r="B375" s="10">
        <v>15</v>
      </c>
    </row>
    <row r="376" spans="1:2" x14ac:dyDescent="0.2">
      <c r="A376" s="10">
        <v>374</v>
      </c>
      <c r="B376" s="10">
        <v>13</v>
      </c>
    </row>
    <row r="377" spans="1:2" x14ac:dyDescent="0.2">
      <c r="A377" s="10">
        <v>375</v>
      </c>
      <c r="B377" s="10">
        <v>17</v>
      </c>
    </row>
    <row r="378" spans="1:2" x14ac:dyDescent="0.2">
      <c r="A378" s="10">
        <v>376</v>
      </c>
      <c r="B378" s="10">
        <v>22</v>
      </c>
    </row>
    <row r="379" spans="1:2" x14ac:dyDescent="0.2">
      <c r="A379" s="10">
        <v>377</v>
      </c>
      <c r="B379" s="10">
        <v>14</v>
      </c>
    </row>
    <row r="380" spans="1:2" x14ac:dyDescent="0.2">
      <c r="A380" s="10">
        <v>378</v>
      </c>
      <c r="B380" s="10">
        <v>18</v>
      </c>
    </row>
    <row r="381" spans="1:2" x14ac:dyDescent="0.2">
      <c r="A381" s="10">
        <v>379</v>
      </c>
      <c r="B381" s="10">
        <v>15</v>
      </c>
    </row>
    <row r="382" spans="1:2" x14ac:dyDescent="0.2">
      <c r="A382" s="10">
        <v>380</v>
      </c>
      <c r="B382" s="10">
        <v>13</v>
      </c>
    </row>
    <row r="383" spans="1:2" x14ac:dyDescent="0.2">
      <c r="A383" s="10">
        <v>381</v>
      </c>
      <c r="B383" s="10">
        <v>30</v>
      </c>
    </row>
    <row r="384" spans="1:2" x14ac:dyDescent="0.2">
      <c r="A384" s="10">
        <v>382</v>
      </c>
      <c r="B384" s="10">
        <v>6</v>
      </c>
    </row>
    <row r="385" spans="1:2" x14ac:dyDescent="0.2">
      <c r="A385" s="10">
        <v>383</v>
      </c>
      <c r="B385" s="10">
        <v>16</v>
      </c>
    </row>
    <row r="386" spans="1:2" x14ac:dyDescent="0.2">
      <c r="A386" s="10">
        <v>384</v>
      </c>
      <c r="B386" s="10">
        <v>21</v>
      </c>
    </row>
    <row r="387" spans="1:2" x14ac:dyDescent="0.2">
      <c r="A387" s="10">
        <v>385</v>
      </c>
      <c r="B387" s="10">
        <v>22</v>
      </c>
    </row>
    <row r="388" spans="1:2" x14ac:dyDescent="0.2">
      <c r="A388" s="10">
        <v>386</v>
      </c>
      <c r="B388" s="10">
        <v>18</v>
      </c>
    </row>
    <row r="389" spans="1:2" x14ac:dyDescent="0.2">
      <c r="A389" s="10">
        <v>387</v>
      </c>
      <c r="B389" s="10">
        <v>12</v>
      </c>
    </row>
    <row r="390" spans="1:2" x14ac:dyDescent="0.2">
      <c r="A390" s="10">
        <v>388</v>
      </c>
      <c r="B390" s="10">
        <v>19</v>
      </c>
    </row>
    <row r="391" spans="1:2" x14ac:dyDescent="0.2">
      <c r="A391" s="10">
        <v>389</v>
      </c>
      <c r="B391" s="10">
        <v>21</v>
      </c>
    </row>
    <row r="392" spans="1:2" x14ac:dyDescent="0.2">
      <c r="A392" s="10">
        <v>390</v>
      </c>
      <c r="B392" s="10">
        <v>19</v>
      </c>
    </row>
    <row r="393" spans="1:2" x14ac:dyDescent="0.2">
      <c r="A393" s="10">
        <v>391</v>
      </c>
      <c r="B393" s="10">
        <v>21</v>
      </c>
    </row>
    <row r="394" spans="1:2" x14ac:dyDescent="0.2">
      <c r="A394" s="10">
        <v>392</v>
      </c>
      <c r="B394" s="10">
        <v>19</v>
      </c>
    </row>
    <row r="395" spans="1:2" x14ac:dyDescent="0.2">
      <c r="A395" s="10">
        <v>393</v>
      </c>
      <c r="B395" s="10">
        <v>21</v>
      </c>
    </row>
    <row r="396" spans="1:2" x14ac:dyDescent="0.2">
      <c r="A396" s="10">
        <v>394</v>
      </c>
      <c r="B396" s="10">
        <v>23</v>
      </c>
    </row>
    <row r="397" spans="1:2" x14ac:dyDescent="0.2">
      <c r="A397" s="10">
        <v>395</v>
      </c>
      <c r="B397" s="10">
        <v>27</v>
      </c>
    </row>
    <row r="398" spans="1:2" x14ac:dyDescent="0.2">
      <c r="A398" s="10">
        <v>396</v>
      </c>
      <c r="B398" s="10">
        <v>16</v>
      </c>
    </row>
    <row r="399" spans="1:2" x14ac:dyDescent="0.2">
      <c r="A399" s="10">
        <v>397</v>
      </c>
      <c r="B399" s="10">
        <v>5</v>
      </c>
    </row>
    <row r="400" spans="1:2" x14ac:dyDescent="0.2">
      <c r="A400" s="10">
        <v>398</v>
      </c>
      <c r="B400" s="10">
        <v>17</v>
      </c>
    </row>
    <row r="401" spans="1:2" x14ac:dyDescent="0.2">
      <c r="A401" s="10">
        <v>399</v>
      </c>
      <c r="B401" s="10">
        <v>18</v>
      </c>
    </row>
    <row r="402" spans="1:2" x14ac:dyDescent="0.2">
      <c r="A402" s="10">
        <v>400</v>
      </c>
      <c r="B402" s="10">
        <v>12</v>
      </c>
    </row>
    <row r="403" spans="1:2" x14ac:dyDescent="0.2">
      <c r="A403" s="10">
        <v>401</v>
      </c>
      <c r="B403" s="10">
        <v>23</v>
      </c>
    </row>
    <row r="404" spans="1:2" x14ac:dyDescent="0.2">
      <c r="A404" s="10">
        <v>402</v>
      </c>
      <c r="B404" s="10">
        <v>18</v>
      </c>
    </row>
    <row r="405" spans="1:2" x14ac:dyDescent="0.2">
      <c r="A405" s="10">
        <v>403</v>
      </c>
      <c r="B405" s="10">
        <v>22</v>
      </c>
    </row>
    <row r="406" spans="1:2" x14ac:dyDescent="0.2">
      <c r="A406" s="10">
        <v>404</v>
      </c>
      <c r="B406" s="10">
        <v>5</v>
      </c>
    </row>
    <row r="407" spans="1:2" x14ac:dyDescent="0.2">
      <c r="A407" s="10">
        <v>405</v>
      </c>
      <c r="B407" s="10">
        <v>17</v>
      </c>
    </row>
    <row r="408" spans="1:2" x14ac:dyDescent="0.2">
      <c r="A408" s="10">
        <v>406</v>
      </c>
      <c r="B408" s="10">
        <v>11</v>
      </c>
    </row>
    <row r="409" spans="1:2" x14ac:dyDescent="0.2">
      <c r="A409" s="10">
        <v>407</v>
      </c>
      <c r="B409" s="10">
        <v>10</v>
      </c>
    </row>
    <row r="410" spans="1:2" x14ac:dyDescent="0.2">
      <c r="A410" s="10">
        <v>408</v>
      </c>
      <c r="B410" s="10">
        <v>22</v>
      </c>
    </row>
    <row r="411" spans="1:2" x14ac:dyDescent="0.2">
      <c r="A411" s="10">
        <v>409</v>
      </c>
      <c r="B411" s="10">
        <v>16</v>
      </c>
    </row>
    <row r="412" spans="1:2" x14ac:dyDescent="0.2">
      <c r="A412" s="10">
        <v>410</v>
      </c>
      <c r="B412" s="10">
        <v>18</v>
      </c>
    </row>
    <row r="413" spans="1:2" x14ac:dyDescent="0.2">
      <c r="A413" s="10">
        <v>411</v>
      </c>
      <c r="B413" s="10">
        <v>19</v>
      </c>
    </row>
    <row r="414" spans="1:2" x14ac:dyDescent="0.2">
      <c r="A414" s="10">
        <v>412</v>
      </c>
      <c r="B414" s="10">
        <v>25</v>
      </c>
    </row>
    <row r="415" spans="1:2" x14ac:dyDescent="0.2">
      <c r="A415" s="10">
        <v>413</v>
      </c>
      <c r="B415" s="10">
        <v>29</v>
      </c>
    </row>
    <row r="416" spans="1:2" x14ac:dyDescent="0.2">
      <c r="A416" s="10">
        <v>414</v>
      </c>
      <c r="B416" s="10">
        <v>14</v>
      </c>
    </row>
    <row r="417" spans="1:2" x14ac:dyDescent="0.2">
      <c r="A417" s="10">
        <v>415</v>
      </c>
      <c r="B417" s="10">
        <v>24</v>
      </c>
    </row>
    <row r="418" spans="1:2" x14ac:dyDescent="0.2">
      <c r="A418" s="10">
        <v>416</v>
      </c>
      <c r="B418" s="10">
        <v>14</v>
      </c>
    </row>
    <row r="419" spans="1:2" x14ac:dyDescent="0.2">
      <c r="A419" s="10">
        <v>417</v>
      </c>
      <c r="B419" s="10">
        <v>8</v>
      </c>
    </row>
    <row r="420" spans="1:2" x14ac:dyDescent="0.2">
      <c r="A420" s="10">
        <v>418</v>
      </c>
      <c r="B420" s="10">
        <v>35</v>
      </c>
    </row>
    <row r="421" spans="1:2" x14ac:dyDescent="0.2">
      <c r="A421" s="10">
        <v>419</v>
      </c>
      <c r="B421" s="10">
        <v>18</v>
      </c>
    </row>
    <row r="422" spans="1:2" x14ac:dyDescent="0.2">
      <c r="A422" s="10">
        <v>420</v>
      </c>
      <c r="B422" s="10">
        <v>13</v>
      </c>
    </row>
    <row r="423" spans="1:2" x14ac:dyDescent="0.2">
      <c r="A423" s="10">
        <v>421</v>
      </c>
      <c r="B423" s="10">
        <v>18</v>
      </c>
    </row>
    <row r="424" spans="1:2" x14ac:dyDescent="0.2">
      <c r="A424" s="10">
        <v>422</v>
      </c>
      <c r="B424" s="10">
        <v>29</v>
      </c>
    </row>
    <row r="425" spans="1:2" x14ac:dyDescent="0.2">
      <c r="A425" s="10">
        <v>423</v>
      </c>
      <c r="B425" s="10">
        <v>18</v>
      </c>
    </row>
    <row r="426" spans="1:2" x14ac:dyDescent="0.2">
      <c r="A426" s="10">
        <v>424</v>
      </c>
      <c r="B426" s="10">
        <v>12</v>
      </c>
    </row>
    <row r="427" spans="1:2" x14ac:dyDescent="0.2">
      <c r="A427" s="10">
        <v>425</v>
      </c>
      <c r="B427" s="10">
        <v>12</v>
      </c>
    </row>
    <row r="428" spans="1:2" x14ac:dyDescent="0.2">
      <c r="A428" s="10">
        <v>426</v>
      </c>
      <c r="B428" s="10">
        <v>20</v>
      </c>
    </row>
    <row r="429" spans="1:2" x14ac:dyDescent="0.2">
      <c r="A429" s="10">
        <v>427</v>
      </c>
      <c r="B429" s="10">
        <v>14</v>
      </c>
    </row>
    <row r="430" spans="1:2" x14ac:dyDescent="0.2">
      <c r="A430" s="10">
        <v>428</v>
      </c>
      <c r="B430" s="10">
        <v>18</v>
      </c>
    </row>
    <row r="431" spans="1:2" x14ac:dyDescent="0.2">
      <c r="A431" s="10">
        <v>429</v>
      </c>
      <c r="B431" s="10">
        <v>27</v>
      </c>
    </row>
    <row r="432" spans="1:2" x14ac:dyDescent="0.2">
      <c r="A432" s="10">
        <v>430</v>
      </c>
      <c r="B432" s="10">
        <v>37</v>
      </c>
    </row>
    <row r="433" spans="1:2" x14ac:dyDescent="0.2">
      <c r="A433" s="10">
        <v>431</v>
      </c>
      <c r="B433" s="10">
        <v>26</v>
      </c>
    </row>
    <row r="434" spans="1:2" x14ac:dyDescent="0.2">
      <c r="A434" s="10">
        <v>432</v>
      </c>
      <c r="B434" s="10">
        <v>26</v>
      </c>
    </row>
    <row r="435" spans="1:2" x14ac:dyDescent="0.2">
      <c r="A435" s="10">
        <v>433</v>
      </c>
      <c r="B435" s="10">
        <v>12</v>
      </c>
    </row>
    <row r="436" spans="1:2" x14ac:dyDescent="0.2">
      <c r="A436" s="10">
        <v>434</v>
      </c>
      <c r="B436" s="10">
        <v>13</v>
      </c>
    </row>
    <row r="437" spans="1:2" x14ac:dyDescent="0.2">
      <c r="A437" s="10">
        <v>435</v>
      </c>
      <c r="B437" s="10">
        <v>26</v>
      </c>
    </row>
    <row r="438" spans="1:2" x14ac:dyDescent="0.2">
      <c r="A438" s="10">
        <v>436</v>
      </c>
      <c r="B438" s="10">
        <v>25</v>
      </c>
    </row>
    <row r="439" spans="1:2" x14ac:dyDescent="0.2">
      <c r="A439" s="10">
        <v>437</v>
      </c>
      <c r="B439" s="10">
        <v>22</v>
      </c>
    </row>
    <row r="440" spans="1:2" x14ac:dyDescent="0.2">
      <c r="A440" s="10">
        <v>438</v>
      </c>
      <c r="B440" s="10">
        <v>15</v>
      </c>
    </row>
    <row r="441" spans="1:2" x14ac:dyDescent="0.2">
      <c r="A441" s="10">
        <v>439</v>
      </c>
      <c r="B441" s="10">
        <v>23</v>
      </c>
    </row>
    <row r="442" spans="1:2" x14ac:dyDescent="0.2">
      <c r="A442" s="10">
        <v>440</v>
      </c>
      <c r="B442" s="10">
        <v>24</v>
      </c>
    </row>
    <row r="443" spans="1:2" x14ac:dyDescent="0.2">
      <c r="A443" s="10">
        <v>441</v>
      </c>
      <c r="B443" s="10">
        <v>18</v>
      </c>
    </row>
    <row r="444" spans="1:2" x14ac:dyDescent="0.2">
      <c r="A444" s="10">
        <v>442</v>
      </c>
      <c r="B444" s="10">
        <v>23</v>
      </c>
    </row>
    <row r="445" spans="1:2" x14ac:dyDescent="0.2">
      <c r="A445" s="10">
        <v>443</v>
      </c>
      <c r="B445" s="10">
        <v>29</v>
      </c>
    </row>
    <row r="446" spans="1:2" x14ac:dyDescent="0.2">
      <c r="A446" s="10">
        <v>444</v>
      </c>
      <c r="B446" s="10">
        <v>6</v>
      </c>
    </row>
    <row r="447" spans="1:2" x14ac:dyDescent="0.2">
      <c r="A447" s="10">
        <v>445</v>
      </c>
      <c r="B447" s="10">
        <v>10</v>
      </c>
    </row>
    <row r="448" spans="1:2" x14ac:dyDescent="0.2">
      <c r="A448" s="10">
        <v>446</v>
      </c>
      <c r="B448" s="10">
        <v>9</v>
      </c>
    </row>
    <row r="449" spans="1:2" x14ac:dyDescent="0.2">
      <c r="A449" s="10">
        <v>447</v>
      </c>
      <c r="B449" s="10">
        <v>11</v>
      </c>
    </row>
    <row r="450" spans="1:2" x14ac:dyDescent="0.2">
      <c r="A450" s="10">
        <v>448</v>
      </c>
      <c r="B450" s="10">
        <v>13</v>
      </c>
    </row>
    <row r="451" spans="1:2" x14ac:dyDescent="0.2">
      <c r="A451" s="10">
        <v>449</v>
      </c>
      <c r="B451" s="10">
        <v>7</v>
      </c>
    </row>
    <row r="452" spans="1:2" x14ac:dyDescent="0.2">
      <c r="A452" s="10">
        <v>450</v>
      </c>
      <c r="B452" s="10">
        <v>25</v>
      </c>
    </row>
    <row r="453" spans="1:2" x14ac:dyDescent="0.2">
      <c r="A453" s="10">
        <v>451</v>
      </c>
      <c r="B453" s="10">
        <v>25</v>
      </c>
    </row>
    <row r="454" spans="1:2" x14ac:dyDescent="0.2">
      <c r="A454" s="10">
        <v>452</v>
      </c>
      <c r="B454" s="10">
        <v>14</v>
      </c>
    </row>
    <row r="455" spans="1:2" x14ac:dyDescent="0.2">
      <c r="A455" s="10">
        <v>453</v>
      </c>
      <c r="B455" s="10">
        <v>23</v>
      </c>
    </row>
    <row r="456" spans="1:2" x14ac:dyDescent="0.2">
      <c r="A456" s="10">
        <v>454</v>
      </c>
      <c r="B456" s="10">
        <v>19</v>
      </c>
    </row>
    <row r="457" spans="1:2" x14ac:dyDescent="0.2">
      <c r="A457" s="10">
        <v>455</v>
      </c>
      <c r="B457" s="10">
        <v>12</v>
      </c>
    </row>
    <row r="458" spans="1:2" x14ac:dyDescent="0.2">
      <c r="A458" s="10">
        <v>456</v>
      </c>
      <c r="B458" s="10">
        <v>16</v>
      </c>
    </row>
    <row r="459" spans="1:2" x14ac:dyDescent="0.2">
      <c r="A459" s="10">
        <v>457</v>
      </c>
      <c r="B459" s="10">
        <v>11</v>
      </c>
    </row>
    <row r="460" spans="1:2" x14ac:dyDescent="0.2">
      <c r="A460" s="10">
        <v>458</v>
      </c>
      <c r="B460" s="10">
        <v>29</v>
      </c>
    </row>
    <row r="461" spans="1:2" x14ac:dyDescent="0.2">
      <c r="A461" s="10">
        <v>459</v>
      </c>
      <c r="B461" s="10">
        <v>25</v>
      </c>
    </row>
    <row r="462" spans="1:2" x14ac:dyDescent="0.2">
      <c r="A462" s="10">
        <v>460</v>
      </c>
      <c r="B462" s="10">
        <v>19</v>
      </c>
    </row>
    <row r="463" spans="1:2" x14ac:dyDescent="0.2">
      <c r="A463" s="10">
        <v>461</v>
      </c>
      <c r="B463" s="10">
        <v>22</v>
      </c>
    </row>
    <row r="464" spans="1:2" x14ac:dyDescent="0.2">
      <c r="A464" s="10">
        <v>462</v>
      </c>
      <c r="B464" s="10">
        <v>19</v>
      </c>
    </row>
    <row r="465" spans="1:2" x14ac:dyDescent="0.2">
      <c r="A465" s="10">
        <v>463</v>
      </c>
      <c r="B465" s="10">
        <v>19</v>
      </c>
    </row>
    <row r="466" spans="1:2" x14ac:dyDescent="0.2">
      <c r="A466" s="10">
        <v>464</v>
      </c>
      <c r="B466" s="10">
        <v>14</v>
      </c>
    </row>
    <row r="467" spans="1:2" x14ac:dyDescent="0.2">
      <c r="A467" s="10">
        <v>465</v>
      </c>
      <c r="B467" s="10">
        <v>22</v>
      </c>
    </row>
    <row r="468" spans="1:2" x14ac:dyDescent="0.2">
      <c r="A468" s="10">
        <v>466</v>
      </c>
      <c r="B468" s="10">
        <v>24</v>
      </c>
    </row>
    <row r="469" spans="1:2" x14ac:dyDescent="0.2">
      <c r="A469" s="10">
        <v>467</v>
      </c>
      <c r="B469" s="10">
        <v>19</v>
      </c>
    </row>
    <row r="470" spans="1:2" x14ac:dyDescent="0.2">
      <c r="A470" s="10">
        <v>468</v>
      </c>
      <c r="B470" s="10">
        <v>28</v>
      </c>
    </row>
    <row r="471" spans="1:2" x14ac:dyDescent="0.2">
      <c r="A471" s="10">
        <v>469</v>
      </c>
      <c r="B471" s="10">
        <v>18</v>
      </c>
    </row>
    <row r="472" spans="1:2" x14ac:dyDescent="0.2">
      <c r="A472" s="10">
        <v>470</v>
      </c>
      <c r="B472" s="10">
        <v>13</v>
      </c>
    </row>
    <row r="473" spans="1:2" x14ac:dyDescent="0.2">
      <c r="A473" s="10">
        <v>471</v>
      </c>
      <c r="B473" s="10">
        <v>11</v>
      </c>
    </row>
    <row r="474" spans="1:2" x14ac:dyDescent="0.2">
      <c r="A474" s="10">
        <v>472</v>
      </c>
      <c r="B474" s="10">
        <v>22</v>
      </c>
    </row>
    <row r="475" spans="1:2" x14ac:dyDescent="0.2">
      <c r="A475" s="10">
        <v>473</v>
      </c>
      <c r="B475" s="10">
        <v>22</v>
      </c>
    </row>
    <row r="476" spans="1:2" x14ac:dyDescent="0.2">
      <c r="A476" s="10">
        <v>474</v>
      </c>
      <c r="B476" s="10">
        <v>19</v>
      </c>
    </row>
    <row r="477" spans="1:2" x14ac:dyDescent="0.2">
      <c r="A477" s="10">
        <v>475</v>
      </c>
      <c r="B477" s="10">
        <v>16</v>
      </c>
    </row>
    <row r="478" spans="1:2" x14ac:dyDescent="0.2">
      <c r="A478" s="10">
        <v>476</v>
      </c>
      <c r="B478" s="10">
        <v>25</v>
      </c>
    </row>
    <row r="479" spans="1:2" x14ac:dyDescent="0.2">
      <c r="A479" s="10">
        <v>477</v>
      </c>
      <c r="B479" s="10">
        <v>20</v>
      </c>
    </row>
    <row r="480" spans="1:2" x14ac:dyDescent="0.2">
      <c r="A480" s="10">
        <v>478</v>
      </c>
      <c r="B480" s="10">
        <v>21</v>
      </c>
    </row>
    <row r="481" spans="1:2" x14ac:dyDescent="0.2">
      <c r="A481" s="10">
        <v>479</v>
      </c>
      <c r="B481" s="10">
        <v>11</v>
      </c>
    </row>
    <row r="482" spans="1:2" x14ac:dyDescent="0.2">
      <c r="A482" s="10">
        <v>480</v>
      </c>
      <c r="B482" s="10">
        <v>26</v>
      </c>
    </row>
    <row r="483" spans="1:2" x14ac:dyDescent="0.2">
      <c r="A483" s="10">
        <v>481</v>
      </c>
      <c r="B483" s="10">
        <v>10</v>
      </c>
    </row>
    <row r="484" spans="1:2" x14ac:dyDescent="0.2">
      <c r="A484" s="10">
        <v>482</v>
      </c>
      <c r="B484" s="10">
        <v>21</v>
      </c>
    </row>
    <row r="485" spans="1:2" x14ac:dyDescent="0.2">
      <c r="A485" s="10">
        <v>483</v>
      </c>
      <c r="B485" s="10">
        <v>25</v>
      </c>
    </row>
    <row r="486" spans="1:2" x14ac:dyDescent="0.2">
      <c r="A486" s="10">
        <v>484</v>
      </c>
      <c r="B486" s="10">
        <v>20</v>
      </c>
    </row>
    <row r="487" spans="1:2" x14ac:dyDescent="0.2">
      <c r="A487" s="10">
        <v>485</v>
      </c>
      <c r="B487" s="10">
        <v>20</v>
      </c>
    </row>
    <row r="488" spans="1:2" x14ac:dyDescent="0.2">
      <c r="A488" s="10">
        <v>486</v>
      </c>
      <c r="B488" s="10">
        <v>20</v>
      </c>
    </row>
    <row r="489" spans="1:2" x14ac:dyDescent="0.2">
      <c r="A489" s="10">
        <v>487</v>
      </c>
      <c r="B489" s="10">
        <v>25</v>
      </c>
    </row>
    <row r="490" spans="1:2" x14ac:dyDescent="0.2">
      <c r="A490" s="10">
        <v>488</v>
      </c>
      <c r="B490" s="10">
        <v>11</v>
      </c>
    </row>
    <row r="491" spans="1:2" x14ac:dyDescent="0.2">
      <c r="A491" s="10">
        <v>489</v>
      </c>
      <c r="B491" s="10">
        <v>11</v>
      </c>
    </row>
    <row r="492" spans="1:2" x14ac:dyDescent="0.2">
      <c r="A492" s="10">
        <v>490</v>
      </c>
      <c r="B492" s="10">
        <v>31</v>
      </c>
    </row>
    <row r="493" spans="1:2" x14ac:dyDescent="0.2">
      <c r="A493" s="10">
        <v>491</v>
      </c>
      <c r="B493" s="10">
        <v>21</v>
      </c>
    </row>
    <row r="494" spans="1:2" x14ac:dyDescent="0.2">
      <c r="A494" s="10">
        <v>492</v>
      </c>
      <c r="B494" s="10">
        <v>18</v>
      </c>
    </row>
    <row r="495" spans="1:2" x14ac:dyDescent="0.2">
      <c r="A495" s="10">
        <v>493</v>
      </c>
      <c r="B495" s="10">
        <v>17</v>
      </c>
    </row>
    <row r="496" spans="1:2" x14ac:dyDescent="0.2">
      <c r="A496" s="10">
        <v>494</v>
      </c>
      <c r="B496" s="10">
        <v>10</v>
      </c>
    </row>
    <row r="497" spans="1:2" x14ac:dyDescent="0.2">
      <c r="A497" s="10">
        <v>495</v>
      </c>
      <c r="B497" s="10">
        <v>16</v>
      </c>
    </row>
    <row r="498" spans="1:2" x14ac:dyDescent="0.2">
      <c r="A498" s="10">
        <v>496</v>
      </c>
      <c r="B498" s="10">
        <v>13</v>
      </c>
    </row>
    <row r="499" spans="1:2" x14ac:dyDescent="0.2">
      <c r="A499" s="10">
        <v>497</v>
      </c>
      <c r="B499" s="10">
        <v>24</v>
      </c>
    </row>
    <row r="500" spans="1:2" x14ac:dyDescent="0.2">
      <c r="A500" s="10">
        <v>498</v>
      </c>
      <c r="B500" s="10">
        <v>16</v>
      </c>
    </row>
    <row r="501" spans="1:2" x14ac:dyDescent="0.2">
      <c r="A501" s="10">
        <v>499</v>
      </c>
      <c r="B501" s="10">
        <v>16</v>
      </c>
    </row>
    <row r="502" spans="1:2" x14ac:dyDescent="0.2">
      <c r="A502" s="10">
        <v>500</v>
      </c>
      <c r="B502" s="10">
        <v>38</v>
      </c>
    </row>
    <row r="503" spans="1:2" x14ac:dyDescent="0.2">
      <c r="A503" s="10">
        <v>501</v>
      </c>
      <c r="B503" s="10">
        <v>26</v>
      </c>
    </row>
    <row r="504" spans="1:2" x14ac:dyDescent="0.2">
      <c r="A504" s="10">
        <v>502</v>
      </c>
      <c r="B504" s="10">
        <v>14</v>
      </c>
    </row>
    <row r="505" spans="1:2" x14ac:dyDescent="0.2">
      <c r="A505" s="10">
        <v>503</v>
      </c>
      <c r="B505" s="10">
        <v>14</v>
      </c>
    </row>
    <row r="506" spans="1:2" x14ac:dyDescent="0.2">
      <c r="A506" s="10">
        <v>504</v>
      </c>
      <c r="B506" s="10">
        <v>11</v>
      </c>
    </row>
    <row r="507" spans="1:2" x14ac:dyDescent="0.2">
      <c r="A507" s="10">
        <v>505</v>
      </c>
      <c r="B507" s="10">
        <v>18</v>
      </c>
    </row>
    <row r="508" spans="1:2" x14ac:dyDescent="0.2">
      <c r="A508" s="10">
        <v>506</v>
      </c>
      <c r="B508" s="10">
        <v>24</v>
      </c>
    </row>
    <row r="509" spans="1:2" x14ac:dyDescent="0.2">
      <c r="A509" s="10">
        <v>507</v>
      </c>
      <c r="B509" s="10">
        <v>20</v>
      </c>
    </row>
    <row r="510" spans="1:2" x14ac:dyDescent="0.2">
      <c r="A510" s="10">
        <v>508</v>
      </c>
      <c r="B510" s="10">
        <v>18</v>
      </c>
    </row>
    <row r="511" spans="1:2" x14ac:dyDescent="0.2">
      <c r="A511" s="10">
        <v>509</v>
      </c>
      <c r="B511" s="10">
        <v>13</v>
      </c>
    </row>
    <row r="512" spans="1:2" x14ac:dyDescent="0.2">
      <c r="A512" s="10">
        <v>510</v>
      </c>
      <c r="B512" s="10">
        <v>17</v>
      </c>
    </row>
    <row r="513" spans="1:2" x14ac:dyDescent="0.2">
      <c r="A513" s="10">
        <v>511</v>
      </c>
      <c r="B513" s="10">
        <v>16</v>
      </c>
    </row>
    <row r="514" spans="1:2" x14ac:dyDescent="0.2">
      <c r="A514" s="10">
        <v>512</v>
      </c>
      <c r="B514" s="10">
        <v>15</v>
      </c>
    </row>
    <row r="515" spans="1:2" x14ac:dyDescent="0.2">
      <c r="A515" s="10">
        <v>513</v>
      </c>
      <c r="B515" s="10">
        <v>17</v>
      </c>
    </row>
    <row r="516" spans="1:2" x14ac:dyDescent="0.2">
      <c r="A516" s="10">
        <v>514</v>
      </c>
      <c r="B516" s="10">
        <v>17</v>
      </c>
    </row>
    <row r="517" spans="1:2" x14ac:dyDescent="0.2">
      <c r="A517" s="10">
        <v>515</v>
      </c>
      <c r="B517" s="10">
        <v>17</v>
      </c>
    </row>
    <row r="518" spans="1:2" x14ac:dyDescent="0.2">
      <c r="A518" s="10">
        <v>516</v>
      </c>
      <c r="B518" s="10">
        <v>18</v>
      </c>
    </row>
    <row r="519" spans="1:2" x14ac:dyDescent="0.2">
      <c r="A519" s="10">
        <v>517</v>
      </c>
      <c r="B519" s="10">
        <v>5</v>
      </c>
    </row>
    <row r="520" spans="1:2" x14ac:dyDescent="0.2">
      <c r="A520" s="10">
        <v>518</v>
      </c>
      <c r="B520" s="10">
        <v>18</v>
      </c>
    </row>
    <row r="521" spans="1:2" x14ac:dyDescent="0.2">
      <c r="A521" s="10">
        <v>519</v>
      </c>
      <c r="B521" s="10">
        <v>26</v>
      </c>
    </row>
    <row r="522" spans="1:2" x14ac:dyDescent="0.2">
      <c r="A522" s="10">
        <v>520</v>
      </c>
      <c r="B522" s="10">
        <v>26</v>
      </c>
    </row>
    <row r="523" spans="1:2" x14ac:dyDescent="0.2">
      <c r="A523" s="10">
        <v>521</v>
      </c>
      <c r="B523" s="10">
        <v>20</v>
      </c>
    </row>
    <row r="524" spans="1:2" x14ac:dyDescent="0.2">
      <c r="A524" s="10">
        <v>522</v>
      </c>
      <c r="B524" s="10">
        <v>15</v>
      </c>
    </row>
    <row r="525" spans="1:2" x14ac:dyDescent="0.2">
      <c r="A525" s="10">
        <v>523</v>
      </c>
      <c r="B525" s="10">
        <v>23</v>
      </c>
    </row>
    <row r="526" spans="1:2" x14ac:dyDescent="0.2">
      <c r="A526" s="10">
        <v>524</v>
      </c>
      <c r="B526" s="10">
        <v>21</v>
      </c>
    </row>
    <row r="527" spans="1:2" x14ac:dyDescent="0.2">
      <c r="A527" s="10">
        <v>525</v>
      </c>
      <c r="B527" s="10">
        <v>13</v>
      </c>
    </row>
    <row r="528" spans="1:2" x14ac:dyDescent="0.2">
      <c r="A528" s="10">
        <v>526</v>
      </c>
      <c r="B528" s="10">
        <v>12</v>
      </c>
    </row>
    <row r="529" spans="1:2" x14ac:dyDescent="0.2">
      <c r="A529" s="10">
        <v>527</v>
      </c>
      <c r="B529" s="10">
        <v>11</v>
      </c>
    </row>
    <row r="530" spans="1:2" x14ac:dyDescent="0.2">
      <c r="A530" s="10">
        <v>528</v>
      </c>
      <c r="B530" s="10">
        <v>10</v>
      </c>
    </row>
    <row r="531" spans="1:2" x14ac:dyDescent="0.2">
      <c r="A531" s="10">
        <v>529</v>
      </c>
      <c r="B531" s="10">
        <v>26</v>
      </c>
    </row>
    <row r="532" spans="1:2" x14ac:dyDescent="0.2">
      <c r="A532" s="10">
        <v>530</v>
      </c>
      <c r="B532" s="10">
        <v>27</v>
      </c>
    </row>
    <row r="533" spans="1:2" x14ac:dyDescent="0.2">
      <c r="A533" s="10">
        <v>531</v>
      </c>
      <c r="B533" s="10">
        <v>25</v>
      </c>
    </row>
    <row r="534" spans="1:2" x14ac:dyDescent="0.2">
      <c r="A534" s="10">
        <v>532</v>
      </c>
      <c r="B534" s="10">
        <v>28</v>
      </c>
    </row>
    <row r="535" spans="1:2" x14ac:dyDescent="0.2">
      <c r="A535" s="10">
        <v>533</v>
      </c>
      <c r="B535" s="10">
        <v>28</v>
      </c>
    </row>
    <row r="536" spans="1:2" x14ac:dyDescent="0.2">
      <c r="A536" s="10">
        <v>534</v>
      </c>
      <c r="B536" s="10">
        <v>6</v>
      </c>
    </row>
    <row r="537" spans="1:2" x14ac:dyDescent="0.2">
      <c r="A537" s="10">
        <v>535</v>
      </c>
      <c r="B537" s="10">
        <v>21</v>
      </c>
    </row>
    <row r="538" spans="1:2" x14ac:dyDescent="0.2">
      <c r="A538" s="10">
        <v>536</v>
      </c>
      <c r="B538" s="10">
        <v>26</v>
      </c>
    </row>
    <row r="539" spans="1:2" x14ac:dyDescent="0.2">
      <c r="A539" s="10">
        <v>537</v>
      </c>
      <c r="B539" s="10">
        <v>16</v>
      </c>
    </row>
    <row r="540" spans="1:2" x14ac:dyDescent="0.2">
      <c r="A540" s="10">
        <v>538</v>
      </c>
      <c r="B540" s="10">
        <v>23</v>
      </c>
    </row>
    <row r="541" spans="1:2" x14ac:dyDescent="0.2">
      <c r="A541" s="10">
        <v>539</v>
      </c>
      <c r="B541" s="10">
        <v>15</v>
      </c>
    </row>
    <row r="542" spans="1:2" x14ac:dyDescent="0.2">
      <c r="A542" s="10">
        <v>540</v>
      </c>
      <c r="B542" s="10">
        <v>10</v>
      </c>
    </row>
    <row r="543" spans="1:2" x14ac:dyDescent="0.2">
      <c r="A543" s="10">
        <v>541</v>
      </c>
      <c r="B543" s="10">
        <v>11</v>
      </c>
    </row>
    <row r="544" spans="1:2" x14ac:dyDescent="0.2">
      <c r="A544" s="10">
        <v>542</v>
      </c>
      <c r="B544" s="10">
        <v>23</v>
      </c>
    </row>
    <row r="545" spans="1:2" x14ac:dyDescent="0.2">
      <c r="A545" s="10">
        <v>543</v>
      </c>
      <c r="B545" s="10">
        <v>22</v>
      </c>
    </row>
    <row r="546" spans="1:2" x14ac:dyDescent="0.2">
      <c r="A546" s="10">
        <v>544</v>
      </c>
      <c r="B546" s="10">
        <v>15</v>
      </c>
    </row>
    <row r="547" spans="1:2" x14ac:dyDescent="0.2">
      <c r="A547" s="10">
        <v>545</v>
      </c>
      <c r="B547" s="10">
        <v>15</v>
      </c>
    </row>
    <row r="548" spans="1:2" x14ac:dyDescent="0.2">
      <c r="A548" s="10">
        <v>546</v>
      </c>
      <c r="B548" s="10">
        <v>12</v>
      </c>
    </row>
    <row r="549" spans="1:2" x14ac:dyDescent="0.2">
      <c r="A549" s="10">
        <v>547</v>
      </c>
      <c r="B549" s="10">
        <v>20</v>
      </c>
    </row>
    <row r="550" spans="1:2" x14ac:dyDescent="0.2">
      <c r="A550" s="10">
        <v>548</v>
      </c>
      <c r="B550" s="10">
        <v>17</v>
      </c>
    </row>
    <row r="551" spans="1:2" x14ac:dyDescent="0.2">
      <c r="A551" s="10">
        <v>549</v>
      </c>
      <c r="B551" s="10">
        <v>12</v>
      </c>
    </row>
    <row r="552" spans="1:2" x14ac:dyDescent="0.2">
      <c r="A552" s="10">
        <v>550</v>
      </c>
      <c r="B552" s="10">
        <v>14</v>
      </c>
    </row>
    <row r="553" spans="1:2" x14ac:dyDescent="0.2">
      <c r="A553" s="10">
        <v>551</v>
      </c>
      <c r="B553" s="10">
        <v>19</v>
      </c>
    </row>
    <row r="554" spans="1:2" x14ac:dyDescent="0.2">
      <c r="A554" s="10">
        <v>552</v>
      </c>
      <c r="B554" s="10">
        <v>27</v>
      </c>
    </row>
    <row r="555" spans="1:2" x14ac:dyDescent="0.2">
      <c r="A555" s="10">
        <v>553</v>
      </c>
      <c r="B555" s="10">
        <v>13</v>
      </c>
    </row>
    <row r="556" spans="1:2" x14ac:dyDescent="0.2">
      <c r="A556" s="10">
        <v>554</v>
      </c>
      <c r="B556" s="10">
        <v>19</v>
      </c>
    </row>
    <row r="557" spans="1:2" x14ac:dyDescent="0.2">
      <c r="A557" s="10">
        <v>555</v>
      </c>
      <c r="B557" s="10">
        <v>30</v>
      </c>
    </row>
    <row r="558" spans="1:2" x14ac:dyDescent="0.2">
      <c r="A558" s="10">
        <v>556</v>
      </c>
      <c r="B558" s="10">
        <v>10</v>
      </c>
    </row>
    <row r="559" spans="1:2" x14ac:dyDescent="0.2">
      <c r="A559" s="10">
        <v>557</v>
      </c>
      <c r="B559" s="10">
        <v>23</v>
      </c>
    </row>
    <row r="560" spans="1:2" x14ac:dyDescent="0.2">
      <c r="A560" s="10">
        <v>558</v>
      </c>
      <c r="B560" s="10">
        <v>16</v>
      </c>
    </row>
    <row r="561" spans="1:2" x14ac:dyDescent="0.2">
      <c r="A561" s="10">
        <v>559</v>
      </c>
      <c r="B561" s="10">
        <v>9</v>
      </c>
    </row>
    <row r="562" spans="1:2" x14ac:dyDescent="0.2">
      <c r="A562" s="10">
        <v>560</v>
      </c>
      <c r="B562" s="10">
        <v>21</v>
      </c>
    </row>
    <row r="563" spans="1:2" x14ac:dyDescent="0.2">
      <c r="A563" s="10">
        <v>561</v>
      </c>
      <c r="B563" s="10">
        <v>18</v>
      </c>
    </row>
    <row r="564" spans="1:2" x14ac:dyDescent="0.2">
      <c r="A564" s="10">
        <v>562</v>
      </c>
      <c r="B564" s="10">
        <v>19</v>
      </c>
    </row>
    <row r="565" spans="1:2" x14ac:dyDescent="0.2">
      <c r="A565" s="10">
        <v>563</v>
      </c>
      <c r="B565" s="10">
        <v>3</v>
      </c>
    </row>
    <row r="566" spans="1:2" x14ac:dyDescent="0.2">
      <c r="A566" s="10">
        <v>564</v>
      </c>
      <c r="B566" s="10">
        <v>21</v>
      </c>
    </row>
    <row r="567" spans="1:2" x14ac:dyDescent="0.2">
      <c r="A567" s="10">
        <v>565</v>
      </c>
      <c r="B567" s="10">
        <v>16</v>
      </c>
    </row>
    <row r="568" spans="1:2" x14ac:dyDescent="0.2">
      <c r="A568" s="10">
        <v>566</v>
      </c>
      <c r="B568" s="10">
        <v>16</v>
      </c>
    </row>
    <row r="569" spans="1:2" x14ac:dyDescent="0.2">
      <c r="A569" s="10">
        <v>567</v>
      </c>
      <c r="B569" s="10">
        <v>12</v>
      </c>
    </row>
    <row r="570" spans="1:2" x14ac:dyDescent="0.2">
      <c r="A570" s="10">
        <v>568</v>
      </c>
      <c r="B570" s="10">
        <v>9</v>
      </c>
    </row>
    <row r="571" spans="1:2" x14ac:dyDescent="0.2">
      <c r="A571" s="10">
        <v>569</v>
      </c>
      <c r="B571" s="10">
        <v>23</v>
      </c>
    </row>
    <row r="572" spans="1:2" x14ac:dyDescent="0.2">
      <c r="A572" s="10">
        <v>570</v>
      </c>
      <c r="B572" s="10">
        <v>11</v>
      </c>
    </row>
    <row r="573" spans="1:2" x14ac:dyDescent="0.2">
      <c r="A573" s="10">
        <v>571</v>
      </c>
      <c r="B573" s="10">
        <v>10</v>
      </c>
    </row>
    <row r="574" spans="1:2" x14ac:dyDescent="0.2">
      <c r="A574" s="10">
        <v>572</v>
      </c>
      <c r="B574" s="10">
        <v>18</v>
      </c>
    </row>
    <row r="575" spans="1:2" x14ac:dyDescent="0.2">
      <c r="A575" s="10">
        <v>573</v>
      </c>
      <c r="B575" s="10">
        <v>18</v>
      </c>
    </row>
    <row r="576" spans="1:2" x14ac:dyDescent="0.2">
      <c r="A576" s="10">
        <v>574</v>
      </c>
      <c r="B576" s="10">
        <v>25</v>
      </c>
    </row>
    <row r="577" spans="1:2" x14ac:dyDescent="0.2">
      <c r="A577" s="10">
        <v>575</v>
      </c>
      <c r="B577" s="10">
        <v>22</v>
      </c>
    </row>
    <row r="578" spans="1:2" x14ac:dyDescent="0.2">
      <c r="A578" s="10">
        <v>576</v>
      </c>
      <c r="B578" s="10">
        <v>22</v>
      </c>
    </row>
    <row r="579" spans="1:2" x14ac:dyDescent="0.2">
      <c r="A579" s="10">
        <v>577</v>
      </c>
      <c r="B579" s="10">
        <v>11</v>
      </c>
    </row>
    <row r="580" spans="1:2" x14ac:dyDescent="0.2">
      <c r="A580" s="10">
        <v>578</v>
      </c>
      <c r="B580" s="10">
        <v>19</v>
      </c>
    </row>
    <row r="581" spans="1:2" x14ac:dyDescent="0.2">
      <c r="A581" s="10">
        <v>579</v>
      </c>
      <c r="B581" s="10">
        <v>21</v>
      </c>
    </row>
    <row r="582" spans="1:2" x14ac:dyDescent="0.2">
      <c r="A582" s="10">
        <v>580</v>
      </c>
      <c r="B582" s="10">
        <v>15</v>
      </c>
    </row>
    <row r="583" spans="1:2" x14ac:dyDescent="0.2">
      <c r="A583" s="10">
        <v>581</v>
      </c>
      <c r="B583" s="10">
        <v>22</v>
      </c>
    </row>
    <row r="584" spans="1:2" x14ac:dyDescent="0.2">
      <c r="A584" s="10">
        <v>582</v>
      </c>
      <c r="B584" s="10">
        <v>37</v>
      </c>
    </row>
    <row r="585" spans="1:2" x14ac:dyDescent="0.2">
      <c r="A585" s="10">
        <v>583</v>
      </c>
      <c r="B585" s="10">
        <v>23</v>
      </c>
    </row>
    <row r="586" spans="1:2" x14ac:dyDescent="0.2">
      <c r="A586" s="10">
        <v>584</v>
      </c>
      <c r="B586" s="10">
        <v>25</v>
      </c>
    </row>
    <row r="587" spans="1:2" x14ac:dyDescent="0.2">
      <c r="A587" s="10">
        <v>585</v>
      </c>
      <c r="B587" s="10">
        <v>26</v>
      </c>
    </row>
    <row r="588" spans="1:2" x14ac:dyDescent="0.2">
      <c r="A588" s="10">
        <v>586</v>
      </c>
      <c r="B588" s="10">
        <v>8</v>
      </c>
    </row>
    <row r="589" spans="1:2" x14ac:dyDescent="0.2">
      <c r="A589" s="10">
        <v>587</v>
      </c>
      <c r="B589" s="10">
        <v>18</v>
      </c>
    </row>
    <row r="590" spans="1:2" x14ac:dyDescent="0.2">
      <c r="A590" s="10">
        <v>588</v>
      </c>
      <c r="B590" s="10">
        <v>13</v>
      </c>
    </row>
    <row r="591" spans="1:2" x14ac:dyDescent="0.2">
      <c r="A591" s="10">
        <v>589</v>
      </c>
      <c r="B591" s="10">
        <v>14</v>
      </c>
    </row>
    <row r="592" spans="1:2" x14ac:dyDescent="0.2">
      <c r="A592" s="10">
        <v>590</v>
      </c>
      <c r="B592" s="10">
        <v>12</v>
      </c>
    </row>
    <row r="593" spans="1:2" x14ac:dyDescent="0.2">
      <c r="A593" s="10">
        <v>591</v>
      </c>
      <c r="B593" s="10">
        <v>15</v>
      </c>
    </row>
    <row r="594" spans="1:2" x14ac:dyDescent="0.2">
      <c r="A594" s="10">
        <v>592</v>
      </c>
      <c r="B594" s="10">
        <v>34</v>
      </c>
    </row>
    <row r="595" spans="1:2" x14ac:dyDescent="0.2">
      <c r="A595" s="10">
        <v>593</v>
      </c>
      <c r="B595" s="10">
        <v>16</v>
      </c>
    </row>
    <row r="596" spans="1:2" x14ac:dyDescent="0.2">
      <c r="A596" s="10">
        <v>594</v>
      </c>
      <c r="B596" s="10">
        <v>10</v>
      </c>
    </row>
    <row r="597" spans="1:2" x14ac:dyDescent="0.2">
      <c r="A597" s="10">
        <v>595</v>
      </c>
      <c r="B597" s="10">
        <v>28</v>
      </c>
    </row>
    <row r="598" spans="1:2" x14ac:dyDescent="0.2">
      <c r="A598" s="10">
        <v>596</v>
      </c>
      <c r="B598" s="10">
        <v>11</v>
      </c>
    </row>
    <row r="599" spans="1:2" x14ac:dyDescent="0.2">
      <c r="A599" s="10">
        <v>597</v>
      </c>
      <c r="B599" s="10">
        <v>17</v>
      </c>
    </row>
    <row r="600" spans="1:2" x14ac:dyDescent="0.2">
      <c r="A600" s="10">
        <v>598</v>
      </c>
      <c r="B600" s="10">
        <v>11</v>
      </c>
    </row>
    <row r="601" spans="1:2" x14ac:dyDescent="0.2">
      <c r="A601" s="10">
        <v>599</v>
      </c>
      <c r="B601" s="10">
        <v>10</v>
      </c>
    </row>
    <row r="602" spans="1:2" x14ac:dyDescent="0.2">
      <c r="A602" s="10">
        <v>600</v>
      </c>
      <c r="B602" s="10">
        <v>30</v>
      </c>
    </row>
    <row r="603" spans="1:2" x14ac:dyDescent="0.2">
      <c r="A603" s="10">
        <v>601</v>
      </c>
      <c r="B603" s="10">
        <v>14</v>
      </c>
    </row>
    <row r="604" spans="1:2" x14ac:dyDescent="0.2">
      <c r="A604" s="10">
        <v>602</v>
      </c>
      <c r="B604" s="10">
        <v>17</v>
      </c>
    </row>
    <row r="605" spans="1:2" x14ac:dyDescent="0.2">
      <c r="A605" s="10">
        <v>603</v>
      </c>
      <c r="B605" s="10">
        <v>8</v>
      </c>
    </row>
    <row r="606" spans="1:2" x14ac:dyDescent="0.2">
      <c r="A606" s="10">
        <v>604</v>
      </c>
      <c r="B606" s="10">
        <v>14</v>
      </c>
    </row>
    <row r="607" spans="1:2" x14ac:dyDescent="0.2">
      <c r="A607" s="10">
        <v>605</v>
      </c>
      <c r="B607" s="10">
        <v>10</v>
      </c>
    </row>
    <row r="608" spans="1:2" x14ac:dyDescent="0.2">
      <c r="A608" s="10">
        <v>606</v>
      </c>
      <c r="B608" s="10">
        <v>6</v>
      </c>
    </row>
    <row r="609" spans="1:2" x14ac:dyDescent="0.2">
      <c r="A609" s="10">
        <v>607</v>
      </c>
      <c r="B609" s="10">
        <v>27</v>
      </c>
    </row>
    <row r="610" spans="1:2" x14ac:dyDescent="0.2">
      <c r="A610" s="10">
        <v>608</v>
      </c>
      <c r="B610" s="10">
        <v>17</v>
      </c>
    </row>
    <row r="611" spans="1:2" x14ac:dyDescent="0.2">
      <c r="A611" s="10">
        <v>609</v>
      </c>
      <c r="B611" s="10">
        <v>8</v>
      </c>
    </row>
    <row r="612" spans="1:2" x14ac:dyDescent="0.2">
      <c r="A612" s="10">
        <v>610</v>
      </c>
      <c r="B612" s="10">
        <v>21</v>
      </c>
    </row>
    <row r="613" spans="1:2" x14ac:dyDescent="0.2">
      <c r="A613" s="10">
        <v>611</v>
      </c>
      <c r="B613" s="10">
        <v>9</v>
      </c>
    </row>
    <row r="614" spans="1:2" x14ac:dyDescent="0.2">
      <c r="A614" s="10">
        <v>612</v>
      </c>
      <c r="B614" s="10">
        <v>18</v>
      </c>
    </row>
    <row r="615" spans="1:2" x14ac:dyDescent="0.2">
      <c r="A615" s="10">
        <v>613</v>
      </c>
      <c r="B615" s="10">
        <v>15</v>
      </c>
    </row>
    <row r="616" spans="1:2" x14ac:dyDescent="0.2">
      <c r="A616" s="10">
        <v>614</v>
      </c>
      <c r="B616" s="10">
        <v>8</v>
      </c>
    </row>
    <row r="617" spans="1:2" x14ac:dyDescent="0.2">
      <c r="A617" s="10">
        <v>615</v>
      </c>
      <c r="B617" s="10">
        <v>14</v>
      </c>
    </row>
    <row r="618" spans="1:2" x14ac:dyDescent="0.2">
      <c r="A618" s="10">
        <v>616</v>
      </c>
      <c r="B618" s="10">
        <v>16</v>
      </c>
    </row>
    <row r="619" spans="1:2" x14ac:dyDescent="0.2">
      <c r="A619" s="10">
        <v>617</v>
      </c>
      <c r="B619" s="10">
        <v>19</v>
      </c>
    </row>
    <row r="620" spans="1:2" x14ac:dyDescent="0.2">
      <c r="A620" s="10">
        <v>618</v>
      </c>
      <c r="B620" s="10">
        <v>12</v>
      </c>
    </row>
    <row r="621" spans="1:2" x14ac:dyDescent="0.2">
      <c r="A621" s="10">
        <v>619</v>
      </c>
      <c r="B621" s="10">
        <v>21</v>
      </c>
    </row>
    <row r="622" spans="1:2" x14ac:dyDescent="0.2">
      <c r="A622" s="10">
        <v>620</v>
      </c>
      <c r="B622" s="10">
        <v>21</v>
      </c>
    </row>
    <row r="623" spans="1:2" x14ac:dyDescent="0.2">
      <c r="A623" s="10">
        <v>621</v>
      </c>
      <c r="B623" s="10">
        <v>30</v>
      </c>
    </row>
    <row r="624" spans="1:2" x14ac:dyDescent="0.2">
      <c r="A624" s="10">
        <v>622</v>
      </c>
      <c r="B624" s="10">
        <v>5</v>
      </c>
    </row>
    <row r="625" spans="1:2" x14ac:dyDescent="0.2">
      <c r="A625" s="10">
        <v>623</v>
      </c>
      <c r="B625" s="10">
        <v>21</v>
      </c>
    </row>
    <row r="626" spans="1:2" x14ac:dyDescent="0.2">
      <c r="A626" s="10">
        <v>624</v>
      </c>
      <c r="B626" s="10">
        <v>17</v>
      </c>
    </row>
    <row r="627" spans="1:2" x14ac:dyDescent="0.2">
      <c r="A627" s="10">
        <v>625</v>
      </c>
      <c r="B627" s="10">
        <v>14</v>
      </c>
    </row>
    <row r="628" spans="1:2" x14ac:dyDescent="0.2">
      <c r="A628" s="10">
        <v>626</v>
      </c>
      <c r="B628" s="10">
        <v>19</v>
      </c>
    </row>
    <row r="629" spans="1:2" x14ac:dyDescent="0.2">
      <c r="A629" s="10">
        <v>627</v>
      </c>
      <c r="B629" s="10">
        <v>8</v>
      </c>
    </row>
    <row r="630" spans="1:2" x14ac:dyDescent="0.2">
      <c r="A630" s="10">
        <v>628</v>
      </c>
      <c r="B630" s="10">
        <v>21</v>
      </c>
    </row>
    <row r="631" spans="1:2" x14ac:dyDescent="0.2">
      <c r="A631" s="10">
        <v>629</v>
      </c>
      <c r="B631" s="10">
        <v>24</v>
      </c>
    </row>
    <row r="632" spans="1:2" x14ac:dyDescent="0.2">
      <c r="A632" s="10">
        <v>630</v>
      </c>
      <c r="B632" s="10">
        <v>17</v>
      </c>
    </row>
    <row r="633" spans="1:2" x14ac:dyDescent="0.2">
      <c r="A633" s="10">
        <v>631</v>
      </c>
      <c r="B633" s="10">
        <v>23</v>
      </c>
    </row>
    <row r="634" spans="1:2" x14ac:dyDescent="0.2">
      <c r="A634" s="10">
        <v>632</v>
      </c>
      <c r="B634" s="10">
        <v>21</v>
      </c>
    </row>
    <row r="635" spans="1:2" x14ac:dyDescent="0.2">
      <c r="A635" s="10">
        <v>633</v>
      </c>
      <c r="B635" s="10">
        <v>27</v>
      </c>
    </row>
    <row r="636" spans="1:2" x14ac:dyDescent="0.2">
      <c r="A636" s="10">
        <v>634</v>
      </c>
      <c r="B636" s="10">
        <v>19</v>
      </c>
    </row>
    <row r="637" spans="1:2" x14ac:dyDescent="0.2">
      <c r="A637" s="10">
        <v>635</v>
      </c>
      <c r="B637" s="10">
        <v>12</v>
      </c>
    </row>
    <row r="638" spans="1:2" x14ac:dyDescent="0.2">
      <c r="A638" s="10">
        <v>636</v>
      </c>
      <c r="B638" s="10">
        <v>24</v>
      </c>
    </row>
    <row r="639" spans="1:2" x14ac:dyDescent="0.2">
      <c r="A639" s="10">
        <v>637</v>
      </c>
      <c r="B639" s="10">
        <v>26</v>
      </c>
    </row>
    <row r="640" spans="1:2" x14ac:dyDescent="0.2">
      <c r="A640" s="10">
        <v>638</v>
      </c>
      <c r="B640" s="10">
        <v>12</v>
      </c>
    </row>
    <row r="641" spans="1:2" x14ac:dyDescent="0.2">
      <c r="A641" s="10">
        <v>639</v>
      </c>
      <c r="B641" s="10">
        <v>18</v>
      </c>
    </row>
    <row r="642" spans="1:2" x14ac:dyDescent="0.2">
      <c r="A642" s="10">
        <v>640</v>
      </c>
      <c r="B642" s="10">
        <v>18</v>
      </c>
    </row>
    <row r="643" spans="1:2" x14ac:dyDescent="0.2">
      <c r="A643" s="10">
        <v>641</v>
      </c>
      <c r="B643" s="10">
        <v>33</v>
      </c>
    </row>
    <row r="644" spans="1:2" x14ac:dyDescent="0.2">
      <c r="A644" s="10">
        <v>642</v>
      </c>
      <c r="B644" s="10">
        <v>25</v>
      </c>
    </row>
    <row r="645" spans="1:2" x14ac:dyDescent="0.2">
      <c r="A645" s="10">
        <v>643</v>
      </c>
      <c r="B645" s="10">
        <v>26</v>
      </c>
    </row>
    <row r="646" spans="1:2" x14ac:dyDescent="0.2">
      <c r="A646" s="10">
        <v>644</v>
      </c>
      <c r="B646" s="10">
        <v>15</v>
      </c>
    </row>
    <row r="647" spans="1:2" x14ac:dyDescent="0.2">
      <c r="A647" s="10">
        <v>645</v>
      </c>
      <c r="B647" s="10">
        <v>29</v>
      </c>
    </row>
    <row r="648" spans="1:2" x14ac:dyDescent="0.2">
      <c r="A648" s="10">
        <v>646</v>
      </c>
      <c r="B648" s="10">
        <v>17</v>
      </c>
    </row>
    <row r="649" spans="1:2" x14ac:dyDescent="0.2">
      <c r="A649" s="10">
        <v>647</v>
      </c>
      <c r="B649" s="10">
        <v>8</v>
      </c>
    </row>
    <row r="650" spans="1:2" x14ac:dyDescent="0.2">
      <c r="A650" s="10">
        <v>648</v>
      </c>
      <c r="B650" s="10">
        <v>3</v>
      </c>
    </row>
    <row r="651" spans="1:2" x14ac:dyDescent="0.2">
      <c r="A651" s="10">
        <v>649</v>
      </c>
      <c r="B651" s="10">
        <v>32</v>
      </c>
    </row>
    <row r="652" spans="1:2" x14ac:dyDescent="0.2">
      <c r="A652" s="10">
        <v>650</v>
      </c>
      <c r="B652" s="10">
        <v>28</v>
      </c>
    </row>
    <row r="653" spans="1:2" x14ac:dyDescent="0.2">
      <c r="A653" s="10">
        <v>651</v>
      </c>
      <c r="B653" s="10">
        <v>31</v>
      </c>
    </row>
    <row r="654" spans="1:2" x14ac:dyDescent="0.2">
      <c r="A654" s="10">
        <v>652</v>
      </c>
      <c r="B654" s="10">
        <v>13</v>
      </c>
    </row>
    <row r="655" spans="1:2" x14ac:dyDescent="0.2">
      <c r="A655" s="10">
        <v>653</v>
      </c>
      <c r="B655" s="10">
        <v>13</v>
      </c>
    </row>
    <row r="656" spans="1:2" x14ac:dyDescent="0.2">
      <c r="A656" s="10">
        <v>654</v>
      </c>
      <c r="B656" s="10">
        <v>23</v>
      </c>
    </row>
    <row r="657" spans="1:2" x14ac:dyDescent="0.2">
      <c r="A657" s="10">
        <v>655</v>
      </c>
      <c r="B657" s="10">
        <v>15</v>
      </c>
    </row>
    <row r="658" spans="1:2" x14ac:dyDescent="0.2">
      <c r="A658" s="10">
        <v>656</v>
      </c>
      <c r="B658" s="10">
        <v>18</v>
      </c>
    </row>
    <row r="659" spans="1:2" x14ac:dyDescent="0.2">
      <c r="A659" s="10">
        <v>657</v>
      </c>
      <c r="B659" s="10">
        <v>11</v>
      </c>
    </row>
    <row r="660" spans="1:2" x14ac:dyDescent="0.2">
      <c r="A660" s="10">
        <v>658</v>
      </c>
      <c r="B660" s="10">
        <v>25</v>
      </c>
    </row>
    <row r="661" spans="1:2" x14ac:dyDescent="0.2">
      <c r="A661" s="10">
        <v>659</v>
      </c>
      <c r="B661" s="10">
        <v>19</v>
      </c>
    </row>
    <row r="662" spans="1:2" x14ac:dyDescent="0.2">
      <c r="A662" s="10">
        <v>660</v>
      </c>
      <c r="B662" s="10">
        <v>32</v>
      </c>
    </row>
    <row r="663" spans="1:2" x14ac:dyDescent="0.2">
      <c r="A663" s="10">
        <v>661</v>
      </c>
      <c r="B663" s="10">
        <v>13</v>
      </c>
    </row>
    <row r="664" spans="1:2" x14ac:dyDescent="0.2">
      <c r="A664" s="10">
        <v>662</v>
      </c>
      <c r="B664" s="10">
        <v>7</v>
      </c>
    </row>
    <row r="665" spans="1:2" x14ac:dyDescent="0.2">
      <c r="A665" s="10">
        <v>663</v>
      </c>
      <c r="B665" s="10">
        <v>17</v>
      </c>
    </row>
    <row r="666" spans="1:2" x14ac:dyDescent="0.2">
      <c r="A666" s="10">
        <v>664</v>
      </c>
      <c r="B666" s="10">
        <v>11</v>
      </c>
    </row>
    <row r="667" spans="1:2" x14ac:dyDescent="0.2">
      <c r="A667" s="10">
        <v>665</v>
      </c>
      <c r="B667" s="10">
        <v>23</v>
      </c>
    </row>
    <row r="668" spans="1:2" x14ac:dyDescent="0.2">
      <c r="A668" s="10">
        <v>666</v>
      </c>
      <c r="B668" s="10">
        <v>26</v>
      </c>
    </row>
    <row r="669" spans="1:2" x14ac:dyDescent="0.2">
      <c r="A669" s="10">
        <v>667</v>
      </c>
      <c r="B669" s="10">
        <v>23</v>
      </c>
    </row>
    <row r="670" spans="1:2" x14ac:dyDescent="0.2">
      <c r="A670" s="10">
        <v>668</v>
      </c>
      <c r="B670" s="10">
        <v>16</v>
      </c>
    </row>
    <row r="671" spans="1:2" x14ac:dyDescent="0.2">
      <c r="A671" s="10">
        <v>669</v>
      </c>
      <c r="B671" s="10">
        <v>17</v>
      </c>
    </row>
    <row r="672" spans="1:2" x14ac:dyDescent="0.2">
      <c r="A672" s="10">
        <v>670</v>
      </c>
      <c r="B672" s="10">
        <v>17</v>
      </c>
    </row>
    <row r="673" spans="1:2" x14ac:dyDescent="0.2">
      <c r="A673" s="10">
        <v>671</v>
      </c>
      <c r="B673" s="10">
        <v>38</v>
      </c>
    </row>
    <row r="674" spans="1:2" x14ac:dyDescent="0.2">
      <c r="A674" s="10">
        <v>672</v>
      </c>
      <c r="B674" s="10">
        <v>8</v>
      </c>
    </row>
    <row r="675" spans="1:2" x14ac:dyDescent="0.2">
      <c r="A675" s="10">
        <v>673</v>
      </c>
      <c r="B675" s="10">
        <v>13</v>
      </c>
    </row>
    <row r="676" spans="1:2" x14ac:dyDescent="0.2">
      <c r="A676" s="10">
        <v>674</v>
      </c>
      <c r="B676" s="10">
        <v>33</v>
      </c>
    </row>
    <row r="677" spans="1:2" x14ac:dyDescent="0.2">
      <c r="A677" s="10">
        <v>675</v>
      </c>
      <c r="B677" s="10">
        <v>19</v>
      </c>
    </row>
    <row r="678" spans="1:2" x14ac:dyDescent="0.2">
      <c r="A678" s="10">
        <v>676</v>
      </c>
      <c r="B678" s="10">
        <v>10</v>
      </c>
    </row>
    <row r="679" spans="1:2" x14ac:dyDescent="0.2">
      <c r="A679" s="10">
        <v>677</v>
      </c>
      <c r="B679" s="10">
        <v>24</v>
      </c>
    </row>
    <row r="680" spans="1:2" x14ac:dyDescent="0.2">
      <c r="A680" s="10">
        <v>678</v>
      </c>
      <c r="B680" s="10">
        <v>23</v>
      </c>
    </row>
    <row r="681" spans="1:2" x14ac:dyDescent="0.2">
      <c r="A681" s="10">
        <v>679</v>
      </c>
      <c r="B681" s="10">
        <v>13</v>
      </c>
    </row>
    <row r="682" spans="1:2" x14ac:dyDescent="0.2">
      <c r="A682" s="10">
        <v>680</v>
      </c>
      <c r="B682" s="10">
        <v>18</v>
      </c>
    </row>
    <row r="683" spans="1:2" x14ac:dyDescent="0.2">
      <c r="A683" s="10">
        <v>681</v>
      </c>
      <c r="B683" s="10">
        <v>11</v>
      </c>
    </row>
    <row r="684" spans="1:2" x14ac:dyDescent="0.2">
      <c r="A684" s="10">
        <v>682</v>
      </c>
      <c r="B684" s="10">
        <v>30</v>
      </c>
    </row>
    <row r="685" spans="1:2" x14ac:dyDescent="0.2">
      <c r="A685" s="10">
        <v>683</v>
      </c>
      <c r="B685" s="10">
        <v>11</v>
      </c>
    </row>
    <row r="686" spans="1:2" x14ac:dyDescent="0.2">
      <c r="A686" s="10">
        <v>684</v>
      </c>
      <c r="B686" s="10">
        <v>14</v>
      </c>
    </row>
    <row r="687" spans="1:2" x14ac:dyDescent="0.2">
      <c r="A687" s="10">
        <v>685</v>
      </c>
      <c r="B687" s="10">
        <v>15</v>
      </c>
    </row>
    <row r="688" spans="1:2" x14ac:dyDescent="0.2">
      <c r="A688" s="10">
        <v>686</v>
      </c>
      <c r="B688" s="10">
        <v>22</v>
      </c>
    </row>
    <row r="689" spans="1:2" x14ac:dyDescent="0.2">
      <c r="A689" s="10">
        <v>687</v>
      </c>
      <c r="B689" s="10">
        <v>16</v>
      </c>
    </row>
    <row r="690" spans="1:2" x14ac:dyDescent="0.2">
      <c r="A690" s="10">
        <v>688</v>
      </c>
      <c r="B690" s="10">
        <v>26</v>
      </c>
    </row>
    <row r="691" spans="1:2" x14ac:dyDescent="0.2">
      <c r="A691" s="10">
        <v>689</v>
      </c>
      <c r="B691" s="10">
        <v>13</v>
      </c>
    </row>
    <row r="692" spans="1:2" x14ac:dyDescent="0.2">
      <c r="A692" s="10">
        <v>690</v>
      </c>
      <c r="B692" s="10">
        <v>21</v>
      </c>
    </row>
    <row r="693" spans="1:2" x14ac:dyDescent="0.2">
      <c r="A693" s="10">
        <v>691</v>
      </c>
      <c r="B693" s="10">
        <v>7</v>
      </c>
    </row>
    <row r="694" spans="1:2" x14ac:dyDescent="0.2">
      <c r="A694" s="10">
        <v>692</v>
      </c>
      <c r="B694" s="10">
        <v>19</v>
      </c>
    </row>
    <row r="695" spans="1:2" x14ac:dyDescent="0.2">
      <c r="A695" s="10">
        <v>693</v>
      </c>
      <c r="B695" s="10">
        <v>19</v>
      </c>
    </row>
    <row r="696" spans="1:2" x14ac:dyDescent="0.2">
      <c r="A696" s="10">
        <v>694</v>
      </c>
      <c r="B696" s="10">
        <v>16</v>
      </c>
    </row>
    <row r="697" spans="1:2" x14ac:dyDescent="0.2">
      <c r="A697" s="10">
        <v>695</v>
      </c>
      <c r="B697" s="10">
        <v>7</v>
      </c>
    </row>
    <row r="698" spans="1:2" x14ac:dyDescent="0.2">
      <c r="A698" s="10">
        <v>696</v>
      </c>
      <c r="B698" s="10">
        <v>14</v>
      </c>
    </row>
    <row r="699" spans="1:2" x14ac:dyDescent="0.2">
      <c r="A699" s="10">
        <v>697</v>
      </c>
      <c r="B699" s="10">
        <v>13</v>
      </c>
    </row>
    <row r="700" spans="1:2" x14ac:dyDescent="0.2">
      <c r="A700" s="10">
        <v>698</v>
      </c>
      <c r="B700" s="10">
        <v>16</v>
      </c>
    </row>
    <row r="701" spans="1:2" x14ac:dyDescent="0.2">
      <c r="A701" s="10">
        <v>699</v>
      </c>
      <c r="B701" s="10">
        <v>17</v>
      </c>
    </row>
    <row r="702" spans="1:2" x14ac:dyDescent="0.2">
      <c r="A702" s="10">
        <v>700</v>
      </c>
      <c r="B702" s="10">
        <v>11</v>
      </c>
    </row>
    <row r="703" spans="1:2" x14ac:dyDescent="0.2">
      <c r="A703" s="10">
        <v>701</v>
      </c>
      <c r="B703" s="10">
        <v>26</v>
      </c>
    </row>
    <row r="704" spans="1:2" x14ac:dyDescent="0.2">
      <c r="A704" s="10">
        <v>702</v>
      </c>
      <c r="B704" s="10">
        <v>20</v>
      </c>
    </row>
    <row r="705" spans="1:2" x14ac:dyDescent="0.2">
      <c r="A705" s="10">
        <v>703</v>
      </c>
      <c r="B705" s="10">
        <v>20</v>
      </c>
    </row>
    <row r="706" spans="1:2" x14ac:dyDescent="0.2">
      <c r="A706" s="10">
        <v>704</v>
      </c>
      <c r="B706" s="10">
        <v>20</v>
      </c>
    </row>
    <row r="707" spans="1:2" x14ac:dyDescent="0.2">
      <c r="A707" s="10">
        <v>705</v>
      </c>
      <c r="B707" s="10">
        <v>20</v>
      </c>
    </row>
    <row r="708" spans="1:2" x14ac:dyDescent="0.2">
      <c r="A708" s="10">
        <v>706</v>
      </c>
      <c r="B708" s="10">
        <v>26</v>
      </c>
    </row>
    <row r="709" spans="1:2" x14ac:dyDescent="0.2">
      <c r="A709" s="10">
        <v>707</v>
      </c>
      <c r="B709" s="10">
        <v>24</v>
      </c>
    </row>
    <row r="710" spans="1:2" x14ac:dyDescent="0.2">
      <c r="A710" s="10">
        <v>708</v>
      </c>
      <c r="B710" s="10">
        <v>18</v>
      </c>
    </row>
    <row r="711" spans="1:2" x14ac:dyDescent="0.2">
      <c r="A711" s="10">
        <v>709</v>
      </c>
      <c r="B711" s="10">
        <v>21</v>
      </c>
    </row>
    <row r="712" spans="1:2" x14ac:dyDescent="0.2">
      <c r="A712" s="10">
        <v>710</v>
      </c>
      <c r="B712" s="10">
        <v>7</v>
      </c>
    </row>
    <row r="713" spans="1:2" x14ac:dyDescent="0.2">
      <c r="A713" s="10">
        <v>711</v>
      </c>
      <c r="B713" s="10">
        <v>19</v>
      </c>
    </row>
    <row r="714" spans="1:2" x14ac:dyDescent="0.2">
      <c r="A714" s="10">
        <v>712</v>
      </c>
      <c r="B714" s="10">
        <v>10</v>
      </c>
    </row>
    <row r="715" spans="1:2" x14ac:dyDescent="0.2">
      <c r="A715" s="10">
        <v>713</v>
      </c>
      <c r="B715" s="10">
        <v>22</v>
      </c>
    </row>
    <row r="716" spans="1:2" x14ac:dyDescent="0.2">
      <c r="A716" s="10">
        <v>714</v>
      </c>
      <c r="B716" s="10">
        <v>19</v>
      </c>
    </row>
    <row r="717" spans="1:2" x14ac:dyDescent="0.2">
      <c r="A717" s="10">
        <v>715</v>
      </c>
      <c r="B717" s="10">
        <v>19</v>
      </c>
    </row>
    <row r="718" spans="1:2" x14ac:dyDescent="0.2">
      <c r="A718" s="10">
        <v>716</v>
      </c>
      <c r="B718" s="10">
        <v>13</v>
      </c>
    </row>
    <row r="719" spans="1:2" x14ac:dyDescent="0.2">
      <c r="A719" s="10">
        <v>717</v>
      </c>
      <c r="B719" s="10">
        <v>24</v>
      </c>
    </row>
    <row r="720" spans="1:2" x14ac:dyDescent="0.2">
      <c r="A720" s="10">
        <v>718</v>
      </c>
      <c r="B720" s="10">
        <v>12</v>
      </c>
    </row>
    <row r="721" spans="1:2" x14ac:dyDescent="0.2">
      <c r="A721" s="10">
        <v>719</v>
      </c>
      <c r="B721" s="10">
        <v>18</v>
      </c>
    </row>
    <row r="722" spans="1:2" x14ac:dyDescent="0.2">
      <c r="A722" s="10">
        <v>720</v>
      </c>
      <c r="B722" s="10">
        <v>8</v>
      </c>
    </row>
    <row r="723" spans="1:2" x14ac:dyDescent="0.2">
      <c r="A723" s="10">
        <v>721</v>
      </c>
      <c r="B723" s="10">
        <v>16</v>
      </c>
    </row>
    <row r="724" spans="1:2" x14ac:dyDescent="0.2">
      <c r="A724" s="10">
        <v>722</v>
      </c>
      <c r="B724" s="10">
        <v>19</v>
      </c>
    </row>
    <row r="725" spans="1:2" x14ac:dyDescent="0.2">
      <c r="A725" s="10">
        <v>723</v>
      </c>
      <c r="B725" s="10">
        <v>25</v>
      </c>
    </row>
    <row r="726" spans="1:2" x14ac:dyDescent="0.2">
      <c r="A726" s="10">
        <v>724</v>
      </c>
      <c r="B726" s="10">
        <v>31</v>
      </c>
    </row>
    <row r="727" spans="1:2" x14ac:dyDescent="0.2">
      <c r="A727" s="10">
        <v>725</v>
      </c>
      <c r="B727" s="10">
        <v>30</v>
      </c>
    </row>
    <row r="728" spans="1:2" x14ac:dyDescent="0.2">
      <c r="A728" s="10">
        <v>726</v>
      </c>
      <c r="B728" s="10">
        <v>13</v>
      </c>
    </row>
    <row r="729" spans="1:2" x14ac:dyDescent="0.2">
      <c r="A729" s="10">
        <v>727</v>
      </c>
      <c r="B729" s="10">
        <v>19</v>
      </c>
    </row>
    <row r="730" spans="1:2" x14ac:dyDescent="0.2">
      <c r="A730" s="10">
        <v>728</v>
      </c>
      <c r="B730" s="10">
        <v>19</v>
      </c>
    </row>
    <row r="731" spans="1:2" x14ac:dyDescent="0.2">
      <c r="A731" s="10">
        <v>729</v>
      </c>
      <c r="B731" s="10">
        <v>25</v>
      </c>
    </row>
    <row r="732" spans="1:2" x14ac:dyDescent="0.2">
      <c r="A732" s="10">
        <v>730</v>
      </c>
      <c r="B732" s="10">
        <v>17</v>
      </c>
    </row>
    <row r="733" spans="1:2" x14ac:dyDescent="0.2">
      <c r="A733" s="10">
        <v>731</v>
      </c>
      <c r="B733" s="10">
        <v>18</v>
      </c>
    </row>
    <row r="734" spans="1:2" x14ac:dyDescent="0.2">
      <c r="A734" s="10">
        <v>732</v>
      </c>
      <c r="B734" s="10">
        <v>14</v>
      </c>
    </row>
    <row r="735" spans="1:2" x14ac:dyDescent="0.2">
      <c r="A735" s="10">
        <v>733</v>
      </c>
      <c r="B735" s="10">
        <v>11</v>
      </c>
    </row>
    <row r="736" spans="1:2" x14ac:dyDescent="0.2">
      <c r="A736" s="10">
        <v>734</v>
      </c>
      <c r="B736" s="10">
        <v>19</v>
      </c>
    </row>
    <row r="737" spans="1:2" x14ac:dyDescent="0.2">
      <c r="A737" s="10">
        <v>735</v>
      </c>
      <c r="B737" s="10">
        <v>23</v>
      </c>
    </row>
    <row r="738" spans="1:2" x14ac:dyDescent="0.2">
      <c r="A738" s="10">
        <v>736</v>
      </c>
      <c r="B738" s="10">
        <v>11</v>
      </c>
    </row>
    <row r="739" spans="1:2" x14ac:dyDescent="0.2">
      <c r="A739" s="10">
        <v>737</v>
      </c>
      <c r="B739" s="10">
        <v>16</v>
      </c>
    </row>
    <row r="740" spans="1:2" x14ac:dyDescent="0.2">
      <c r="A740" s="10">
        <v>738</v>
      </c>
      <c r="B740" s="10">
        <v>10</v>
      </c>
    </row>
    <row r="741" spans="1:2" x14ac:dyDescent="0.2">
      <c r="A741" s="10">
        <v>739</v>
      </c>
      <c r="B741" s="10">
        <v>14</v>
      </c>
    </row>
    <row r="742" spans="1:2" x14ac:dyDescent="0.2">
      <c r="A742" s="10">
        <v>740</v>
      </c>
      <c r="B742" s="10">
        <v>23</v>
      </c>
    </row>
    <row r="743" spans="1:2" x14ac:dyDescent="0.2">
      <c r="A743" s="10">
        <v>741</v>
      </c>
      <c r="B743" s="10">
        <v>20</v>
      </c>
    </row>
    <row r="744" spans="1:2" x14ac:dyDescent="0.2">
      <c r="A744" s="10">
        <v>742</v>
      </c>
      <c r="B744" s="10">
        <v>23</v>
      </c>
    </row>
    <row r="745" spans="1:2" x14ac:dyDescent="0.2">
      <c r="A745" s="10">
        <v>743</v>
      </c>
      <c r="B745" s="10">
        <v>24</v>
      </c>
    </row>
    <row r="746" spans="1:2" x14ac:dyDescent="0.2">
      <c r="A746" s="10">
        <v>744</v>
      </c>
      <c r="B746" s="10">
        <v>25</v>
      </c>
    </row>
    <row r="747" spans="1:2" x14ac:dyDescent="0.2">
      <c r="A747" s="10">
        <v>745</v>
      </c>
      <c r="B747" s="10">
        <v>14</v>
      </c>
    </row>
    <row r="748" spans="1:2" x14ac:dyDescent="0.2">
      <c r="A748" s="10">
        <v>746</v>
      </c>
      <c r="B748" s="10">
        <v>10</v>
      </c>
    </row>
    <row r="749" spans="1:2" x14ac:dyDescent="0.2">
      <c r="A749" s="10">
        <v>747</v>
      </c>
      <c r="B749" s="10">
        <v>14</v>
      </c>
    </row>
    <row r="750" spans="1:2" x14ac:dyDescent="0.2">
      <c r="A750" s="10">
        <v>748</v>
      </c>
      <c r="B750" s="10">
        <v>12</v>
      </c>
    </row>
    <row r="751" spans="1:2" x14ac:dyDescent="0.2">
      <c r="A751" s="10">
        <v>749</v>
      </c>
      <c r="B751" s="10">
        <v>23</v>
      </c>
    </row>
    <row r="752" spans="1:2" x14ac:dyDescent="0.2">
      <c r="A752" s="10">
        <v>750</v>
      </c>
      <c r="B752" s="10">
        <v>28</v>
      </c>
    </row>
    <row r="753" spans="1:2" x14ac:dyDescent="0.2">
      <c r="A753" s="10">
        <v>751</v>
      </c>
      <c r="B753" s="10">
        <v>8</v>
      </c>
    </row>
    <row r="754" spans="1:2" x14ac:dyDescent="0.2">
      <c r="A754" s="10">
        <v>752</v>
      </c>
      <c r="B754" s="10">
        <v>16</v>
      </c>
    </row>
    <row r="755" spans="1:2" x14ac:dyDescent="0.2">
      <c r="A755" s="10">
        <v>753</v>
      </c>
      <c r="B755" s="10">
        <v>19</v>
      </c>
    </row>
    <row r="756" spans="1:2" x14ac:dyDescent="0.2">
      <c r="A756" s="10">
        <v>754</v>
      </c>
      <c r="B756" s="10">
        <v>6</v>
      </c>
    </row>
    <row r="757" spans="1:2" x14ac:dyDescent="0.2">
      <c r="A757" s="10">
        <v>755</v>
      </c>
      <c r="B757" s="10">
        <v>27</v>
      </c>
    </row>
    <row r="758" spans="1:2" x14ac:dyDescent="0.2">
      <c r="A758" s="10">
        <v>756</v>
      </c>
      <c r="B758" s="10">
        <v>16</v>
      </c>
    </row>
    <row r="759" spans="1:2" x14ac:dyDescent="0.2">
      <c r="A759" s="10">
        <v>757</v>
      </c>
      <c r="B759" s="10">
        <v>10</v>
      </c>
    </row>
    <row r="760" spans="1:2" x14ac:dyDescent="0.2">
      <c r="A760" s="10">
        <v>758</v>
      </c>
      <c r="B760" s="10">
        <v>12</v>
      </c>
    </row>
    <row r="761" spans="1:2" x14ac:dyDescent="0.2">
      <c r="A761" s="10">
        <v>759</v>
      </c>
      <c r="B761" s="10">
        <v>20</v>
      </c>
    </row>
    <row r="762" spans="1:2" x14ac:dyDescent="0.2">
      <c r="A762" s="10">
        <v>760</v>
      </c>
      <c r="B762" s="10">
        <v>13</v>
      </c>
    </row>
    <row r="763" spans="1:2" x14ac:dyDescent="0.2">
      <c r="A763" s="10">
        <v>761</v>
      </c>
      <c r="B763" s="10">
        <v>12</v>
      </c>
    </row>
    <row r="764" spans="1:2" x14ac:dyDescent="0.2">
      <c r="A764" s="10">
        <v>762</v>
      </c>
      <c r="B764" s="10">
        <v>12</v>
      </c>
    </row>
    <row r="765" spans="1:2" x14ac:dyDescent="0.2">
      <c r="A765" s="10">
        <v>763</v>
      </c>
      <c r="B765" s="10">
        <v>32</v>
      </c>
    </row>
    <row r="766" spans="1:2" x14ac:dyDescent="0.2">
      <c r="A766" s="10">
        <v>764</v>
      </c>
      <c r="B766" s="10">
        <v>8</v>
      </c>
    </row>
    <row r="767" spans="1:2" x14ac:dyDescent="0.2">
      <c r="A767" s="10">
        <v>765</v>
      </c>
      <c r="B767" s="10">
        <v>15</v>
      </c>
    </row>
    <row r="768" spans="1:2" x14ac:dyDescent="0.2">
      <c r="A768" s="10">
        <v>766</v>
      </c>
      <c r="B768" s="10">
        <v>9</v>
      </c>
    </row>
    <row r="769" spans="1:2" x14ac:dyDescent="0.2">
      <c r="A769" s="10">
        <v>767</v>
      </c>
      <c r="B769" s="10">
        <v>17</v>
      </c>
    </row>
    <row r="770" spans="1:2" x14ac:dyDescent="0.2">
      <c r="A770" s="10">
        <v>768</v>
      </c>
      <c r="B770" s="10">
        <v>7</v>
      </c>
    </row>
    <row r="771" spans="1:2" x14ac:dyDescent="0.2">
      <c r="A771" s="10">
        <v>769</v>
      </c>
      <c r="B771" s="10">
        <v>27</v>
      </c>
    </row>
    <row r="772" spans="1:2" x14ac:dyDescent="0.2">
      <c r="A772" s="10">
        <v>770</v>
      </c>
      <c r="B772" s="10">
        <v>23</v>
      </c>
    </row>
    <row r="773" spans="1:2" x14ac:dyDescent="0.2">
      <c r="A773" s="10">
        <v>771</v>
      </c>
      <c r="B773" s="10">
        <v>20</v>
      </c>
    </row>
    <row r="774" spans="1:2" x14ac:dyDescent="0.2">
      <c r="A774" s="10">
        <v>772</v>
      </c>
      <c r="B774" s="10">
        <v>9</v>
      </c>
    </row>
    <row r="775" spans="1:2" x14ac:dyDescent="0.2">
      <c r="A775" s="10">
        <v>773</v>
      </c>
      <c r="B775" s="10">
        <v>7</v>
      </c>
    </row>
    <row r="776" spans="1:2" x14ac:dyDescent="0.2">
      <c r="A776" s="10">
        <v>774</v>
      </c>
      <c r="B776" s="10">
        <v>34</v>
      </c>
    </row>
    <row r="777" spans="1:2" x14ac:dyDescent="0.2">
      <c r="A777" s="10">
        <v>775</v>
      </c>
      <c r="B777" s="10">
        <v>7</v>
      </c>
    </row>
    <row r="778" spans="1:2" x14ac:dyDescent="0.2">
      <c r="A778" s="10">
        <v>776</v>
      </c>
      <c r="B778" s="10">
        <v>17</v>
      </c>
    </row>
    <row r="779" spans="1:2" x14ac:dyDescent="0.2">
      <c r="A779" s="10">
        <v>777</v>
      </c>
      <c r="B779" s="10">
        <v>14</v>
      </c>
    </row>
    <row r="780" spans="1:2" x14ac:dyDescent="0.2">
      <c r="A780" s="10">
        <v>778</v>
      </c>
      <c r="B780" s="10">
        <v>21</v>
      </c>
    </row>
    <row r="781" spans="1:2" x14ac:dyDescent="0.2">
      <c r="A781" s="10">
        <v>779</v>
      </c>
      <c r="B781" s="10">
        <v>23</v>
      </c>
    </row>
    <row r="782" spans="1:2" x14ac:dyDescent="0.2">
      <c r="A782" s="10">
        <v>780</v>
      </c>
      <c r="B782" s="10">
        <v>18</v>
      </c>
    </row>
    <row r="783" spans="1:2" x14ac:dyDescent="0.2">
      <c r="A783" s="10">
        <v>781</v>
      </c>
      <c r="B783" s="10">
        <v>21</v>
      </c>
    </row>
    <row r="784" spans="1:2" x14ac:dyDescent="0.2">
      <c r="A784" s="10">
        <v>782</v>
      </c>
      <c r="B784" s="10">
        <v>9</v>
      </c>
    </row>
    <row r="785" spans="1:2" x14ac:dyDescent="0.2">
      <c r="A785" s="10">
        <v>783</v>
      </c>
      <c r="B785" s="10">
        <v>28</v>
      </c>
    </row>
    <row r="786" spans="1:2" x14ac:dyDescent="0.2">
      <c r="A786" s="10">
        <v>784</v>
      </c>
      <c r="B786" s="10">
        <v>13</v>
      </c>
    </row>
    <row r="787" spans="1:2" x14ac:dyDescent="0.2">
      <c r="A787" s="10">
        <v>785</v>
      </c>
      <c r="B787" s="10">
        <v>20</v>
      </c>
    </row>
    <row r="788" spans="1:2" x14ac:dyDescent="0.2">
      <c r="A788" s="10">
        <v>786</v>
      </c>
      <c r="B788" s="10">
        <v>9</v>
      </c>
    </row>
    <row r="789" spans="1:2" x14ac:dyDescent="0.2">
      <c r="A789" s="10">
        <v>787</v>
      </c>
      <c r="B789" s="10">
        <v>15</v>
      </c>
    </row>
    <row r="790" spans="1:2" x14ac:dyDescent="0.2">
      <c r="A790" s="10">
        <v>788</v>
      </c>
      <c r="B790" s="10">
        <v>16</v>
      </c>
    </row>
    <row r="791" spans="1:2" x14ac:dyDescent="0.2">
      <c r="A791" s="10">
        <v>789</v>
      </c>
      <c r="B791" s="10">
        <v>15</v>
      </c>
    </row>
    <row r="792" spans="1:2" x14ac:dyDescent="0.2">
      <c r="A792" s="10">
        <v>790</v>
      </c>
      <c r="B792" s="10">
        <v>16</v>
      </c>
    </row>
    <row r="793" spans="1:2" x14ac:dyDescent="0.2">
      <c r="A793" s="10">
        <v>791</v>
      </c>
      <c r="B793" s="10">
        <v>25</v>
      </c>
    </row>
    <row r="794" spans="1:2" x14ac:dyDescent="0.2">
      <c r="A794" s="10">
        <v>792</v>
      </c>
      <c r="B794" s="10">
        <v>21</v>
      </c>
    </row>
    <row r="795" spans="1:2" x14ac:dyDescent="0.2">
      <c r="A795" s="10">
        <v>793</v>
      </c>
      <c r="B795" s="10">
        <v>24</v>
      </c>
    </row>
    <row r="796" spans="1:2" x14ac:dyDescent="0.2">
      <c r="A796" s="10">
        <v>794</v>
      </c>
      <c r="B796" s="10">
        <v>9</v>
      </c>
    </row>
    <row r="797" spans="1:2" x14ac:dyDescent="0.2">
      <c r="A797" s="10">
        <v>795</v>
      </c>
      <c r="B797" s="10">
        <v>22</v>
      </c>
    </row>
    <row r="798" spans="1:2" x14ac:dyDescent="0.2">
      <c r="A798" s="10">
        <v>796</v>
      </c>
      <c r="B798" s="10">
        <v>16</v>
      </c>
    </row>
    <row r="799" spans="1:2" x14ac:dyDescent="0.2">
      <c r="A799" s="10">
        <v>797</v>
      </c>
      <c r="B799" s="10">
        <v>24</v>
      </c>
    </row>
    <row r="800" spans="1:2" x14ac:dyDescent="0.2">
      <c r="A800" s="10">
        <v>798</v>
      </c>
      <c r="B800" s="10">
        <v>13</v>
      </c>
    </row>
    <row r="801" spans="1:2" x14ac:dyDescent="0.2">
      <c r="A801" s="10">
        <v>799</v>
      </c>
      <c r="B801" s="10">
        <v>26</v>
      </c>
    </row>
    <row r="802" spans="1:2" x14ac:dyDescent="0.2">
      <c r="A802" s="10">
        <v>800</v>
      </c>
      <c r="B802" s="10">
        <v>18</v>
      </c>
    </row>
    <row r="803" spans="1:2" x14ac:dyDescent="0.2">
      <c r="A803" s="10">
        <v>801</v>
      </c>
      <c r="B803" s="10">
        <v>17</v>
      </c>
    </row>
    <row r="804" spans="1:2" x14ac:dyDescent="0.2">
      <c r="A804" s="10">
        <v>802</v>
      </c>
      <c r="B804" s="10">
        <v>17</v>
      </c>
    </row>
    <row r="805" spans="1:2" x14ac:dyDescent="0.2">
      <c r="A805" s="10">
        <v>803</v>
      </c>
      <c r="B805" s="10">
        <v>21</v>
      </c>
    </row>
    <row r="806" spans="1:2" x14ac:dyDescent="0.2">
      <c r="A806" s="10">
        <v>804</v>
      </c>
      <c r="B806" s="10">
        <v>13</v>
      </c>
    </row>
    <row r="807" spans="1:2" x14ac:dyDescent="0.2">
      <c r="A807" s="10">
        <v>805</v>
      </c>
      <c r="B807" s="10">
        <v>30</v>
      </c>
    </row>
    <row r="808" spans="1:2" x14ac:dyDescent="0.2">
      <c r="A808" s="10">
        <v>806</v>
      </c>
      <c r="B808" s="10">
        <v>10</v>
      </c>
    </row>
    <row r="809" spans="1:2" x14ac:dyDescent="0.2">
      <c r="A809" s="10">
        <v>807</v>
      </c>
      <c r="B809" s="10">
        <v>13</v>
      </c>
    </row>
    <row r="810" spans="1:2" x14ac:dyDescent="0.2">
      <c r="A810" s="10">
        <v>808</v>
      </c>
      <c r="B810" s="10">
        <v>12</v>
      </c>
    </row>
    <row r="811" spans="1:2" x14ac:dyDescent="0.2">
      <c r="A811" s="10">
        <v>809</v>
      </c>
      <c r="B811" s="10">
        <v>20</v>
      </c>
    </row>
    <row r="812" spans="1:2" x14ac:dyDescent="0.2">
      <c r="A812" s="10">
        <v>810</v>
      </c>
      <c r="B812" s="10">
        <v>15</v>
      </c>
    </row>
    <row r="813" spans="1:2" x14ac:dyDescent="0.2">
      <c r="A813" s="10">
        <v>811</v>
      </c>
      <c r="B813" s="10">
        <v>21</v>
      </c>
    </row>
    <row r="814" spans="1:2" x14ac:dyDescent="0.2">
      <c r="A814" s="10">
        <v>812</v>
      </c>
      <c r="B814" s="10">
        <v>8</v>
      </c>
    </row>
    <row r="815" spans="1:2" x14ac:dyDescent="0.2">
      <c r="A815" s="10">
        <v>813</v>
      </c>
      <c r="B815" s="10">
        <v>17</v>
      </c>
    </row>
    <row r="816" spans="1:2" x14ac:dyDescent="0.2">
      <c r="A816" s="10">
        <v>814</v>
      </c>
      <c r="B816" s="10">
        <v>25</v>
      </c>
    </row>
    <row r="817" spans="1:2" x14ac:dyDescent="0.2">
      <c r="A817" s="10">
        <v>815</v>
      </c>
      <c r="B817" s="10">
        <v>13</v>
      </c>
    </row>
    <row r="818" spans="1:2" x14ac:dyDescent="0.2">
      <c r="A818" s="10">
        <v>816</v>
      </c>
      <c r="B818" s="10">
        <v>18</v>
      </c>
    </row>
    <row r="819" spans="1:2" x14ac:dyDescent="0.2">
      <c r="A819" s="10">
        <v>817</v>
      </c>
      <c r="B819" s="10">
        <v>20</v>
      </c>
    </row>
    <row r="820" spans="1:2" x14ac:dyDescent="0.2">
      <c r="A820" s="10">
        <v>818</v>
      </c>
      <c r="B820" s="10">
        <v>17</v>
      </c>
    </row>
    <row r="821" spans="1:2" x14ac:dyDescent="0.2">
      <c r="A821" s="10">
        <v>819</v>
      </c>
      <c r="B821" s="10">
        <v>17</v>
      </c>
    </row>
    <row r="822" spans="1:2" x14ac:dyDescent="0.2">
      <c r="A822" s="10">
        <v>820</v>
      </c>
      <c r="B822" s="10">
        <v>14</v>
      </c>
    </row>
    <row r="823" spans="1:2" x14ac:dyDescent="0.2">
      <c r="A823" s="10">
        <v>821</v>
      </c>
      <c r="B823" s="10">
        <v>15</v>
      </c>
    </row>
    <row r="824" spans="1:2" x14ac:dyDescent="0.2">
      <c r="A824" s="10">
        <v>822</v>
      </c>
      <c r="B824" s="10">
        <v>16</v>
      </c>
    </row>
    <row r="825" spans="1:2" x14ac:dyDescent="0.2">
      <c r="A825" s="10">
        <v>823</v>
      </c>
      <c r="B825" s="10">
        <v>19</v>
      </c>
    </row>
    <row r="826" spans="1:2" x14ac:dyDescent="0.2">
      <c r="A826" s="10">
        <v>824</v>
      </c>
      <c r="B826" s="10">
        <v>12</v>
      </c>
    </row>
    <row r="827" spans="1:2" x14ac:dyDescent="0.2">
      <c r="A827" s="10">
        <v>825</v>
      </c>
      <c r="B827" s="10">
        <v>10</v>
      </c>
    </row>
    <row r="828" spans="1:2" x14ac:dyDescent="0.2">
      <c r="A828" s="10">
        <v>826</v>
      </c>
      <c r="B828" s="10">
        <v>16</v>
      </c>
    </row>
    <row r="829" spans="1:2" x14ac:dyDescent="0.2">
      <c r="A829" s="10">
        <v>827</v>
      </c>
      <c r="B829" s="10">
        <v>24</v>
      </c>
    </row>
    <row r="830" spans="1:2" x14ac:dyDescent="0.2">
      <c r="A830" s="10">
        <v>828</v>
      </c>
      <c r="B830" s="10">
        <v>18</v>
      </c>
    </row>
    <row r="831" spans="1:2" x14ac:dyDescent="0.2">
      <c r="A831" s="10">
        <v>829</v>
      </c>
      <c r="B831" s="10">
        <v>16</v>
      </c>
    </row>
    <row r="832" spans="1:2" x14ac:dyDescent="0.2">
      <c r="A832" s="10">
        <v>830</v>
      </c>
      <c r="B832" s="10">
        <v>12</v>
      </c>
    </row>
    <row r="833" spans="1:2" x14ac:dyDescent="0.2">
      <c r="A833" s="10">
        <v>831</v>
      </c>
      <c r="B833" s="10">
        <v>23</v>
      </c>
    </row>
    <row r="834" spans="1:2" x14ac:dyDescent="0.2">
      <c r="A834" s="10">
        <v>832</v>
      </c>
      <c r="B834" s="10">
        <v>16</v>
      </c>
    </row>
    <row r="835" spans="1:2" x14ac:dyDescent="0.2">
      <c r="A835" s="10">
        <v>833</v>
      </c>
      <c r="B835" s="10">
        <v>17</v>
      </c>
    </row>
    <row r="836" spans="1:2" x14ac:dyDescent="0.2">
      <c r="A836" s="10">
        <v>834</v>
      </c>
      <c r="B836" s="10">
        <v>23</v>
      </c>
    </row>
    <row r="837" spans="1:2" x14ac:dyDescent="0.2">
      <c r="A837" s="10">
        <v>835</v>
      </c>
      <c r="B837" s="10">
        <v>23</v>
      </c>
    </row>
    <row r="838" spans="1:2" x14ac:dyDescent="0.2">
      <c r="A838" s="10">
        <v>836</v>
      </c>
      <c r="B838" s="10">
        <v>30</v>
      </c>
    </row>
    <row r="839" spans="1:2" x14ac:dyDescent="0.2">
      <c r="A839" s="10">
        <v>837</v>
      </c>
      <c r="B839" s="10">
        <v>12</v>
      </c>
    </row>
    <row r="840" spans="1:2" x14ac:dyDescent="0.2">
      <c r="A840" s="10">
        <v>838</v>
      </c>
      <c r="B840" s="10">
        <v>20</v>
      </c>
    </row>
    <row r="841" spans="1:2" x14ac:dyDescent="0.2">
      <c r="A841" s="10">
        <v>839</v>
      </c>
      <c r="B841" s="10">
        <v>17</v>
      </c>
    </row>
    <row r="842" spans="1:2" x14ac:dyDescent="0.2">
      <c r="A842" s="10">
        <v>840</v>
      </c>
      <c r="B842" s="10">
        <v>16</v>
      </c>
    </row>
    <row r="843" spans="1:2" x14ac:dyDescent="0.2">
      <c r="A843" s="10">
        <v>841</v>
      </c>
      <c r="B843" s="10">
        <v>31</v>
      </c>
    </row>
    <row r="844" spans="1:2" x14ac:dyDescent="0.2">
      <c r="A844" s="10">
        <v>842</v>
      </c>
      <c r="B844" s="10">
        <v>20</v>
      </c>
    </row>
    <row r="845" spans="1:2" x14ac:dyDescent="0.2">
      <c r="A845" s="10">
        <v>843</v>
      </c>
      <c r="B845" s="10">
        <v>15</v>
      </c>
    </row>
    <row r="846" spans="1:2" x14ac:dyDescent="0.2">
      <c r="A846" s="10">
        <v>844</v>
      </c>
      <c r="B846" s="10">
        <v>14</v>
      </c>
    </row>
    <row r="847" spans="1:2" x14ac:dyDescent="0.2">
      <c r="A847" s="10">
        <v>845</v>
      </c>
      <c r="B847" s="10">
        <v>23</v>
      </c>
    </row>
    <row r="848" spans="1:2" x14ac:dyDescent="0.2">
      <c r="A848" s="10">
        <v>846</v>
      </c>
      <c r="B848" s="10">
        <v>13</v>
      </c>
    </row>
    <row r="849" spans="1:2" x14ac:dyDescent="0.2">
      <c r="A849" s="10">
        <v>847</v>
      </c>
      <c r="B849" s="10">
        <v>19</v>
      </c>
    </row>
    <row r="850" spans="1:2" x14ac:dyDescent="0.2">
      <c r="A850" s="10">
        <v>848</v>
      </c>
      <c r="B850" s="10">
        <v>12</v>
      </c>
    </row>
    <row r="851" spans="1:2" x14ac:dyDescent="0.2">
      <c r="A851" s="10">
        <v>849</v>
      </c>
      <c r="B851" s="10">
        <v>26</v>
      </c>
    </row>
    <row r="852" spans="1:2" x14ac:dyDescent="0.2">
      <c r="A852" s="10">
        <v>850</v>
      </c>
      <c r="B852" s="10">
        <v>21</v>
      </c>
    </row>
    <row r="853" spans="1:2" x14ac:dyDescent="0.2">
      <c r="A853" s="10">
        <v>851</v>
      </c>
      <c r="B853" s="10">
        <v>26</v>
      </c>
    </row>
    <row r="854" spans="1:2" x14ac:dyDescent="0.2">
      <c r="A854" s="10">
        <v>852</v>
      </c>
      <c r="B854" s="10">
        <v>16</v>
      </c>
    </row>
    <row r="855" spans="1:2" x14ac:dyDescent="0.2">
      <c r="A855" s="10">
        <v>853</v>
      </c>
      <c r="B855" s="10">
        <v>20</v>
      </c>
    </row>
    <row r="856" spans="1:2" x14ac:dyDescent="0.2">
      <c r="A856" s="10">
        <v>854</v>
      </c>
      <c r="B856" s="10">
        <v>18</v>
      </c>
    </row>
    <row r="857" spans="1:2" x14ac:dyDescent="0.2">
      <c r="A857" s="10">
        <v>855</v>
      </c>
      <c r="B857" s="10">
        <v>6</v>
      </c>
    </row>
    <row r="858" spans="1:2" x14ac:dyDescent="0.2">
      <c r="A858" s="10">
        <v>856</v>
      </c>
      <c r="B858" s="10">
        <v>25</v>
      </c>
    </row>
    <row r="859" spans="1:2" x14ac:dyDescent="0.2">
      <c r="A859" s="10">
        <v>857</v>
      </c>
      <c r="B859" s="10">
        <v>15</v>
      </c>
    </row>
    <row r="860" spans="1:2" x14ac:dyDescent="0.2">
      <c r="A860" s="10">
        <v>858</v>
      </c>
      <c r="B860" s="10">
        <v>14</v>
      </c>
    </row>
    <row r="861" spans="1:2" x14ac:dyDescent="0.2">
      <c r="A861" s="10">
        <v>859</v>
      </c>
      <c r="B861" s="10">
        <v>22</v>
      </c>
    </row>
    <row r="862" spans="1:2" x14ac:dyDescent="0.2">
      <c r="A862" s="10">
        <v>860</v>
      </c>
      <c r="B862" s="10">
        <v>15</v>
      </c>
    </row>
    <row r="863" spans="1:2" x14ac:dyDescent="0.2">
      <c r="A863" s="10">
        <v>861</v>
      </c>
      <c r="B863" s="10">
        <v>18</v>
      </c>
    </row>
    <row r="864" spans="1:2" x14ac:dyDescent="0.2">
      <c r="A864" s="10">
        <v>862</v>
      </c>
      <c r="B864" s="10">
        <v>13</v>
      </c>
    </row>
    <row r="865" spans="1:2" x14ac:dyDescent="0.2">
      <c r="A865" s="10">
        <v>863</v>
      </c>
      <c r="B865" s="10">
        <v>6</v>
      </c>
    </row>
    <row r="866" spans="1:2" x14ac:dyDescent="0.2">
      <c r="A866" s="10">
        <v>864</v>
      </c>
      <c r="B866" s="10">
        <v>10</v>
      </c>
    </row>
    <row r="867" spans="1:2" x14ac:dyDescent="0.2">
      <c r="A867" s="10">
        <v>865</v>
      </c>
      <c r="B867" s="10">
        <v>26</v>
      </c>
    </row>
    <row r="868" spans="1:2" x14ac:dyDescent="0.2">
      <c r="A868" s="10">
        <v>866</v>
      </c>
      <c r="B868" s="10">
        <v>17</v>
      </c>
    </row>
    <row r="869" spans="1:2" x14ac:dyDescent="0.2">
      <c r="A869" s="10">
        <v>867</v>
      </c>
      <c r="B869" s="10">
        <v>14</v>
      </c>
    </row>
    <row r="870" spans="1:2" x14ac:dyDescent="0.2">
      <c r="A870" s="10">
        <v>868</v>
      </c>
      <c r="B870" s="10">
        <v>19</v>
      </c>
    </row>
    <row r="871" spans="1:2" x14ac:dyDescent="0.2">
      <c r="A871" s="10">
        <v>869</v>
      </c>
      <c r="B871" s="10">
        <v>20</v>
      </c>
    </row>
    <row r="872" spans="1:2" x14ac:dyDescent="0.2">
      <c r="A872" s="10">
        <v>870</v>
      </c>
      <c r="B872" s="10">
        <v>17</v>
      </c>
    </row>
    <row r="873" spans="1:2" x14ac:dyDescent="0.2">
      <c r="A873" s="10">
        <v>871</v>
      </c>
      <c r="B873" s="10">
        <v>11</v>
      </c>
    </row>
    <row r="874" spans="1:2" x14ac:dyDescent="0.2">
      <c r="A874" s="10">
        <v>872</v>
      </c>
      <c r="B874" s="10">
        <v>30</v>
      </c>
    </row>
    <row r="875" spans="1:2" x14ac:dyDescent="0.2">
      <c r="A875" s="10">
        <v>873</v>
      </c>
      <c r="B875" s="10">
        <v>12</v>
      </c>
    </row>
    <row r="876" spans="1:2" x14ac:dyDescent="0.2">
      <c r="A876" s="10">
        <v>874</v>
      </c>
      <c r="B876" s="10">
        <v>17</v>
      </c>
    </row>
    <row r="877" spans="1:2" x14ac:dyDescent="0.2">
      <c r="A877" s="10">
        <v>875</v>
      </c>
      <c r="B877" s="10">
        <v>14</v>
      </c>
    </row>
    <row r="878" spans="1:2" x14ac:dyDescent="0.2">
      <c r="A878" s="10">
        <v>876</v>
      </c>
      <c r="B878" s="10">
        <v>12</v>
      </c>
    </row>
    <row r="879" spans="1:2" x14ac:dyDescent="0.2">
      <c r="A879" s="10">
        <v>877</v>
      </c>
      <c r="B879" s="10">
        <v>18</v>
      </c>
    </row>
    <row r="880" spans="1:2" x14ac:dyDescent="0.2">
      <c r="A880" s="10">
        <v>878</v>
      </c>
      <c r="B880" s="10">
        <v>36</v>
      </c>
    </row>
    <row r="881" spans="1:2" x14ac:dyDescent="0.2">
      <c r="A881" s="10">
        <v>879</v>
      </c>
      <c r="B881" s="10">
        <v>16</v>
      </c>
    </row>
    <row r="882" spans="1:2" x14ac:dyDescent="0.2">
      <c r="A882" s="10">
        <v>880</v>
      </c>
      <c r="B882" s="10">
        <v>24</v>
      </c>
    </row>
    <row r="883" spans="1:2" x14ac:dyDescent="0.2">
      <c r="A883" s="10">
        <v>881</v>
      </c>
      <c r="B883" s="10">
        <v>17</v>
      </c>
    </row>
    <row r="884" spans="1:2" x14ac:dyDescent="0.2">
      <c r="A884" s="10">
        <v>882</v>
      </c>
      <c r="B884" s="10">
        <v>12</v>
      </c>
    </row>
    <row r="885" spans="1:2" x14ac:dyDescent="0.2">
      <c r="A885" s="10">
        <v>883</v>
      </c>
      <c r="B885" s="10">
        <v>27</v>
      </c>
    </row>
    <row r="886" spans="1:2" x14ac:dyDescent="0.2">
      <c r="A886" s="10">
        <v>884</v>
      </c>
      <c r="B886" s="10">
        <v>23</v>
      </c>
    </row>
    <row r="887" spans="1:2" x14ac:dyDescent="0.2">
      <c r="A887" s="10">
        <v>885</v>
      </c>
      <c r="B887" s="10">
        <v>12</v>
      </c>
    </row>
    <row r="888" spans="1:2" x14ac:dyDescent="0.2">
      <c r="A888" s="10">
        <v>886</v>
      </c>
      <c r="B888" s="10">
        <v>20</v>
      </c>
    </row>
    <row r="889" spans="1:2" x14ac:dyDescent="0.2">
      <c r="A889" s="10">
        <v>887</v>
      </c>
      <c r="B889" s="10">
        <v>15</v>
      </c>
    </row>
    <row r="890" spans="1:2" x14ac:dyDescent="0.2">
      <c r="A890" s="10">
        <v>888</v>
      </c>
      <c r="B890" s="10">
        <v>12</v>
      </c>
    </row>
    <row r="891" spans="1:2" x14ac:dyDescent="0.2">
      <c r="A891" s="10">
        <v>889</v>
      </c>
      <c r="B891" s="10">
        <v>19</v>
      </c>
    </row>
    <row r="892" spans="1:2" x14ac:dyDescent="0.2">
      <c r="A892" s="10">
        <v>890</v>
      </c>
      <c r="B892" s="10">
        <v>26</v>
      </c>
    </row>
    <row r="893" spans="1:2" x14ac:dyDescent="0.2">
      <c r="A893" s="10">
        <v>891</v>
      </c>
      <c r="B893" s="10">
        <v>28</v>
      </c>
    </row>
    <row r="894" spans="1:2" x14ac:dyDescent="0.2">
      <c r="A894" s="10">
        <v>892</v>
      </c>
      <c r="B894" s="10">
        <v>18</v>
      </c>
    </row>
    <row r="895" spans="1:2" x14ac:dyDescent="0.2">
      <c r="A895" s="10">
        <v>893</v>
      </c>
      <c r="B895" s="10">
        <v>23</v>
      </c>
    </row>
    <row r="896" spans="1:2" x14ac:dyDescent="0.2">
      <c r="A896" s="10">
        <v>894</v>
      </c>
      <c r="B896" s="10">
        <v>8</v>
      </c>
    </row>
    <row r="897" spans="1:2" x14ac:dyDescent="0.2">
      <c r="A897" s="10">
        <v>895</v>
      </c>
      <c r="B897" s="10">
        <v>10</v>
      </c>
    </row>
    <row r="898" spans="1:2" x14ac:dyDescent="0.2">
      <c r="A898" s="10">
        <v>896</v>
      </c>
      <c r="B898" s="10">
        <v>24</v>
      </c>
    </row>
    <row r="899" spans="1:2" x14ac:dyDescent="0.2">
      <c r="A899" s="10">
        <v>897</v>
      </c>
      <c r="B899" s="10">
        <v>24</v>
      </c>
    </row>
    <row r="900" spans="1:2" x14ac:dyDescent="0.2">
      <c r="A900" s="10">
        <v>898</v>
      </c>
      <c r="B900" s="10">
        <v>23</v>
      </c>
    </row>
    <row r="901" spans="1:2" x14ac:dyDescent="0.2">
      <c r="A901" s="10">
        <v>899</v>
      </c>
      <c r="B901" s="10">
        <v>14</v>
      </c>
    </row>
    <row r="902" spans="1:2" x14ac:dyDescent="0.2">
      <c r="A902" s="10">
        <v>900</v>
      </c>
      <c r="B902" s="10">
        <v>8</v>
      </c>
    </row>
    <row r="903" spans="1:2" x14ac:dyDescent="0.2">
      <c r="A903" s="10">
        <v>901</v>
      </c>
      <c r="B903" s="10">
        <v>20</v>
      </c>
    </row>
    <row r="904" spans="1:2" x14ac:dyDescent="0.2">
      <c r="A904" s="10">
        <v>902</v>
      </c>
      <c r="B904" s="10">
        <v>23</v>
      </c>
    </row>
    <row r="905" spans="1:2" x14ac:dyDescent="0.2">
      <c r="A905" s="10">
        <v>903</v>
      </c>
      <c r="B905" s="10">
        <v>21</v>
      </c>
    </row>
    <row r="906" spans="1:2" x14ac:dyDescent="0.2">
      <c r="A906" s="10">
        <v>904</v>
      </c>
      <c r="B906" s="10">
        <v>27</v>
      </c>
    </row>
    <row r="907" spans="1:2" x14ac:dyDescent="0.2">
      <c r="A907" s="10">
        <v>905</v>
      </c>
      <c r="B907" s="10">
        <v>29</v>
      </c>
    </row>
    <row r="908" spans="1:2" x14ac:dyDescent="0.2">
      <c r="A908" s="10">
        <v>906</v>
      </c>
      <c r="B908" s="10">
        <v>13</v>
      </c>
    </row>
    <row r="909" spans="1:2" x14ac:dyDescent="0.2">
      <c r="A909" s="10">
        <v>907</v>
      </c>
      <c r="B909" s="10">
        <v>16</v>
      </c>
    </row>
    <row r="910" spans="1:2" x14ac:dyDescent="0.2">
      <c r="A910" s="10">
        <v>908</v>
      </c>
      <c r="B910" s="10">
        <v>13</v>
      </c>
    </row>
    <row r="911" spans="1:2" x14ac:dyDescent="0.2">
      <c r="A911" s="10">
        <v>909</v>
      </c>
      <c r="B911" s="10">
        <v>18</v>
      </c>
    </row>
    <row r="912" spans="1:2" x14ac:dyDescent="0.2">
      <c r="A912" s="10">
        <v>910</v>
      </c>
      <c r="B912" s="10">
        <v>16</v>
      </c>
    </row>
    <row r="913" spans="1:2" x14ac:dyDescent="0.2">
      <c r="A913" s="10">
        <v>911</v>
      </c>
      <c r="B913" s="10">
        <v>29</v>
      </c>
    </row>
    <row r="914" spans="1:2" x14ac:dyDescent="0.2">
      <c r="A914" s="10">
        <v>912</v>
      </c>
      <c r="B914" s="10">
        <v>21</v>
      </c>
    </row>
    <row r="915" spans="1:2" x14ac:dyDescent="0.2">
      <c r="A915" s="10">
        <v>913</v>
      </c>
      <c r="B915" s="10">
        <v>22</v>
      </c>
    </row>
    <row r="916" spans="1:2" x14ac:dyDescent="0.2">
      <c r="A916" s="10">
        <v>914</v>
      </c>
      <c r="B916" s="10">
        <v>19</v>
      </c>
    </row>
    <row r="917" spans="1:2" x14ac:dyDescent="0.2">
      <c r="A917" s="10">
        <v>915</v>
      </c>
      <c r="B917" s="10">
        <v>15</v>
      </c>
    </row>
    <row r="918" spans="1:2" x14ac:dyDescent="0.2">
      <c r="A918" s="10">
        <v>916</v>
      </c>
      <c r="B918" s="10">
        <v>25</v>
      </c>
    </row>
    <row r="919" spans="1:2" x14ac:dyDescent="0.2">
      <c r="A919" s="10">
        <v>917</v>
      </c>
      <c r="B919" s="10">
        <v>23</v>
      </c>
    </row>
    <row r="920" spans="1:2" x14ac:dyDescent="0.2">
      <c r="A920" s="10">
        <v>918</v>
      </c>
      <c r="B920" s="10">
        <v>25</v>
      </c>
    </row>
    <row r="921" spans="1:2" x14ac:dyDescent="0.2">
      <c r="A921" s="10">
        <v>919</v>
      </c>
      <c r="B921" s="10">
        <v>16</v>
      </c>
    </row>
    <row r="922" spans="1:2" x14ac:dyDescent="0.2">
      <c r="A922" s="10">
        <v>920</v>
      </c>
      <c r="B922" s="10">
        <v>20</v>
      </c>
    </row>
    <row r="923" spans="1:2" x14ac:dyDescent="0.2">
      <c r="A923" s="10">
        <v>921</v>
      </c>
      <c r="B923" s="10">
        <v>32</v>
      </c>
    </row>
    <row r="924" spans="1:2" x14ac:dyDescent="0.2">
      <c r="A924" s="10">
        <v>922</v>
      </c>
      <c r="B924" s="10">
        <v>17</v>
      </c>
    </row>
    <row r="925" spans="1:2" x14ac:dyDescent="0.2">
      <c r="A925" s="10">
        <v>923</v>
      </c>
      <c r="B925" s="10">
        <v>3</v>
      </c>
    </row>
    <row r="926" spans="1:2" x14ac:dyDescent="0.2">
      <c r="A926" s="10">
        <v>924</v>
      </c>
      <c r="B926" s="10">
        <v>27</v>
      </c>
    </row>
    <row r="927" spans="1:2" x14ac:dyDescent="0.2">
      <c r="A927" s="10">
        <v>925</v>
      </c>
      <c r="B927" s="10">
        <v>17</v>
      </c>
    </row>
    <row r="928" spans="1:2" x14ac:dyDescent="0.2">
      <c r="A928" s="10">
        <v>926</v>
      </c>
      <c r="B928" s="10">
        <v>22</v>
      </c>
    </row>
    <row r="929" spans="1:2" x14ac:dyDescent="0.2">
      <c r="A929" s="10">
        <v>927</v>
      </c>
      <c r="B929" s="10">
        <v>14</v>
      </c>
    </row>
    <row r="930" spans="1:2" x14ac:dyDescent="0.2">
      <c r="A930" s="10">
        <v>928</v>
      </c>
      <c r="B930" s="10">
        <v>15</v>
      </c>
    </row>
    <row r="931" spans="1:2" x14ac:dyDescent="0.2">
      <c r="A931" s="10">
        <v>929</v>
      </c>
      <c r="B931" s="10">
        <v>7</v>
      </c>
    </row>
    <row r="932" spans="1:2" x14ac:dyDescent="0.2">
      <c r="A932" s="10">
        <v>930</v>
      </c>
      <c r="B932" s="10">
        <v>18</v>
      </c>
    </row>
    <row r="933" spans="1:2" x14ac:dyDescent="0.2">
      <c r="A933" s="10">
        <v>931</v>
      </c>
      <c r="B933" s="10">
        <v>29</v>
      </c>
    </row>
    <row r="934" spans="1:2" x14ac:dyDescent="0.2">
      <c r="A934" s="10">
        <v>932</v>
      </c>
      <c r="B934" s="10">
        <v>17</v>
      </c>
    </row>
    <row r="935" spans="1:2" x14ac:dyDescent="0.2">
      <c r="A935" s="10">
        <v>933</v>
      </c>
      <c r="B935" s="10">
        <v>14</v>
      </c>
    </row>
    <row r="936" spans="1:2" x14ac:dyDescent="0.2">
      <c r="A936" s="10">
        <v>934</v>
      </c>
      <c r="B936" s="10">
        <v>31</v>
      </c>
    </row>
    <row r="937" spans="1:2" x14ac:dyDescent="0.2">
      <c r="A937" s="10">
        <v>935</v>
      </c>
      <c r="B937" s="10">
        <v>13</v>
      </c>
    </row>
    <row r="938" spans="1:2" x14ac:dyDescent="0.2">
      <c r="A938" s="10">
        <v>936</v>
      </c>
      <c r="B938" s="10">
        <v>25</v>
      </c>
    </row>
    <row r="939" spans="1:2" x14ac:dyDescent="0.2">
      <c r="A939" s="10">
        <v>937</v>
      </c>
      <c r="B939" s="10">
        <v>17</v>
      </c>
    </row>
    <row r="940" spans="1:2" x14ac:dyDescent="0.2">
      <c r="A940" s="10">
        <v>938</v>
      </c>
      <c r="B940" s="10">
        <v>10</v>
      </c>
    </row>
    <row r="941" spans="1:2" x14ac:dyDescent="0.2">
      <c r="A941" s="10">
        <v>939</v>
      </c>
      <c r="B941" s="10">
        <v>11</v>
      </c>
    </row>
    <row r="942" spans="1:2" x14ac:dyDescent="0.2">
      <c r="A942" s="10">
        <v>940</v>
      </c>
      <c r="B942" s="10">
        <v>27</v>
      </c>
    </row>
    <row r="943" spans="1:2" x14ac:dyDescent="0.2">
      <c r="A943" s="10">
        <v>941</v>
      </c>
      <c r="B943" s="10">
        <v>29</v>
      </c>
    </row>
    <row r="944" spans="1:2" x14ac:dyDescent="0.2">
      <c r="A944" s="10">
        <v>942</v>
      </c>
      <c r="B944" s="10">
        <v>20</v>
      </c>
    </row>
    <row r="945" spans="1:2" x14ac:dyDescent="0.2">
      <c r="A945" s="10">
        <v>943</v>
      </c>
      <c r="B945" s="10">
        <v>20</v>
      </c>
    </row>
    <row r="946" spans="1:2" x14ac:dyDescent="0.2">
      <c r="A946" s="10">
        <v>944</v>
      </c>
      <c r="B946" s="10">
        <v>29</v>
      </c>
    </row>
    <row r="947" spans="1:2" x14ac:dyDescent="0.2">
      <c r="A947" s="10">
        <v>945</v>
      </c>
      <c r="B947" s="10">
        <v>17</v>
      </c>
    </row>
    <row r="948" spans="1:2" x14ac:dyDescent="0.2">
      <c r="A948" s="10">
        <v>946</v>
      </c>
      <c r="B948" s="10">
        <v>18</v>
      </c>
    </row>
    <row r="949" spans="1:2" x14ac:dyDescent="0.2">
      <c r="A949" s="10">
        <v>947</v>
      </c>
      <c r="B949" s="10">
        <v>8</v>
      </c>
    </row>
    <row r="950" spans="1:2" x14ac:dyDescent="0.2">
      <c r="A950" s="10">
        <v>948</v>
      </c>
      <c r="B950" s="10">
        <v>24</v>
      </c>
    </row>
    <row r="951" spans="1:2" x14ac:dyDescent="0.2">
      <c r="A951" s="10">
        <v>949</v>
      </c>
      <c r="B951" s="10">
        <v>10</v>
      </c>
    </row>
    <row r="952" spans="1:2" x14ac:dyDescent="0.2">
      <c r="A952" s="10">
        <v>950</v>
      </c>
      <c r="B952" s="10">
        <v>20</v>
      </c>
    </row>
    <row r="953" spans="1:2" x14ac:dyDescent="0.2">
      <c r="A953" s="10">
        <v>951</v>
      </c>
      <c r="B953" s="10">
        <v>17</v>
      </c>
    </row>
    <row r="954" spans="1:2" x14ac:dyDescent="0.2">
      <c r="A954" s="10">
        <v>952</v>
      </c>
      <c r="B954" s="10">
        <v>13</v>
      </c>
    </row>
    <row r="955" spans="1:2" x14ac:dyDescent="0.2">
      <c r="A955" s="10">
        <v>953</v>
      </c>
      <c r="B955" s="10">
        <v>24</v>
      </c>
    </row>
    <row r="956" spans="1:2" x14ac:dyDescent="0.2">
      <c r="A956" s="10">
        <v>954</v>
      </c>
      <c r="B956" s="10">
        <v>16</v>
      </c>
    </row>
    <row r="957" spans="1:2" x14ac:dyDescent="0.2">
      <c r="A957" s="10">
        <v>955</v>
      </c>
      <c r="B957" s="10">
        <v>18</v>
      </c>
    </row>
    <row r="958" spans="1:2" x14ac:dyDescent="0.2">
      <c r="A958" s="10">
        <v>956</v>
      </c>
      <c r="B958" s="10">
        <v>16</v>
      </c>
    </row>
    <row r="959" spans="1:2" x14ac:dyDescent="0.2">
      <c r="A959" s="10">
        <v>957</v>
      </c>
      <c r="B959" s="10">
        <v>26</v>
      </c>
    </row>
    <row r="960" spans="1:2" x14ac:dyDescent="0.2">
      <c r="A960" s="10">
        <v>958</v>
      </c>
      <c r="B960" s="10">
        <v>13</v>
      </c>
    </row>
    <row r="961" spans="1:2" x14ac:dyDescent="0.2">
      <c r="A961" s="10">
        <v>959</v>
      </c>
      <c r="B961" s="10">
        <v>5</v>
      </c>
    </row>
    <row r="962" spans="1:2" x14ac:dyDescent="0.2">
      <c r="A962" s="10">
        <v>960</v>
      </c>
      <c r="B962" s="10">
        <v>13</v>
      </c>
    </row>
    <row r="963" spans="1:2" x14ac:dyDescent="0.2">
      <c r="A963" s="10">
        <v>961</v>
      </c>
      <c r="B963" s="10">
        <v>16</v>
      </c>
    </row>
    <row r="964" spans="1:2" x14ac:dyDescent="0.2">
      <c r="A964" s="10">
        <v>962</v>
      </c>
      <c r="B964" s="10">
        <v>16</v>
      </c>
    </row>
    <row r="965" spans="1:2" x14ac:dyDescent="0.2">
      <c r="A965" s="10">
        <v>963</v>
      </c>
      <c r="B965" s="10">
        <v>23</v>
      </c>
    </row>
    <row r="966" spans="1:2" x14ac:dyDescent="0.2">
      <c r="A966" s="10">
        <v>964</v>
      </c>
      <c r="B966" s="10">
        <v>16</v>
      </c>
    </row>
    <row r="967" spans="1:2" x14ac:dyDescent="0.2">
      <c r="A967" s="10">
        <v>965</v>
      </c>
      <c r="B967" s="10">
        <v>16</v>
      </c>
    </row>
    <row r="968" spans="1:2" x14ac:dyDescent="0.2">
      <c r="A968" s="10">
        <v>966</v>
      </c>
      <c r="B968" s="10">
        <v>15</v>
      </c>
    </row>
    <row r="969" spans="1:2" x14ac:dyDescent="0.2">
      <c r="A969" s="10">
        <v>967</v>
      </c>
      <c r="B969" s="10">
        <v>21</v>
      </c>
    </row>
    <row r="970" spans="1:2" x14ac:dyDescent="0.2">
      <c r="A970" s="10">
        <v>968</v>
      </c>
      <c r="B970" s="10">
        <v>15</v>
      </c>
    </row>
    <row r="971" spans="1:2" x14ac:dyDescent="0.2">
      <c r="A971" s="10">
        <v>969</v>
      </c>
      <c r="B971" s="10">
        <v>22</v>
      </c>
    </row>
    <row r="972" spans="1:2" x14ac:dyDescent="0.2">
      <c r="A972" s="10">
        <v>970</v>
      </c>
      <c r="B972" s="10">
        <v>19</v>
      </c>
    </row>
    <row r="973" spans="1:2" x14ac:dyDescent="0.2">
      <c r="A973" s="10">
        <v>971</v>
      </c>
      <c r="B973" s="10">
        <v>18</v>
      </c>
    </row>
    <row r="974" spans="1:2" x14ac:dyDescent="0.2">
      <c r="A974" s="10">
        <v>972</v>
      </c>
      <c r="B974" s="10">
        <v>16</v>
      </c>
    </row>
    <row r="975" spans="1:2" x14ac:dyDescent="0.2">
      <c r="A975" s="10">
        <v>973</v>
      </c>
      <c r="B975" s="10">
        <v>21</v>
      </c>
    </row>
    <row r="976" spans="1:2" x14ac:dyDescent="0.2">
      <c r="A976" s="10">
        <v>974</v>
      </c>
      <c r="B976" s="10">
        <v>24</v>
      </c>
    </row>
    <row r="977" spans="1:2" x14ac:dyDescent="0.2">
      <c r="A977" s="10">
        <v>975</v>
      </c>
      <c r="B977" s="10">
        <v>24</v>
      </c>
    </row>
    <row r="978" spans="1:2" x14ac:dyDescent="0.2">
      <c r="A978" s="10">
        <v>976</v>
      </c>
      <c r="B978" s="10">
        <v>14</v>
      </c>
    </row>
    <row r="979" spans="1:2" x14ac:dyDescent="0.2">
      <c r="A979" s="10">
        <v>977</v>
      </c>
      <c r="B979" s="10">
        <v>22</v>
      </c>
    </row>
    <row r="980" spans="1:2" x14ac:dyDescent="0.2">
      <c r="A980" s="10">
        <v>978</v>
      </c>
      <c r="B980" s="10">
        <v>21</v>
      </c>
    </row>
    <row r="981" spans="1:2" x14ac:dyDescent="0.2">
      <c r="A981" s="10">
        <v>979</v>
      </c>
      <c r="B981" s="10">
        <v>5</v>
      </c>
    </row>
    <row r="982" spans="1:2" x14ac:dyDescent="0.2">
      <c r="A982" s="10">
        <v>980</v>
      </c>
      <c r="B982" s="10">
        <v>17</v>
      </c>
    </row>
    <row r="983" spans="1:2" x14ac:dyDescent="0.2">
      <c r="A983" s="10">
        <v>981</v>
      </c>
      <c r="B983" s="10">
        <v>22</v>
      </c>
    </row>
    <row r="984" spans="1:2" x14ac:dyDescent="0.2">
      <c r="A984" s="10">
        <v>982</v>
      </c>
      <c r="B984" s="10">
        <v>15</v>
      </c>
    </row>
    <row r="985" spans="1:2" x14ac:dyDescent="0.2">
      <c r="A985" s="10">
        <v>983</v>
      </c>
      <c r="B985" s="10">
        <v>14</v>
      </c>
    </row>
    <row r="986" spans="1:2" x14ac:dyDescent="0.2">
      <c r="A986" s="10">
        <v>984</v>
      </c>
      <c r="B986" s="10">
        <v>32</v>
      </c>
    </row>
    <row r="987" spans="1:2" x14ac:dyDescent="0.2">
      <c r="A987" s="10">
        <v>985</v>
      </c>
      <c r="B987" s="10">
        <v>8</v>
      </c>
    </row>
    <row r="988" spans="1:2" x14ac:dyDescent="0.2">
      <c r="A988" s="10">
        <v>986</v>
      </c>
      <c r="B988" s="10">
        <v>22</v>
      </c>
    </row>
    <row r="989" spans="1:2" x14ac:dyDescent="0.2">
      <c r="A989" s="10">
        <v>987</v>
      </c>
      <c r="B989" s="10">
        <v>19</v>
      </c>
    </row>
    <row r="990" spans="1:2" x14ac:dyDescent="0.2">
      <c r="A990" s="10">
        <v>988</v>
      </c>
      <c r="B990" s="10">
        <v>11</v>
      </c>
    </row>
    <row r="991" spans="1:2" x14ac:dyDescent="0.2">
      <c r="A991" s="10">
        <v>989</v>
      </c>
      <c r="B991" s="10">
        <v>25</v>
      </c>
    </row>
    <row r="992" spans="1:2" x14ac:dyDescent="0.2">
      <c r="A992" s="10">
        <v>990</v>
      </c>
      <c r="B992" s="10">
        <v>13</v>
      </c>
    </row>
    <row r="993" spans="1:2" x14ac:dyDescent="0.2">
      <c r="A993" s="10">
        <v>991</v>
      </c>
      <c r="B993" s="10">
        <v>32</v>
      </c>
    </row>
    <row r="994" spans="1:2" x14ac:dyDescent="0.2">
      <c r="A994" s="10">
        <v>992</v>
      </c>
      <c r="B994" s="10">
        <v>29</v>
      </c>
    </row>
    <row r="995" spans="1:2" x14ac:dyDescent="0.2">
      <c r="A995" s="10">
        <v>993</v>
      </c>
      <c r="B995" s="10">
        <v>15</v>
      </c>
    </row>
    <row r="996" spans="1:2" x14ac:dyDescent="0.2">
      <c r="A996" s="10">
        <v>994</v>
      </c>
      <c r="B996" s="10">
        <v>10</v>
      </c>
    </row>
    <row r="997" spans="1:2" x14ac:dyDescent="0.2">
      <c r="A997" s="10">
        <v>995</v>
      </c>
      <c r="B997" s="10">
        <v>18</v>
      </c>
    </row>
    <row r="998" spans="1:2" x14ac:dyDescent="0.2">
      <c r="A998" s="10">
        <v>996</v>
      </c>
      <c r="B998" s="10">
        <v>11</v>
      </c>
    </row>
    <row r="999" spans="1:2" x14ac:dyDescent="0.2">
      <c r="A999" s="10">
        <v>997</v>
      </c>
      <c r="B999" s="10">
        <v>15</v>
      </c>
    </row>
    <row r="1000" spans="1:2" x14ac:dyDescent="0.2">
      <c r="A1000" s="10">
        <v>998</v>
      </c>
      <c r="B1000" s="10">
        <v>31</v>
      </c>
    </row>
    <row r="1001" spans="1:2" x14ac:dyDescent="0.2">
      <c r="A1001" s="10">
        <v>999</v>
      </c>
      <c r="B1001" s="10">
        <v>13</v>
      </c>
    </row>
    <row r="1002" spans="1:2" x14ac:dyDescent="0.2">
      <c r="A1002" s="10">
        <v>1000</v>
      </c>
      <c r="B1002" s="10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0004A-8548-614F-B67B-405DC8918AB5}">
  <sheetPr codeName="Sheet3"/>
  <dimension ref="A1:AH534"/>
  <sheetViews>
    <sheetView workbookViewId="0">
      <selection activeCell="AG3" sqref="AG3"/>
    </sheetView>
  </sheetViews>
  <sheetFormatPr baseColWidth="10" defaultRowHeight="16" x14ac:dyDescent="0.2"/>
  <cols>
    <col min="1" max="1" width="4.6640625" style="8" bestFit="1" customWidth="1"/>
    <col min="2" max="2" width="22.5" style="8" bestFit="1" customWidth="1"/>
    <col min="3" max="3" width="4.83203125" style="8" bestFit="1" customWidth="1"/>
    <col min="4" max="4" width="6.5" style="8" bestFit="1" customWidth="1"/>
    <col min="5" max="5" width="4.6640625" style="8" bestFit="1" customWidth="1"/>
    <col min="6" max="6" width="3.5" style="8" bestFit="1" customWidth="1"/>
    <col min="7" max="7" width="4" style="8" bestFit="1" customWidth="1"/>
    <col min="8" max="10" width="5.83203125" style="8" bestFit="1" customWidth="1"/>
    <col min="11" max="11" width="7" style="8" bestFit="1" customWidth="1"/>
    <col min="12" max="12" width="4.6640625" style="8" bestFit="1" customWidth="1"/>
    <col min="13" max="13" width="5.83203125" style="8" bestFit="1" customWidth="1"/>
    <col min="14" max="14" width="7" style="8" bestFit="1" customWidth="1"/>
    <col min="15" max="16" width="5.83203125" style="8" bestFit="1" customWidth="1"/>
    <col min="17" max="18" width="7" style="8" bestFit="1" customWidth="1"/>
    <col min="19" max="19" width="4.6640625" style="8" bestFit="1" customWidth="1"/>
    <col min="20" max="20" width="5.83203125" style="8" bestFit="1" customWidth="1"/>
    <col min="21" max="21" width="7" style="8" bestFit="1" customWidth="1"/>
    <col min="22" max="23" width="5.5" style="8" bestFit="1" customWidth="1"/>
    <col min="24" max="25" width="5.83203125" style="8" bestFit="1" customWidth="1"/>
    <col min="26" max="26" width="4.83203125" style="8" bestFit="1" customWidth="1"/>
    <col min="27" max="28" width="5.1640625" style="8" bestFit="1" customWidth="1"/>
    <col min="29" max="29" width="4.6640625" style="8" bestFit="1" customWidth="1"/>
    <col min="30" max="30" width="5.83203125" style="8" bestFit="1" customWidth="1"/>
    <col min="31" max="31" width="8.33203125" style="8" bestFit="1" customWidth="1"/>
    <col min="32" max="32" width="10.83203125" style="8"/>
    <col min="33" max="33" width="28.6640625" style="8" customWidth="1"/>
    <col min="34" max="34" width="17.5" style="8" customWidth="1"/>
    <col min="35" max="16384" width="10.83203125" style="8"/>
  </cols>
  <sheetData>
    <row r="1" spans="1:34" ht="18" x14ac:dyDescent="0.2">
      <c r="A1" s="47" t="s">
        <v>519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</row>
    <row r="2" spans="1:34" ht="17" x14ac:dyDescent="0.2">
      <c r="A2" s="1" t="s">
        <v>0</v>
      </c>
      <c r="B2" s="1" t="s">
        <v>1</v>
      </c>
      <c r="C2" s="1" t="s">
        <v>3</v>
      </c>
      <c r="D2" s="1" t="s">
        <v>440</v>
      </c>
      <c r="E2" s="1" t="s">
        <v>2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1" t="s">
        <v>21</v>
      </c>
      <c r="X2" s="1" t="s">
        <v>22</v>
      </c>
      <c r="Y2" s="1" t="s">
        <v>23</v>
      </c>
      <c r="Z2" s="1" t="s">
        <v>24</v>
      </c>
      <c r="AA2" s="1" t="s">
        <v>25</v>
      </c>
      <c r="AB2" s="1" t="s">
        <v>26</v>
      </c>
      <c r="AC2" s="1" t="s">
        <v>27</v>
      </c>
      <c r="AD2" s="1" t="s">
        <v>28</v>
      </c>
      <c r="AE2" s="1" t="s">
        <v>520</v>
      </c>
      <c r="AG2" s="9" t="s">
        <v>673</v>
      </c>
      <c r="AH2" s="9" t="s">
        <v>475</v>
      </c>
    </row>
    <row r="3" spans="1:34" ht="17" x14ac:dyDescent="0.2">
      <c r="A3" s="1">
        <v>1</v>
      </c>
      <c r="B3" s="18" t="s">
        <v>233</v>
      </c>
      <c r="C3" s="17">
        <v>29</v>
      </c>
      <c r="D3" s="18" t="s">
        <v>93</v>
      </c>
      <c r="E3" s="17" t="s">
        <v>29</v>
      </c>
      <c r="F3" s="17">
        <v>31</v>
      </c>
      <c r="G3" s="17">
        <v>31</v>
      </c>
      <c r="H3" s="17">
        <v>37.1</v>
      </c>
      <c r="I3" s="17">
        <v>12</v>
      </c>
      <c r="J3" s="17">
        <v>21.7</v>
      </c>
      <c r="K3" s="17">
        <v>0.55300000000000005</v>
      </c>
      <c r="L3" s="17">
        <v>2.2999999999999998</v>
      </c>
      <c r="M3" s="17">
        <v>4.8</v>
      </c>
      <c r="N3" s="19">
        <v>0.47299999999999998</v>
      </c>
      <c r="O3" s="17">
        <v>9.6999999999999993</v>
      </c>
      <c r="P3" s="17">
        <v>16.899999999999999</v>
      </c>
      <c r="Q3" s="17">
        <v>0.57599999999999996</v>
      </c>
      <c r="R3" s="17">
        <v>0.60499999999999998</v>
      </c>
      <c r="S3" s="17">
        <v>5.2</v>
      </c>
      <c r="T3" s="17">
        <v>6.5</v>
      </c>
      <c r="U3" s="17">
        <v>0.80600000000000005</v>
      </c>
      <c r="V3" s="17">
        <v>3.5</v>
      </c>
      <c r="W3" s="17">
        <v>9.5</v>
      </c>
      <c r="X3" s="17">
        <v>13</v>
      </c>
      <c r="Y3" s="17">
        <v>9.6999999999999993</v>
      </c>
      <c r="Z3" s="17">
        <v>1.7</v>
      </c>
      <c r="AA3" s="17">
        <v>0.6</v>
      </c>
      <c r="AB3" s="17">
        <v>3.3</v>
      </c>
      <c r="AC3" s="17">
        <v>2.1</v>
      </c>
      <c r="AD3" s="19">
        <v>31.5</v>
      </c>
      <c r="AE3" s="17"/>
      <c r="AG3" s="8" t="str" cm="1">
        <f t="array" ref="AG3:AG519">_xlfn.DROP(_xlfn.UNIQUE($B$3:$B$1004),-2)</f>
        <v>Nikola Jokić</v>
      </c>
      <c r="AH3" s="8" t="str" cm="1">
        <f t="array" ref="AH3:AH519">_xlfn.XLOOKUP(_xlfn.ANCHORARRAY(AG3),$B$3:$B$1004,$D$3:$D$1004,,0,-1)</f>
        <v>DEN</v>
      </c>
    </row>
    <row r="4" spans="1:34" ht="17" x14ac:dyDescent="0.2">
      <c r="A4" s="1">
        <v>2</v>
      </c>
      <c r="B4" s="18" t="s">
        <v>49</v>
      </c>
      <c r="C4" s="17">
        <v>30</v>
      </c>
      <c r="D4" s="18" t="s">
        <v>50</v>
      </c>
      <c r="E4" s="17" t="s">
        <v>27</v>
      </c>
      <c r="F4" s="17">
        <v>29</v>
      </c>
      <c r="G4" s="17">
        <v>29</v>
      </c>
      <c r="H4" s="17">
        <v>35</v>
      </c>
      <c r="I4" s="17">
        <v>12.4</v>
      </c>
      <c r="J4" s="17">
        <v>20.7</v>
      </c>
      <c r="K4" s="17">
        <v>0.59899999999999998</v>
      </c>
      <c r="L4" s="17">
        <v>0.1</v>
      </c>
      <c r="M4" s="17">
        <v>0.7</v>
      </c>
      <c r="N4" s="17">
        <v>0.19</v>
      </c>
      <c r="O4" s="17">
        <v>12.3</v>
      </c>
      <c r="P4" s="17">
        <v>20</v>
      </c>
      <c r="Q4" s="17">
        <v>0.61399999999999999</v>
      </c>
      <c r="R4" s="17">
        <v>0.60199999999999998</v>
      </c>
      <c r="S4" s="17">
        <v>6.4</v>
      </c>
      <c r="T4" s="17">
        <v>10.6</v>
      </c>
      <c r="U4" s="17">
        <v>0.60099999999999998</v>
      </c>
      <c r="V4" s="17">
        <v>2</v>
      </c>
      <c r="W4" s="17">
        <v>9.8000000000000007</v>
      </c>
      <c r="X4" s="17">
        <v>11.8</v>
      </c>
      <c r="Y4" s="17">
        <v>6.2</v>
      </c>
      <c r="Z4" s="17">
        <v>0.8</v>
      </c>
      <c r="AA4" s="17">
        <v>1.4</v>
      </c>
      <c r="AB4" s="17">
        <v>3.5</v>
      </c>
      <c r="AC4" s="17">
        <v>2.2999999999999998</v>
      </c>
      <c r="AD4" s="17">
        <v>31.3</v>
      </c>
      <c r="AE4" s="17"/>
      <c r="AG4" s="8" t="str">
        <v>Giannis Antetokounmpo</v>
      </c>
      <c r="AH4" s="8" t="str">
        <v>MIL</v>
      </c>
    </row>
    <row r="5" spans="1:34" ht="17" x14ac:dyDescent="0.2">
      <c r="A5" s="1">
        <v>3</v>
      </c>
      <c r="B5" s="18" t="s">
        <v>170</v>
      </c>
      <c r="C5" s="17">
        <v>26</v>
      </c>
      <c r="D5" s="18" t="s">
        <v>81</v>
      </c>
      <c r="E5" s="17" t="s">
        <v>46</v>
      </c>
      <c r="F5" s="17">
        <v>36</v>
      </c>
      <c r="G5" s="17">
        <v>36</v>
      </c>
      <c r="H5" s="17">
        <v>34.700000000000003</v>
      </c>
      <c r="I5" s="17">
        <v>11.1</v>
      </c>
      <c r="J5" s="17">
        <v>21.2</v>
      </c>
      <c r="K5" s="17">
        <v>0.52200000000000002</v>
      </c>
      <c r="L5" s="17">
        <v>2.1</v>
      </c>
      <c r="M5" s="17">
        <v>6</v>
      </c>
      <c r="N5" s="17">
        <v>0.35499999999999998</v>
      </c>
      <c r="O5" s="17">
        <v>8.9</v>
      </c>
      <c r="P5" s="17">
        <v>15.2</v>
      </c>
      <c r="Q5" s="17">
        <v>0.58899999999999997</v>
      </c>
      <c r="R5" s="17">
        <v>0.57299999999999995</v>
      </c>
      <c r="S5" s="17">
        <v>7</v>
      </c>
      <c r="T5" s="17">
        <v>7.8</v>
      </c>
      <c r="U5" s="17">
        <v>0.89</v>
      </c>
      <c r="V5" s="17">
        <v>0.9</v>
      </c>
      <c r="W5" s="17">
        <v>4.7</v>
      </c>
      <c r="X5" s="17">
        <v>5.6</v>
      </c>
      <c r="Y5" s="17">
        <v>6.1</v>
      </c>
      <c r="Z5" s="17">
        <v>2</v>
      </c>
      <c r="AA5" s="17">
        <v>1.2</v>
      </c>
      <c r="AB5" s="17">
        <v>2.7</v>
      </c>
      <c r="AC5" s="17">
        <v>2.1</v>
      </c>
      <c r="AD5" s="17">
        <v>31.3</v>
      </c>
      <c r="AE5" s="17"/>
      <c r="AG5" s="8" t="str">
        <v>Shai Gilgeous-Alexander</v>
      </c>
      <c r="AH5" s="8" t="str">
        <v>OKC</v>
      </c>
    </row>
    <row r="6" spans="1:34" ht="17" x14ac:dyDescent="0.2">
      <c r="A6" s="1">
        <v>4</v>
      </c>
      <c r="B6" s="18" t="s">
        <v>63</v>
      </c>
      <c r="C6" s="17">
        <v>23</v>
      </c>
      <c r="D6" s="18" t="s">
        <v>61</v>
      </c>
      <c r="E6" s="17" t="s">
        <v>46</v>
      </c>
      <c r="F6" s="17">
        <v>24</v>
      </c>
      <c r="G6" s="17">
        <v>24</v>
      </c>
      <c r="H6" s="17">
        <v>33.799999999999997</v>
      </c>
      <c r="I6" s="17">
        <v>10.4</v>
      </c>
      <c r="J6" s="17">
        <v>24.5</v>
      </c>
      <c r="K6" s="17">
        <v>0.42299999999999999</v>
      </c>
      <c r="L6" s="17">
        <v>4.5</v>
      </c>
      <c r="M6" s="17">
        <v>13</v>
      </c>
      <c r="N6" s="17">
        <v>0.34200000000000003</v>
      </c>
      <c r="O6" s="17">
        <v>5.9</v>
      </c>
      <c r="P6" s="17">
        <v>11.5</v>
      </c>
      <c r="Q6" s="17">
        <v>0.51400000000000001</v>
      </c>
      <c r="R6" s="17">
        <v>0.51400000000000001</v>
      </c>
      <c r="S6" s="17">
        <v>4.7</v>
      </c>
      <c r="T6" s="17">
        <v>5.7</v>
      </c>
      <c r="U6" s="17">
        <v>0.83099999999999996</v>
      </c>
      <c r="V6" s="17">
        <v>1</v>
      </c>
      <c r="W6" s="17">
        <v>4.4000000000000004</v>
      </c>
      <c r="X6" s="17">
        <v>5.4</v>
      </c>
      <c r="Y6" s="17">
        <v>7.3</v>
      </c>
      <c r="Z6" s="17">
        <v>1.4</v>
      </c>
      <c r="AA6" s="17">
        <v>0.2</v>
      </c>
      <c r="AB6" s="17">
        <v>3.9</v>
      </c>
      <c r="AC6" s="17">
        <v>3.7</v>
      </c>
      <c r="AD6" s="17">
        <v>29.9</v>
      </c>
      <c r="AE6" s="17"/>
      <c r="AG6" s="8" t="str">
        <v>LaMelo Ball</v>
      </c>
      <c r="AH6" s="8" t="str">
        <v>CHO</v>
      </c>
    </row>
    <row r="7" spans="1:34" ht="17" x14ac:dyDescent="0.2">
      <c r="A7" s="1">
        <v>5</v>
      </c>
      <c r="B7" s="18" t="s">
        <v>65</v>
      </c>
      <c r="C7" s="17">
        <v>22</v>
      </c>
      <c r="D7" s="18" t="s">
        <v>52</v>
      </c>
      <c r="E7" s="17" t="s">
        <v>27</v>
      </c>
      <c r="F7" s="17">
        <v>5</v>
      </c>
      <c r="G7" s="17">
        <v>5</v>
      </c>
      <c r="H7" s="17">
        <v>36.4</v>
      </c>
      <c r="I7" s="17">
        <v>9.6</v>
      </c>
      <c r="J7" s="17">
        <v>19.399999999999999</v>
      </c>
      <c r="K7" s="17">
        <v>0.495</v>
      </c>
      <c r="L7" s="17">
        <v>2.2000000000000002</v>
      </c>
      <c r="M7" s="17">
        <v>6.4</v>
      </c>
      <c r="N7" s="17">
        <v>0.34399999999999997</v>
      </c>
      <c r="O7" s="17">
        <v>7.4</v>
      </c>
      <c r="P7" s="17">
        <v>13</v>
      </c>
      <c r="Q7" s="17">
        <v>0.56899999999999995</v>
      </c>
      <c r="R7" s="17">
        <v>0.55200000000000005</v>
      </c>
      <c r="S7" s="17">
        <v>7.6</v>
      </c>
      <c r="T7" s="17">
        <v>11.8</v>
      </c>
      <c r="U7" s="17">
        <v>0.64400000000000002</v>
      </c>
      <c r="V7" s="17">
        <v>2.4</v>
      </c>
      <c r="W7" s="17">
        <v>6.4</v>
      </c>
      <c r="X7" s="17">
        <v>8.8000000000000007</v>
      </c>
      <c r="Y7" s="17">
        <v>5.6</v>
      </c>
      <c r="Z7" s="17">
        <v>0.6</v>
      </c>
      <c r="AA7" s="17">
        <v>0.8</v>
      </c>
      <c r="AB7" s="17">
        <v>2.2000000000000002</v>
      </c>
      <c r="AC7" s="17">
        <v>2.6</v>
      </c>
      <c r="AD7" s="17">
        <v>29</v>
      </c>
      <c r="AE7" s="17"/>
      <c r="AG7" s="8" t="str">
        <v>Paolo Banchero</v>
      </c>
      <c r="AH7" s="8" t="str">
        <v>ORL</v>
      </c>
    </row>
    <row r="8" spans="1:34" ht="17" x14ac:dyDescent="0.2">
      <c r="A8" s="1">
        <v>6</v>
      </c>
      <c r="B8" s="18" t="s">
        <v>145</v>
      </c>
      <c r="C8" s="17">
        <v>25</v>
      </c>
      <c r="D8" s="18" t="s">
        <v>100</v>
      </c>
      <c r="E8" s="17" t="s">
        <v>46</v>
      </c>
      <c r="F8" s="17">
        <v>22</v>
      </c>
      <c r="G8" s="17">
        <v>22</v>
      </c>
      <c r="H8" s="17">
        <v>35.700000000000003</v>
      </c>
      <c r="I8" s="17">
        <v>9.8000000000000007</v>
      </c>
      <c r="J8" s="17">
        <v>21.2</v>
      </c>
      <c r="K8" s="17">
        <v>0.46400000000000002</v>
      </c>
      <c r="L8" s="17">
        <v>3.4</v>
      </c>
      <c r="M8" s="17">
        <v>9.6</v>
      </c>
      <c r="N8" s="17">
        <v>0.35399999999999998</v>
      </c>
      <c r="O8" s="17">
        <v>6.4</v>
      </c>
      <c r="P8" s="17">
        <v>11.5</v>
      </c>
      <c r="Q8" s="17">
        <v>0.55500000000000005</v>
      </c>
      <c r="R8" s="17">
        <v>0.54400000000000004</v>
      </c>
      <c r="S8" s="17">
        <v>5.0999999999999996</v>
      </c>
      <c r="T8" s="17">
        <v>6.6</v>
      </c>
      <c r="U8" s="17">
        <v>0.76700000000000002</v>
      </c>
      <c r="V8" s="17">
        <v>0.7</v>
      </c>
      <c r="W8" s="17">
        <v>7.6</v>
      </c>
      <c r="X8" s="17">
        <v>8.3000000000000007</v>
      </c>
      <c r="Y8" s="17">
        <v>7.8</v>
      </c>
      <c r="Z8" s="17">
        <v>2</v>
      </c>
      <c r="AA8" s="17">
        <v>0.4</v>
      </c>
      <c r="AB8" s="17">
        <v>3.4</v>
      </c>
      <c r="AC8" s="17">
        <v>2.6</v>
      </c>
      <c r="AD8" s="17">
        <v>28.1</v>
      </c>
      <c r="AE8" s="17"/>
      <c r="AG8" s="8" t="str">
        <v>Luka Dončić</v>
      </c>
      <c r="AH8" s="8" t="str">
        <v>DAL</v>
      </c>
    </row>
    <row r="9" spans="1:34" ht="17" x14ac:dyDescent="0.2">
      <c r="A9" s="1">
        <v>7</v>
      </c>
      <c r="B9" s="18" t="s">
        <v>384</v>
      </c>
      <c r="C9" s="17">
        <v>26</v>
      </c>
      <c r="D9" s="18" t="s">
        <v>68</v>
      </c>
      <c r="E9" s="17" t="s">
        <v>27</v>
      </c>
      <c r="F9" s="17">
        <v>34</v>
      </c>
      <c r="G9" s="17">
        <v>34</v>
      </c>
      <c r="H9" s="17">
        <v>36.4</v>
      </c>
      <c r="I9" s="17">
        <v>9.4</v>
      </c>
      <c r="J9" s="17">
        <v>20.2</v>
      </c>
      <c r="K9" s="17">
        <v>0.46300000000000002</v>
      </c>
      <c r="L9" s="17">
        <v>3.8</v>
      </c>
      <c r="M9" s="17">
        <v>10.5</v>
      </c>
      <c r="N9" s="17">
        <v>0.36199999999999999</v>
      </c>
      <c r="O9" s="17">
        <v>5.6</v>
      </c>
      <c r="P9" s="17">
        <v>9.6999999999999993</v>
      </c>
      <c r="Q9" s="17">
        <v>0.57099999999999995</v>
      </c>
      <c r="R9" s="17">
        <v>0.55700000000000005</v>
      </c>
      <c r="S9" s="17">
        <v>5.6</v>
      </c>
      <c r="T9" s="17">
        <v>7</v>
      </c>
      <c r="U9" s="17">
        <v>0.80300000000000005</v>
      </c>
      <c r="V9" s="17">
        <v>0.6</v>
      </c>
      <c r="W9" s="17">
        <v>8.6</v>
      </c>
      <c r="X9" s="17">
        <v>9.1999999999999993</v>
      </c>
      <c r="Y9" s="17">
        <v>5.5</v>
      </c>
      <c r="Z9" s="17">
        <v>1.3</v>
      </c>
      <c r="AA9" s="17">
        <v>0.5</v>
      </c>
      <c r="AB9" s="17">
        <v>2.7</v>
      </c>
      <c r="AC9" s="17">
        <v>2.4</v>
      </c>
      <c r="AD9" s="17">
        <v>28.1</v>
      </c>
      <c r="AE9" s="17"/>
      <c r="AG9" s="8" t="str">
        <v>Jayson Tatum</v>
      </c>
      <c r="AH9" s="8" t="str">
        <v>BOS</v>
      </c>
    </row>
    <row r="10" spans="1:34" ht="17" x14ac:dyDescent="0.2">
      <c r="A10" s="1">
        <v>8</v>
      </c>
      <c r="B10" s="18" t="s">
        <v>151</v>
      </c>
      <c r="C10" s="17">
        <v>36</v>
      </c>
      <c r="D10" s="18" t="s">
        <v>42</v>
      </c>
      <c r="E10" s="17" t="s">
        <v>27</v>
      </c>
      <c r="F10" s="17">
        <v>26</v>
      </c>
      <c r="G10" s="17">
        <v>26</v>
      </c>
      <c r="H10" s="17">
        <v>36</v>
      </c>
      <c r="I10" s="17">
        <v>9.6</v>
      </c>
      <c r="J10" s="17">
        <v>18.5</v>
      </c>
      <c r="K10" s="17">
        <v>0.52</v>
      </c>
      <c r="L10" s="17">
        <v>2.2999999999999998</v>
      </c>
      <c r="M10" s="17">
        <v>5.7</v>
      </c>
      <c r="N10" s="17">
        <v>0.40300000000000002</v>
      </c>
      <c r="O10" s="17">
        <v>7.3</v>
      </c>
      <c r="P10" s="17">
        <v>12.8</v>
      </c>
      <c r="Q10" s="17">
        <v>0.57199999999999995</v>
      </c>
      <c r="R10" s="17">
        <v>0.58199999999999996</v>
      </c>
      <c r="S10" s="17">
        <v>5.7</v>
      </c>
      <c r="T10" s="17">
        <v>6.7</v>
      </c>
      <c r="U10" s="17">
        <v>0.84</v>
      </c>
      <c r="V10" s="17">
        <v>0.5</v>
      </c>
      <c r="W10" s="17">
        <v>5.9</v>
      </c>
      <c r="X10" s="17">
        <v>6.3</v>
      </c>
      <c r="Y10" s="17">
        <v>4</v>
      </c>
      <c r="Z10" s="17">
        <v>0.7</v>
      </c>
      <c r="AA10" s="17">
        <v>1.3</v>
      </c>
      <c r="AB10" s="17">
        <v>3.3</v>
      </c>
      <c r="AC10" s="17">
        <v>1.7</v>
      </c>
      <c r="AD10" s="17">
        <v>27.2</v>
      </c>
      <c r="AE10" s="17"/>
      <c r="AG10" s="8" t="str">
        <v>Kevin Durant</v>
      </c>
      <c r="AH10" s="8" t="str">
        <v>PHO</v>
      </c>
    </row>
    <row r="11" spans="1:34" ht="17" x14ac:dyDescent="0.2">
      <c r="A11" s="1">
        <v>9</v>
      </c>
      <c r="B11" s="18" t="s">
        <v>162</v>
      </c>
      <c r="C11" s="17">
        <v>27</v>
      </c>
      <c r="D11" s="18" t="s">
        <v>72</v>
      </c>
      <c r="E11" s="17" t="s">
        <v>46</v>
      </c>
      <c r="F11" s="17">
        <v>35</v>
      </c>
      <c r="G11" s="17">
        <v>35</v>
      </c>
      <c r="H11" s="17">
        <v>37.299999999999997</v>
      </c>
      <c r="I11" s="17">
        <v>9.9</v>
      </c>
      <c r="J11" s="17">
        <v>20.3</v>
      </c>
      <c r="K11" s="17">
        <v>0.48599999999999999</v>
      </c>
      <c r="L11" s="17">
        <v>2</v>
      </c>
      <c r="M11" s="17">
        <v>6.3</v>
      </c>
      <c r="N11" s="17">
        <v>0.32100000000000001</v>
      </c>
      <c r="O11" s="17">
        <v>7.8</v>
      </c>
      <c r="P11" s="17">
        <v>14</v>
      </c>
      <c r="Q11" s="17">
        <v>0.56000000000000005</v>
      </c>
      <c r="R11" s="17">
        <v>0.53600000000000003</v>
      </c>
      <c r="S11" s="17">
        <v>4.9000000000000004</v>
      </c>
      <c r="T11" s="17">
        <v>6.1</v>
      </c>
      <c r="U11" s="17">
        <v>0.80800000000000005</v>
      </c>
      <c r="V11" s="17">
        <v>1.1000000000000001</v>
      </c>
      <c r="W11" s="17">
        <v>3.9</v>
      </c>
      <c r="X11" s="17">
        <v>4.9000000000000004</v>
      </c>
      <c r="Y11" s="17">
        <v>6.2</v>
      </c>
      <c r="Z11" s="17">
        <v>1.6</v>
      </c>
      <c r="AA11" s="17">
        <v>0.3</v>
      </c>
      <c r="AB11" s="17">
        <v>3.3</v>
      </c>
      <c r="AC11" s="17">
        <v>2.8</v>
      </c>
      <c r="AD11" s="17">
        <v>26.7</v>
      </c>
      <c r="AE11" s="17"/>
      <c r="AG11" s="8" t="str">
        <v>De'Aaron Fox</v>
      </c>
      <c r="AH11" s="8" t="str">
        <v>SAC</v>
      </c>
    </row>
    <row r="12" spans="1:34" ht="17" x14ac:dyDescent="0.2">
      <c r="A12" s="1">
        <v>10</v>
      </c>
      <c r="B12" s="18" t="s">
        <v>136</v>
      </c>
      <c r="C12" s="17">
        <v>31</v>
      </c>
      <c r="D12" s="18" t="s">
        <v>116</v>
      </c>
      <c r="E12" s="17" t="s">
        <v>29</v>
      </c>
      <c r="F12" s="17">
        <v>34</v>
      </c>
      <c r="G12" s="17">
        <v>34</v>
      </c>
      <c r="H12" s="17">
        <v>34.9</v>
      </c>
      <c r="I12" s="17">
        <v>9.3000000000000007</v>
      </c>
      <c r="J12" s="17">
        <v>18</v>
      </c>
      <c r="K12" s="17">
        <v>0.51900000000000002</v>
      </c>
      <c r="L12" s="17">
        <v>0.7</v>
      </c>
      <c r="M12" s="17">
        <v>2.2000000000000002</v>
      </c>
      <c r="N12" s="17">
        <v>0.316</v>
      </c>
      <c r="O12" s="17">
        <v>8.6</v>
      </c>
      <c r="P12" s="17">
        <v>15.7</v>
      </c>
      <c r="Q12" s="17">
        <v>0.54800000000000004</v>
      </c>
      <c r="R12" s="17">
        <v>0.53800000000000003</v>
      </c>
      <c r="S12" s="17">
        <v>6.5</v>
      </c>
      <c r="T12" s="17">
        <v>8.1999999999999993</v>
      </c>
      <c r="U12" s="17">
        <v>0.78600000000000003</v>
      </c>
      <c r="V12" s="17">
        <v>2.6</v>
      </c>
      <c r="W12" s="17">
        <v>9.1999999999999993</v>
      </c>
      <c r="X12" s="17">
        <v>11.9</v>
      </c>
      <c r="Y12" s="17">
        <v>3.5</v>
      </c>
      <c r="Z12" s="17">
        <v>1.3</v>
      </c>
      <c r="AA12" s="17">
        <v>2.1</v>
      </c>
      <c r="AB12" s="17">
        <v>2.2999999999999998</v>
      </c>
      <c r="AC12" s="17">
        <v>2</v>
      </c>
      <c r="AD12" s="17">
        <v>25.8</v>
      </c>
      <c r="AE12" s="17"/>
      <c r="AG12" s="8" t="str">
        <v>Anthony Davis</v>
      </c>
      <c r="AH12" s="8" t="str">
        <v>LAL</v>
      </c>
    </row>
    <row r="13" spans="1:34" ht="17" x14ac:dyDescent="0.2">
      <c r="A13" s="1">
        <v>11</v>
      </c>
      <c r="B13" s="18" t="s">
        <v>154</v>
      </c>
      <c r="C13" s="17">
        <v>23</v>
      </c>
      <c r="D13" s="18" t="s">
        <v>40</v>
      </c>
      <c r="E13" s="17" t="s">
        <v>35</v>
      </c>
      <c r="F13" s="17">
        <v>37</v>
      </c>
      <c r="G13" s="17">
        <v>37</v>
      </c>
      <c r="H13" s="17">
        <v>36.4</v>
      </c>
      <c r="I13" s="17">
        <v>9</v>
      </c>
      <c r="J13" s="17">
        <v>20.3</v>
      </c>
      <c r="K13" s="17">
        <v>0.441</v>
      </c>
      <c r="L13" s="17">
        <v>4.3</v>
      </c>
      <c r="M13" s="17">
        <v>10</v>
      </c>
      <c r="N13" s="17">
        <v>0.42699999999999999</v>
      </c>
      <c r="O13" s="17">
        <v>4.7</v>
      </c>
      <c r="P13" s="17">
        <v>10.3</v>
      </c>
      <c r="Q13" s="17">
        <v>0.45500000000000002</v>
      </c>
      <c r="R13" s="17">
        <v>0.54700000000000004</v>
      </c>
      <c r="S13" s="17">
        <v>3.5</v>
      </c>
      <c r="T13" s="17">
        <v>4.2</v>
      </c>
      <c r="U13" s="17">
        <v>0.81499999999999995</v>
      </c>
      <c r="V13" s="17">
        <v>0.7</v>
      </c>
      <c r="W13" s="17">
        <v>5</v>
      </c>
      <c r="X13" s="17">
        <v>5.7</v>
      </c>
      <c r="Y13" s="17">
        <v>4.0999999999999996</v>
      </c>
      <c r="Z13" s="17">
        <v>1.2</v>
      </c>
      <c r="AA13" s="17">
        <v>0.5</v>
      </c>
      <c r="AB13" s="17">
        <v>3.1</v>
      </c>
      <c r="AC13" s="17">
        <v>2</v>
      </c>
      <c r="AD13" s="17">
        <v>25.7</v>
      </c>
      <c r="AE13" s="17"/>
      <c r="AG13" s="8" t="str">
        <v>Anthony Edwards</v>
      </c>
      <c r="AH13" s="8" t="str">
        <v>MIN</v>
      </c>
    </row>
    <row r="14" spans="1:34" ht="17" x14ac:dyDescent="0.2">
      <c r="A14" s="1">
        <v>12</v>
      </c>
      <c r="B14" s="18" t="s">
        <v>276</v>
      </c>
      <c r="C14" s="17">
        <v>24</v>
      </c>
      <c r="D14" s="18" t="s">
        <v>64</v>
      </c>
      <c r="E14" s="17" t="s">
        <v>46</v>
      </c>
      <c r="F14" s="17">
        <v>29</v>
      </c>
      <c r="G14" s="17">
        <v>29</v>
      </c>
      <c r="H14" s="17">
        <v>37.299999999999997</v>
      </c>
      <c r="I14" s="17">
        <v>8.8000000000000007</v>
      </c>
      <c r="J14" s="17">
        <v>20.9</v>
      </c>
      <c r="K14" s="17">
        <v>0.42099999999999999</v>
      </c>
      <c r="L14" s="17">
        <v>3.2</v>
      </c>
      <c r="M14" s="17">
        <v>9.6</v>
      </c>
      <c r="N14" s="17">
        <v>0.33800000000000002</v>
      </c>
      <c r="O14" s="17">
        <v>5.6</v>
      </c>
      <c r="P14" s="17">
        <v>11.3</v>
      </c>
      <c r="Q14" s="17">
        <v>0.49099999999999999</v>
      </c>
      <c r="R14" s="17">
        <v>0.498</v>
      </c>
      <c r="S14" s="17">
        <v>4.7</v>
      </c>
      <c r="T14" s="17">
        <v>5.7</v>
      </c>
      <c r="U14" s="17">
        <v>0.82899999999999996</v>
      </c>
      <c r="V14" s="17">
        <v>0.2</v>
      </c>
      <c r="W14" s="17">
        <v>3.1</v>
      </c>
      <c r="X14" s="17">
        <v>3.3</v>
      </c>
      <c r="Y14" s="17">
        <v>5.7</v>
      </c>
      <c r="Z14" s="17">
        <v>2.1</v>
      </c>
      <c r="AA14" s="17">
        <v>0.4</v>
      </c>
      <c r="AB14" s="17">
        <v>2.4</v>
      </c>
      <c r="AC14" s="17">
        <v>2.2999999999999998</v>
      </c>
      <c r="AD14" s="17">
        <v>25.5</v>
      </c>
      <c r="AE14" s="17"/>
      <c r="AG14" s="8" t="str">
        <v>Tyrese Maxey</v>
      </c>
      <c r="AH14" s="8" t="str">
        <v>PHI</v>
      </c>
    </row>
    <row r="15" spans="1:34" ht="17" x14ac:dyDescent="0.2">
      <c r="A15" s="1">
        <v>13</v>
      </c>
      <c r="B15" s="18" t="s">
        <v>395</v>
      </c>
      <c r="C15" s="17">
        <v>29</v>
      </c>
      <c r="D15" s="18" t="s">
        <v>31</v>
      </c>
      <c r="E15" s="17" t="s">
        <v>29</v>
      </c>
      <c r="F15" s="17">
        <v>35</v>
      </c>
      <c r="G15" s="17">
        <v>35</v>
      </c>
      <c r="H15" s="17">
        <v>34.6</v>
      </c>
      <c r="I15" s="17">
        <v>9.1</v>
      </c>
      <c r="J15" s="17">
        <v>16.5</v>
      </c>
      <c r="K15" s="17">
        <v>0.55200000000000005</v>
      </c>
      <c r="L15" s="17">
        <v>2.2000000000000002</v>
      </c>
      <c r="M15" s="17">
        <v>4.8</v>
      </c>
      <c r="N15" s="17">
        <v>0.45</v>
      </c>
      <c r="O15" s="17">
        <v>6.9</v>
      </c>
      <c r="P15" s="17">
        <v>11.6</v>
      </c>
      <c r="Q15" s="17">
        <v>0.59499999999999997</v>
      </c>
      <c r="R15" s="17">
        <v>0.61799999999999999</v>
      </c>
      <c r="S15" s="17">
        <v>5</v>
      </c>
      <c r="T15" s="17">
        <v>6</v>
      </c>
      <c r="U15" s="17">
        <v>0.83299999999999996</v>
      </c>
      <c r="V15" s="17">
        <v>3</v>
      </c>
      <c r="W15" s="17">
        <v>11</v>
      </c>
      <c r="X15" s="19">
        <v>14</v>
      </c>
      <c r="Y15" s="17">
        <v>3.3</v>
      </c>
      <c r="Z15" s="17">
        <v>1</v>
      </c>
      <c r="AA15" s="17">
        <v>0.9</v>
      </c>
      <c r="AB15" s="17">
        <v>2.5</v>
      </c>
      <c r="AC15" s="17">
        <v>3.6</v>
      </c>
      <c r="AD15" s="17">
        <v>25.3</v>
      </c>
      <c r="AE15" s="17"/>
      <c r="AG15" s="8" t="str">
        <v>Karl-Anthony Towns</v>
      </c>
      <c r="AH15" s="8" t="str">
        <v>NYK</v>
      </c>
    </row>
    <row r="16" spans="1:34" ht="17" x14ac:dyDescent="0.2">
      <c r="A16" s="1">
        <v>14</v>
      </c>
      <c r="B16" s="18" t="s">
        <v>416</v>
      </c>
      <c r="C16" s="17">
        <v>21</v>
      </c>
      <c r="D16" s="18" t="s">
        <v>70</v>
      </c>
      <c r="E16" s="17" t="s">
        <v>29</v>
      </c>
      <c r="F16" s="17">
        <v>32</v>
      </c>
      <c r="G16" s="17">
        <v>32</v>
      </c>
      <c r="H16" s="17">
        <v>33.1</v>
      </c>
      <c r="I16" s="17">
        <v>9.1</v>
      </c>
      <c r="J16" s="17">
        <v>19</v>
      </c>
      <c r="K16" s="17">
        <v>0.47899999999999998</v>
      </c>
      <c r="L16" s="17">
        <v>3.3</v>
      </c>
      <c r="M16" s="17">
        <v>9.3000000000000007</v>
      </c>
      <c r="N16" s="17">
        <v>0.35399999999999998</v>
      </c>
      <c r="O16" s="17">
        <v>5.8</v>
      </c>
      <c r="P16" s="17">
        <v>9.6999999999999993</v>
      </c>
      <c r="Q16" s="17">
        <v>0.59799999999999998</v>
      </c>
      <c r="R16" s="17">
        <v>0.56499999999999995</v>
      </c>
      <c r="S16" s="17">
        <v>3.7</v>
      </c>
      <c r="T16" s="17">
        <v>4.2</v>
      </c>
      <c r="U16" s="17">
        <v>0.873</v>
      </c>
      <c r="V16" s="17">
        <v>1.9</v>
      </c>
      <c r="W16" s="17">
        <v>8.9</v>
      </c>
      <c r="X16" s="17">
        <v>10.8</v>
      </c>
      <c r="Y16" s="17">
        <v>3.8</v>
      </c>
      <c r="Z16" s="17">
        <v>1</v>
      </c>
      <c r="AA16" s="19">
        <v>4</v>
      </c>
      <c r="AB16" s="17">
        <v>3.6</v>
      </c>
      <c r="AC16" s="17">
        <v>2.2999999999999998</v>
      </c>
      <c r="AD16" s="17">
        <v>25.1</v>
      </c>
      <c r="AE16" s="17"/>
      <c r="AG16" s="8" t="str">
        <v>Victor Wembanyama</v>
      </c>
      <c r="AH16" s="8" t="str">
        <v>SAS</v>
      </c>
    </row>
    <row r="17" spans="1:34" ht="17" x14ac:dyDescent="0.2">
      <c r="A17" s="1">
        <v>15</v>
      </c>
      <c r="B17" s="18" t="s">
        <v>103</v>
      </c>
      <c r="C17" s="17">
        <v>28</v>
      </c>
      <c r="D17" s="18" t="s">
        <v>31</v>
      </c>
      <c r="E17" s="17" t="s">
        <v>46</v>
      </c>
      <c r="F17" s="17">
        <v>37</v>
      </c>
      <c r="G17" s="17">
        <v>37</v>
      </c>
      <c r="H17" s="17">
        <v>35</v>
      </c>
      <c r="I17" s="17">
        <v>8.5</v>
      </c>
      <c r="J17" s="17">
        <v>17.899999999999999</v>
      </c>
      <c r="K17" s="17">
        <v>0.47699999999999998</v>
      </c>
      <c r="L17" s="17">
        <v>2.2999999999999998</v>
      </c>
      <c r="M17" s="17">
        <v>5.9</v>
      </c>
      <c r="N17" s="17">
        <v>0.38600000000000001</v>
      </c>
      <c r="O17" s="17">
        <v>6.2</v>
      </c>
      <c r="P17" s="17">
        <v>12</v>
      </c>
      <c r="Q17" s="17">
        <v>0.52100000000000002</v>
      </c>
      <c r="R17" s="17">
        <v>0.54100000000000004</v>
      </c>
      <c r="S17" s="17">
        <v>5.6</v>
      </c>
      <c r="T17" s="17">
        <v>6.9</v>
      </c>
      <c r="U17" s="17">
        <v>0.81899999999999995</v>
      </c>
      <c r="V17" s="17">
        <v>0.5</v>
      </c>
      <c r="W17" s="17">
        <v>2.5</v>
      </c>
      <c r="X17" s="17">
        <v>3</v>
      </c>
      <c r="Y17" s="17">
        <v>7.6</v>
      </c>
      <c r="Z17" s="17">
        <v>0.8</v>
      </c>
      <c r="AA17" s="17">
        <v>0.1</v>
      </c>
      <c r="AB17" s="17">
        <v>2.2999999999999998</v>
      </c>
      <c r="AC17" s="17">
        <v>2.2000000000000002</v>
      </c>
      <c r="AD17" s="17">
        <v>25</v>
      </c>
      <c r="AE17" s="17"/>
      <c r="AG17" s="8" t="str">
        <v>Jalen Brunson</v>
      </c>
      <c r="AH17" s="8" t="str">
        <v>NYK</v>
      </c>
    </row>
    <row r="18" spans="1:34" ht="17" x14ac:dyDescent="0.2">
      <c r="A18" s="1">
        <v>16</v>
      </c>
      <c r="B18" s="18" t="s">
        <v>258</v>
      </c>
      <c r="C18" s="17">
        <v>34</v>
      </c>
      <c r="D18" s="18" t="s">
        <v>50</v>
      </c>
      <c r="E18" s="17" t="s">
        <v>46</v>
      </c>
      <c r="F18" s="17">
        <v>28</v>
      </c>
      <c r="G18" s="17">
        <v>28</v>
      </c>
      <c r="H18" s="17">
        <v>36</v>
      </c>
      <c r="I18" s="17">
        <v>7.5</v>
      </c>
      <c r="J18" s="17">
        <v>17.100000000000001</v>
      </c>
      <c r="K18" s="17">
        <v>0.44</v>
      </c>
      <c r="L18" s="17">
        <v>3.5</v>
      </c>
      <c r="M18" s="17">
        <v>9.1999999999999993</v>
      </c>
      <c r="N18" s="17">
        <v>0.376</v>
      </c>
      <c r="O18" s="17">
        <v>4.0999999999999996</v>
      </c>
      <c r="P18" s="17">
        <v>7.9</v>
      </c>
      <c r="Q18" s="17">
        <v>0.51400000000000001</v>
      </c>
      <c r="R18" s="17">
        <v>0.54100000000000004</v>
      </c>
      <c r="S18" s="17">
        <v>6.3</v>
      </c>
      <c r="T18" s="17">
        <v>6.8</v>
      </c>
      <c r="U18" s="17">
        <v>0.91600000000000004</v>
      </c>
      <c r="V18" s="17">
        <v>0.6</v>
      </c>
      <c r="W18" s="17">
        <v>3.8</v>
      </c>
      <c r="X18" s="17">
        <v>4.4000000000000004</v>
      </c>
      <c r="Y18" s="17">
        <v>7.4</v>
      </c>
      <c r="Z18" s="17">
        <v>1.1000000000000001</v>
      </c>
      <c r="AA18" s="17">
        <v>0.1</v>
      </c>
      <c r="AB18" s="17">
        <v>2.8</v>
      </c>
      <c r="AC18" s="17">
        <v>1.8</v>
      </c>
      <c r="AD18" s="17">
        <v>24.8</v>
      </c>
      <c r="AE18" s="17"/>
      <c r="AG18" s="8" t="str">
        <v>Damian Lillard</v>
      </c>
      <c r="AH18" s="8" t="str">
        <v>MIL</v>
      </c>
    </row>
    <row r="19" spans="1:34" ht="17" x14ac:dyDescent="0.2">
      <c r="A19" s="1">
        <v>17</v>
      </c>
      <c r="B19" s="18" t="s">
        <v>388</v>
      </c>
      <c r="C19" s="17">
        <v>23</v>
      </c>
      <c r="D19" s="18" t="s">
        <v>95</v>
      </c>
      <c r="E19" s="17" t="s">
        <v>35</v>
      </c>
      <c r="F19" s="17">
        <v>19</v>
      </c>
      <c r="G19" s="17">
        <v>17</v>
      </c>
      <c r="H19" s="17">
        <v>32.299999999999997</v>
      </c>
      <c r="I19" s="17">
        <v>7.9</v>
      </c>
      <c r="J19" s="17">
        <v>17.7</v>
      </c>
      <c r="K19" s="17">
        <v>0.44800000000000001</v>
      </c>
      <c r="L19" s="17">
        <v>2.8</v>
      </c>
      <c r="M19" s="17">
        <v>7.6</v>
      </c>
      <c r="N19" s="17">
        <v>0.375</v>
      </c>
      <c r="O19" s="17">
        <v>5.0999999999999996</v>
      </c>
      <c r="P19" s="17">
        <v>10.199999999999999</v>
      </c>
      <c r="Q19" s="17">
        <v>0.503</v>
      </c>
      <c r="R19" s="17">
        <v>0.52800000000000002</v>
      </c>
      <c r="S19" s="17">
        <v>5.9</v>
      </c>
      <c r="T19" s="17">
        <v>6.8</v>
      </c>
      <c r="U19" s="17">
        <v>0.876</v>
      </c>
      <c r="V19" s="17">
        <v>0.5</v>
      </c>
      <c r="W19" s="17">
        <v>3.1</v>
      </c>
      <c r="X19" s="17">
        <v>3.6</v>
      </c>
      <c r="Y19" s="17">
        <v>3.4</v>
      </c>
      <c r="Z19" s="17">
        <v>0.7</v>
      </c>
      <c r="AA19" s="17">
        <v>0.1</v>
      </c>
      <c r="AB19" s="17">
        <v>2.7</v>
      </c>
      <c r="AC19" s="17">
        <v>1.9</v>
      </c>
      <c r="AD19" s="17">
        <v>24.7</v>
      </c>
      <c r="AE19" s="17"/>
      <c r="AG19" s="8" t="str">
        <v>Cam Thomas</v>
      </c>
      <c r="AH19" s="8" t="str">
        <v>BRK</v>
      </c>
    </row>
    <row r="20" spans="1:34" ht="17" x14ac:dyDescent="0.2">
      <c r="A20" s="1">
        <v>18</v>
      </c>
      <c r="B20" s="18" t="s">
        <v>88</v>
      </c>
      <c r="C20" s="17">
        <v>28</v>
      </c>
      <c r="D20" s="18" t="s">
        <v>42</v>
      </c>
      <c r="E20" s="17" t="s">
        <v>35</v>
      </c>
      <c r="F20" s="17">
        <v>31</v>
      </c>
      <c r="G20" s="17">
        <v>31</v>
      </c>
      <c r="H20" s="17">
        <v>36.6</v>
      </c>
      <c r="I20" s="17">
        <v>7.9</v>
      </c>
      <c r="J20" s="17">
        <v>18.399999999999999</v>
      </c>
      <c r="K20" s="17">
        <v>0.42899999999999999</v>
      </c>
      <c r="L20" s="17">
        <v>2.5</v>
      </c>
      <c r="M20" s="17">
        <v>7.5</v>
      </c>
      <c r="N20" s="17">
        <v>0.32500000000000001</v>
      </c>
      <c r="O20" s="17">
        <v>5.4</v>
      </c>
      <c r="P20" s="17">
        <v>10.8</v>
      </c>
      <c r="Q20" s="17">
        <v>0.501</v>
      </c>
      <c r="R20" s="17">
        <v>0.496</v>
      </c>
      <c r="S20" s="17">
        <v>6.2</v>
      </c>
      <c r="T20" s="17">
        <v>7</v>
      </c>
      <c r="U20" s="17">
        <v>0.88900000000000001</v>
      </c>
      <c r="V20" s="17">
        <v>1</v>
      </c>
      <c r="W20" s="17">
        <v>2.8</v>
      </c>
      <c r="X20" s="17">
        <v>3.9</v>
      </c>
      <c r="Y20" s="17">
        <v>7</v>
      </c>
      <c r="Z20" s="17">
        <v>1.1000000000000001</v>
      </c>
      <c r="AA20" s="17">
        <v>0.3</v>
      </c>
      <c r="AB20" s="17">
        <v>2.2999999999999998</v>
      </c>
      <c r="AC20" s="17">
        <v>2.2000000000000002</v>
      </c>
      <c r="AD20" s="17">
        <v>24.4</v>
      </c>
      <c r="AE20" s="17"/>
      <c r="AG20" s="8" t="str">
        <v>Devin Booker</v>
      </c>
      <c r="AH20" s="8" t="str">
        <v>PHO</v>
      </c>
    </row>
    <row r="21" spans="1:34" ht="17" x14ac:dyDescent="0.2">
      <c r="A21" s="1">
        <v>19</v>
      </c>
      <c r="B21" s="18" t="s">
        <v>157</v>
      </c>
      <c r="C21" s="17">
        <v>30</v>
      </c>
      <c r="D21" s="18" t="s">
        <v>64</v>
      </c>
      <c r="E21" s="17" t="s">
        <v>29</v>
      </c>
      <c r="F21" s="17">
        <v>13</v>
      </c>
      <c r="G21" s="17">
        <v>13</v>
      </c>
      <c r="H21" s="17">
        <v>29.5</v>
      </c>
      <c r="I21" s="17">
        <v>7.6</v>
      </c>
      <c r="J21" s="17">
        <v>16.8</v>
      </c>
      <c r="K21" s="17">
        <v>0.45200000000000001</v>
      </c>
      <c r="L21" s="17">
        <v>1.2</v>
      </c>
      <c r="M21" s="17">
        <v>3.8</v>
      </c>
      <c r="N21" s="17">
        <v>0.32700000000000001</v>
      </c>
      <c r="O21" s="17">
        <v>6.4</v>
      </c>
      <c r="P21" s="17">
        <v>13.1</v>
      </c>
      <c r="Q21" s="17">
        <v>0.48799999999999999</v>
      </c>
      <c r="R21" s="17">
        <v>0.48899999999999999</v>
      </c>
      <c r="S21" s="17">
        <v>7.9</v>
      </c>
      <c r="T21" s="17">
        <v>8.6</v>
      </c>
      <c r="U21" s="17">
        <v>0.92</v>
      </c>
      <c r="V21" s="17">
        <v>1.7</v>
      </c>
      <c r="W21" s="17">
        <v>6.2</v>
      </c>
      <c r="X21" s="17">
        <v>7.9</v>
      </c>
      <c r="Y21" s="17">
        <v>3.8</v>
      </c>
      <c r="Z21" s="17">
        <v>0.8</v>
      </c>
      <c r="AA21" s="17">
        <v>1</v>
      </c>
      <c r="AB21" s="17">
        <v>3.2</v>
      </c>
      <c r="AC21" s="17">
        <v>2.2000000000000002</v>
      </c>
      <c r="AD21" s="17">
        <v>24.4</v>
      </c>
      <c r="AE21" s="17"/>
      <c r="AG21" s="8" t="str">
        <v>Joel Embiid</v>
      </c>
      <c r="AH21" s="8" t="str">
        <v>PHI</v>
      </c>
    </row>
    <row r="22" spans="1:34" ht="17" x14ac:dyDescent="0.2">
      <c r="A22" s="1">
        <v>20</v>
      </c>
      <c r="B22" s="18" t="s">
        <v>406</v>
      </c>
      <c r="C22" s="17">
        <v>23</v>
      </c>
      <c r="D22" s="18" t="s">
        <v>52</v>
      </c>
      <c r="E22" s="17" t="s">
        <v>54</v>
      </c>
      <c r="F22" s="17">
        <v>25</v>
      </c>
      <c r="G22" s="17">
        <v>25</v>
      </c>
      <c r="H22" s="17">
        <v>33.200000000000003</v>
      </c>
      <c r="I22" s="17">
        <v>8.8000000000000007</v>
      </c>
      <c r="J22" s="17">
        <v>18.899999999999999</v>
      </c>
      <c r="K22" s="17">
        <v>0.46500000000000002</v>
      </c>
      <c r="L22" s="17">
        <v>2</v>
      </c>
      <c r="M22" s="17">
        <v>6.4</v>
      </c>
      <c r="N22" s="17">
        <v>0.32100000000000001</v>
      </c>
      <c r="O22" s="17">
        <v>6.8</v>
      </c>
      <c r="P22" s="17">
        <v>12.6</v>
      </c>
      <c r="Q22" s="17">
        <v>0.53800000000000003</v>
      </c>
      <c r="R22" s="17">
        <v>0.51900000000000002</v>
      </c>
      <c r="S22" s="17">
        <v>4.8</v>
      </c>
      <c r="T22" s="17">
        <v>5.4</v>
      </c>
      <c r="U22" s="17">
        <v>0.88100000000000001</v>
      </c>
      <c r="V22" s="17">
        <v>0.9</v>
      </c>
      <c r="W22" s="17">
        <v>4.7</v>
      </c>
      <c r="X22" s="17">
        <v>5.6</v>
      </c>
      <c r="Y22" s="17">
        <v>5.7</v>
      </c>
      <c r="Z22" s="17">
        <v>1.7</v>
      </c>
      <c r="AA22" s="17">
        <v>0.5</v>
      </c>
      <c r="AB22" s="17">
        <v>2.4</v>
      </c>
      <c r="AC22" s="17">
        <v>2.2999999999999998</v>
      </c>
      <c r="AD22" s="17">
        <v>24.4</v>
      </c>
      <c r="AE22" s="17"/>
      <c r="AG22" s="8" t="str">
        <v>Franz Wagner</v>
      </c>
      <c r="AH22" s="8" t="str">
        <v>ORL</v>
      </c>
    </row>
    <row r="23" spans="1:34" ht="17" x14ac:dyDescent="0.2">
      <c r="A23" s="1">
        <v>21</v>
      </c>
      <c r="B23" s="18" t="s">
        <v>131</v>
      </c>
      <c r="C23" s="17">
        <v>23</v>
      </c>
      <c r="D23" s="18" t="s">
        <v>60</v>
      </c>
      <c r="E23" s="17" t="s">
        <v>46</v>
      </c>
      <c r="F23" s="17">
        <v>34</v>
      </c>
      <c r="G23" s="17">
        <v>34</v>
      </c>
      <c r="H23" s="17">
        <v>35.6</v>
      </c>
      <c r="I23" s="17">
        <v>9.1</v>
      </c>
      <c r="J23" s="17">
        <v>19.899999999999999</v>
      </c>
      <c r="K23" s="17">
        <v>0.45700000000000002</v>
      </c>
      <c r="L23" s="17">
        <v>2.4</v>
      </c>
      <c r="M23" s="17">
        <v>6.5</v>
      </c>
      <c r="N23" s="17">
        <v>0.376</v>
      </c>
      <c r="O23" s="17">
        <v>6.7</v>
      </c>
      <c r="P23" s="17">
        <v>13.4</v>
      </c>
      <c r="Q23" s="17">
        <v>0.497</v>
      </c>
      <c r="R23" s="17">
        <v>0.51800000000000002</v>
      </c>
      <c r="S23" s="17">
        <v>3.6</v>
      </c>
      <c r="T23" s="17">
        <v>4.5</v>
      </c>
      <c r="U23" s="17">
        <v>0.79200000000000004</v>
      </c>
      <c r="V23" s="17">
        <v>0.9</v>
      </c>
      <c r="W23" s="17">
        <v>5.6</v>
      </c>
      <c r="X23" s="17">
        <v>6.6</v>
      </c>
      <c r="Y23" s="17">
        <v>9.3000000000000007</v>
      </c>
      <c r="Z23" s="17">
        <v>0.9</v>
      </c>
      <c r="AA23" s="17">
        <v>0.8</v>
      </c>
      <c r="AB23" s="17">
        <v>4.3</v>
      </c>
      <c r="AC23" s="17">
        <v>2.8</v>
      </c>
      <c r="AD23" s="17">
        <v>24.3</v>
      </c>
      <c r="AE23" s="17"/>
      <c r="AG23" s="8" t="str">
        <v>Cade Cunningham</v>
      </c>
      <c r="AH23" s="8" t="str">
        <v>DET</v>
      </c>
    </row>
    <row r="24" spans="1:34" ht="17" x14ac:dyDescent="0.2">
      <c r="A24" s="1">
        <v>22</v>
      </c>
      <c r="B24" s="18" t="s">
        <v>215</v>
      </c>
      <c r="C24" s="17">
        <v>32</v>
      </c>
      <c r="D24" s="18" t="s">
        <v>100</v>
      </c>
      <c r="E24" s="17" t="s">
        <v>35</v>
      </c>
      <c r="F24" s="17">
        <v>30</v>
      </c>
      <c r="G24" s="17">
        <v>30</v>
      </c>
      <c r="H24" s="17">
        <v>35.6</v>
      </c>
      <c r="I24" s="17">
        <v>9</v>
      </c>
      <c r="J24" s="17">
        <v>18.3</v>
      </c>
      <c r="K24" s="17">
        <v>0.49</v>
      </c>
      <c r="L24" s="17">
        <v>3.1</v>
      </c>
      <c r="M24" s="17">
        <v>7</v>
      </c>
      <c r="N24" s="17">
        <v>0.441</v>
      </c>
      <c r="O24" s="17">
        <v>5.9</v>
      </c>
      <c r="P24" s="17">
        <v>11.3</v>
      </c>
      <c r="Q24" s="17">
        <v>0.52100000000000002</v>
      </c>
      <c r="R24" s="17">
        <v>0.57499999999999996</v>
      </c>
      <c r="S24" s="17">
        <v>3.3</v>
      </c>
      <c r="T24" s="17">
        <v>3.6</v>
      </c>
      <c r="U24" s="17">
        <v>0.89900000000000002</v>
      </c>
      <c r="V24" s="17">
        <v>1</v>
      </c>
      <c r="W24" s="17">
        <v>3.5</v>
      </c>
      <c r="X24" s="17">
        <v>4.5999999999999996</v>
      </c>
      <c r="Y24" s="17">
        <v>4.9000000000000004</v>
      </c>
      <c r="Z24" s="17">
        <v>1.2</v>
      </c>
      <c r="AA24" s="17">
        <v>0.4</v>
      </c>
      <c r="AB24" s="17">
        <v>2.2999999999999998</v>
      </c>
      <c r="AC24" s="17">
        <v>2.2000000000000002</v>
      </c>
      <c r="AD24" s="17">
        <v>24.3</v>
      </c>
      <c r="AE24" s="17"/>
      <c r="AG24" s="8" t="str">
        <v>Kyrie Irving</v>
      </c>
      <c r="AH24" s="8" t="str">
        <v>DAL</v>
      </c>
    </row>
    <row r="25" spans="1:34" ht="17" x14ac:dyDescent="0.2">
      <c r="A25" s="1">
        <v>23</v>
      </c>
      <c r="B25" s="18" t="s">
        <v>101</v>
      </c>
      <c r="C25" s="17">
        <v>28</v>
      </c>
      <c r="D25" s="18" t="s">
        <v>68</v>
      </c>
      <c r="E25" s="17" t="s">
        <v>54</v>
      </c>
      <c r="F25" s="17">
        <v>30</v>
      </c>
      <c r="G25" s="17">
        <v>30</v>
      </c>
      <c r="H25" s="17">
        <v>35.6</v>
      </c>
      <c r="I25" s="17">
        <v>8.8000000000000007</v>
      </c>
      <c r="J25" s="17">
        <v>19.2</v>
      </c>
      <c r="K25" s="17">
        <v>0.46</v>
      </c>
      <c r="L25" s="17">
        <v>2.2000000000000002</v>
      </c>
      <c r="M25" s="17">
        <v>6.8</v>
      </c>
      <c r="N25" s="17">
        <v>0.32500000000000001</v>
      </c>
      <c r="O25" s="17">
        <v>6.6</v>
      </c>
      <c r="P25" s="17">
        <v>12.4</v>
      </c>
      <c r="Q25" s="17">
        <v>0.53400000000000003</v>
      </c>
      <c r="R25" s="17">
        <v>0.51700000000000002</v>
      </c>
      <c r="S25" s="17">
        <v>4.0999999999999996</v>
      </c>
      <c r="T25" s="17">
        <v>5.5</v>
      </c>
      <c r="U25" s="17">
        <v>0.74399999999999999</v>
      </c>
      <c r="V25" s="17">
        <v>1.4</v>
      </c>
      <c r="W25" s="17">
        <v>4.5999999999999996</v>
      </c>
      <c r="X25" s="17">
        <v>6</v>
      </c>
      <c r="Y25" s="17">
        <v>4.7</v>
      </c>
      <c r="Z25" s="17">
        <v>1.3</v>
      </c>
      <c r="AA25" s="17">
        <v>0.3</v>
      </c>
      <c r="AB25" s="17">
        <v>2.8</v>
      </c>
      <c r="AC25" s="17">
        <v>2.4</v>
      </c>
      <c r="AD25" s="17">
        <v>23.9</v>
      </c>
      <c r="AE25" s="17"/>
      <c r="AG25" s="8" t="str">
        <v>Jaylen Brown</v>
      </c>
      <c r="AH25" s="8" t="str">
        <v>BOS</v>
      </c>
    </row>
    <row r="26" spans="1:34" ht="17" x14ac:dyDescent="0.2">
      <c r="A26" s="1">
        <v>24</v>
      </c>
      <c r="B26" s="18" t="s">
        <v>223</v>
      </c>
      <c r="C26" s="17">
        <v>40</v>
      </c>
      <c r="D26" s="18" t="s">
        <v>116</v>
      </c>
      <c r="E26" s="17" t="s">
        <v>54</v>
      </c>
      <c r="F26" s="17">
        <v>33</v>
      </c>
      <c r="G26" s="17">
        <v>33</v>
      </c>
      <c r="H26" s="17">
        <v>34.9</v>
      </c>
      <c r="I26" s="17">
        <v>9.1999999999999993</v>
      </c>
      <c r="J26" s="17">
        <v>18.100000000000001</v>
      </c>
      <c r="K26" s="17">
        <v>0.50700000000000001</v>
      </c>
      <c r="L26" s="17">
        <v>2.2000000000000002</v>
      </c>
      <c r="M26" s="17">
        <v>5.7</v>
      </c>
      <c r="N26" s="17">
        <v>0.38600000000000001</v>
      </c>
      <c r="O26" s="17">
        <v>6.9</v>
      </c>
      <c r="P26" s="17">
        <v>12.3</v>
      </c>
      <c r="Q26" s="17">
        <v>0.56299999999999994</v>
      </c>
      <c r="R26" s="17">
        <v>0.56799999999999995</v>
      </c>
      <c r="S26" s="17">
        <v>3.3</v>
      </c>
      <c r="T26" s="17">
        <v>4.3</v>
      </c>
      <c r="U26" s="17">
        <v>0.76900000000000002</v>
      </c>
      <c r="V26" s="17">
        <v>0.9</v>
      </c>
      <c r="W26" s="17">
        <v>6.8</v>
      </c>
      <c r="X26" s="17">
        <v>7.7</v>
      </c>
      <c r="Y26" s="17">
        <v>8.8000000000000007</v>
      </c>
      <c r="Z26" s="17">
        <v>0.8</v>
      </c>
      <c r="AA26" s="17">
        <v>0.5</v>
      </c>
      <c r="AB26" s="17">
        <v>3.7</v>
      </c>
      <c r="AC26" s="17">
        <v>1.4</v>
      </c>
      <c r="AD26" s="17">
        <v>23.8</v>
      </c>
      <c r="AE26" s="17"/>
      <c r="AG26" s="8" t="str">
        <v>LeBron James</v>
      </c>
      <c r="AH26" s="8" t="str">
        <v>LAL</v>
      </c>
    </row>
    <row r="27" spans="1:34" ht="17" x14ac:dyDescent="0.2">
      <c r="A27" s="1">
        <v>25</v>
      </c>
      <c r="B27" s="18" t="s">
        <v>334</v>
      </c>
      <c r="C27" s="17">
        <v>31</v>
      </c>
      <c r="D27" s="18" t="s">
        <v>77</v>
      </c>
      <c r="E27" s="17" t="s">
        <v>35</v>
      </c>
      <c r="F27" s="17">
        <v>30</v>
      </c>
      <c r="G27" s="17">
        <v>30</v>
      </c>
      <c r="H27" s="17">
        <v>33</v>
      </c>
      <c r="I27" s="17">
        <v>8.1</v>
      </c>
      <c r="J27" s="17">
        <v>16.899999999999999</v>
      </c>
      <c r="K27" s="17">
        <v>0.47799999999999998</v>
      </c>
      <c r="L27" s="17">
        <v>3.6</v>
      </c>
      <c r="M27" s="17">
        <v>8.1999999999999993</v>
      </c>
      <c r="N27" s="17">
        <v>0.437</v>
      </c>
      <c r="O27" s="17">
        <v>4.5</v>
      </c>
      <c r="P27" s="17">
        <v>8.8000000000000007</v>
      </c>
      <c r="Q27" s="17">
        <v>0.51700000000000002</v>
      </c>
      <c r="R27" s="17">
        <v>0.58399999999999996</v>
      </c>
      <c r="S27" s="17">
        <v>4</v>
      </c>
      <c r="T27" s="17">
        <v>4.7</v>
      </c>
      <c r="U27" s="17">
        <v>0.84399999999999997</v>
      </c>
      <c r="V27" s="17">
        <v>0.3</v>
      </c>
      <c r="W27" s="17">
        <v>3.1</v>
      </c>
      <c r="X27" s="17">
        <v>3.4</v>
      </c>
      <c r="Y27" s="17">
        <v>2.2999999999999998</v>
      </c>
      <c r="Z27" s="17">
        <v>1.2</v>
      </c>
      <c r="AA27" s="17">
        <v>0.2</v>
      </c>
      <c r="AB27" s="17">
        <v>2.2000000000000002</v>
      </c>
      <c r="AC27" s="17">
        <v>2</v>
      </c>
      <c r="AD27" s="17">
        <v>23.7</v>
      </c>
      <c r="AE27" s="17"/>
      <c r="AG27" s="8" t="str">
        <v>Norman Powell</v>
      </c>
      <c r="AH27" s="8" t="str">
        <v>LAC</v>
      </c>
    </row>
    <row r="28" spans="1:34" ht="17" x14ac:dyDescent="0.2">
      <c r="A28" s="1">
        <v>26</v>
      </c>
      <c r="B28" s="18" t="s">
        <v>197</v>
      </c>
      <c r="C28" s="17">
        <v>25</v>
      </c>
      <c r="D28" s="18" t="s">
        <v>33</v>
      </c>
      <c r="E28" s="17" t="s">
        <v>35</v>
      </c>
      <c r="F28" s="17">
        <v>36</v>
      </c>
      <c r="G28" s="17">
        <v>36</v>
      </c>
      <c r="H28" s="17">
        <v>35.4</v>
      </c>
      <c r="I28" s="17">
        <v>8.1</v>
      </c>
      <c r="J28" s="17">
        <v>17.399999999999999</v>
      </c>
      <c r="K28" s="17">
        <v>0.46700000000000003</v>
      </c>
      <c r="L28" s="17">
        <v>3.8</v>
      </c>
      <c r="M28" s="17">
        <v>9.6</v>
      </c>
      <c r="N28" s="17">
        <v>0.40100000000000002</v>
      </c>
      <c r="O28" s="17">
        <v>4.3</v>
      </c>
      <c r="P28" s="17">
        <v>7.9</v>
      </c>
      <c r="Q28" s="17">
        <v>0.54800000000000004</v>
      </c>
      <c r="R28" s="17">
        <v>0.57699999999999996</v>
      </c>
      <c r="S28" s="17">
        <v>3.4</v>
      </c>
      <c r="T28" s="17">
        <v>4</v>
      </c>
      <c r="U28" s="17">
        <v>0.86699999999999999</v>
      </c>
      <c r="V28" s="17">
        <v>0.3</v>
      </c>
      <c r="W28" s="17">
        <v>5.3</v>
      </c>
      <c r="X28" s="17">
        <v>5.6</v>
      </c>
      <c r="Y28" s="17">
        <v>5</v>
      </c>
      <c r="Z28" s="17">
        <v>0.8</v>
      </c>
      <c r="AA28" s="17">
        <v>0.1</v>
      </c>
      <c r="AB28" s="17">
        <v>2.4</v>
      </c>
      <c r="AC28" s="17">
        <v>1.5</v>
      </c>
      <c r="AD28" s="17">
        <v>23.6</v>
      </c>
      <c r="AE28" s="17"/>
      <c r="AG28" s="8" t="str">
        <v>Tyler Herro</v>
      </c>
      <c r="AH28" s="8" t="str">
        <v>MIA</v>
      </c>
    </row>
    <row r="29" spans="1:34" ht="17" x14ac:dyDescent="0.2">
      <c r="A29" s="1">
        <v>27</v>
      </c>
      <c r="B29" s="18" t="s">
        <v>253</v>
      </c>
      <c r="C29" s="17">
        <v>29</v>
      </c>
      <c r="D29" s="18" t="s">
        <v>84</v>
      </c>
      <c r="E29" s="17" t="s">
        <v>54</v>
      </c>
      <c r="F29" s="17">
        <v>32</v>
      </c>
      <c r="G29" s="17">
        <v>32</v>
      </c>
      <c r="H29" s="17">
        <v>33.6</v>
      </c>
      <c r="I29" s="17">
        <v>8.4</v>
      </c>
      <c r="J29" s="17">
        <v>16.5</v>
      </c>
      <c r="K29" s="17">
        <v>0.51200000000000001</v>
      </c>
      <c r="L29" s="17">
        <v>3.3</v>
      </c>
      <c r="M29" s="17">
        <v>7.3</v>
      </c>
      <c r="N29" s="17">
        <v>0.44400000000000001</v>
      </c>
      <c r="O29" s="17">
        <v>5.2</v>
      </c>
      <c r="P29" s="17">
        <v>9.1999999999999993</v>
      </c>
      <c r="Q29" s="17">
        <v>0.56699999999999995</v>
      </c>
      <c r="R29" s="17">
        <v>0.61099999999999999</v>
      </c>
      <c r="S29" s="17">
        <v>3.2</v>
      </c>
      <c r="T29" s="17">
        <v>3.9</v>
      </c>
      <c r="U29" s="17">
        <v>0.81699999999999995</v>
      </c>
      <c r="V29" s="17">
        <v>0.3</v>
      </c>
      <c r="W29" s="17">
        <v>4.3</v>
      </c>
      <c r="X29" s="17">
        <v>4.5999999999999996</v>
      </c>
      <c r="Y29" s="17">
        <v>4.5</v>
      </c>
      <c r="Z29" s="17">
        <v>0.8</v>
      </c>
      <c r="AA29" s="17">
        <v>0.3</v>
      </c>
      <c r="AB29" s="17">
        <v>2.9</v>
      </c>
      <c r="AC29" s="17">
        <v>1.6</v>
      </c>
      <c r="AD29" s="17">
        <v>23.3</v>
      </c>
      <c r="AE29" s="17"/>
      <c r="AG29" s="8" t="str">
        <v>Zach LaVine</v>
      </c>
      <c r="AH29" s="8" t="str">
        <v>CHI</v>
      </c>
    </row>
    <row r="30" spans="1:34" ht="17" x14ac:dyDescent="0.2">
      <c r="A30" s="1">
        <v>28</v>
      </c>
      <c r="B30" s="18" t="s">
        <v>74</v>
      </c>
      <c r="C30" s="17">
        <v>24</v>
      </c>
      <c r="D30" s="18" t="s">
        <v>30</v>
      </c>
      <c r="E30" s="17" t="s">
        <v>35</v>
      </c>
      <c r="F30" s="17">
        <v>30</v>
      </c>
      <c r="G30" s="17">
        <v>30</v>
      </c>
      <c r="H30" s="17">
        <v>34</v>
      </c>
      <c r="I30" s="17">
        <v>8.5</v>
      </c>
      <c r="J30" s="17">
        <v>18.2</v>
      </c>
      <c r="K30" s="17">
        <v>0.46600000000000003</v>
      </c>
      <c r="L30" s="17">
        <v>1.9</v>
      </c>
      <c r="M30" s="17">
        <v>5.5</v>
      </c>
      <c r="N30" s="17">
        <v>0.34300000000000003</v>
      </c>
      <c r="O30" s="17">
        <v>6.6</v>
      </c>
      <c r="P30" s="17">
        <v>12.7</v>
      </c>
      <c r="Q30" s="17">
        <v>0.52</v>
      </c>
      <c r="R30" s="17">
        <v>0.51800000000000002</v>
      </c>
      <c r="S30" s="17">
        <v>4.2</v>
      </c>
      <c r="T30" s="17">
        <v>5.9</v>
      </c>
      <c r="U30" s="17">
        <v>0.71199999999999997</v>
      </c>
      <c r="V30" s="17">
        <v>1</v>
      </c>
      <c r="W30" s="17">
        <v>5.7</v>
      </c>
      <c r="X30" s="17">
        <v>6.7</v>
      </c>
      <c r="Y30" s="17">
        <v>6</v>
      </c>
      <c r="Z30" s="17">
        <v>0.7</v>
      </c>
      <c r="AA30" s="17">
        <v>0.4</v>
      </c>
      <c r="AB30" s="17">
        <v>3.3</v>
      </c>
      <c r="AC30" s="17">
        <v>2.4</v>
      </c>
      <c r="AD30" s="17">
        <v>23.1</v>
      </c>
      <c r="AE30" s="17"/>
      <c r="AG30" s="8" t="str">
        <v>RJ Barrett</v>
      </c>
      <c r="AH30" s="8" t="str">
        <v>TOR</v>
      </c>
    </row>
    <row r="31" spans="1:34" ht="17" x14ac:dyDescent="0.2">
      <c r="A31" s="1">
        <v>29</v>
      </c>
      <c r="B31" s="18" t="s">
        <v>293</v>
      </c>
      <c r="C31" s="17">
        <v>28</v>
      </c>
      <c r="D31" s="18" t="s">
        <v>44</v>
      </c>
      <c r="E31" s="17" t="s">
        <v>35</v>
      </c>
      <c r="F31" s="17">
        <v>35</v>
      </c>
      <c r="G31" s="17">
        <v>35</v>
      </c>
      <c r="H31" s="17">
        <v>31.4</v>
      </c>
      <c r="I31" s="17">
        <v>8.1</v>
      </c>
      <c r="J31" s="17">
        <v>18</v>
      </c>
      <c r="K31" s="17">
        <v>0.45</v>
      </c>
      <c r="L31" s="17">
        <v>3.8</v>
      </c>
      <c r="M31" s="17">
        <v>9.1999999999999993</v>
      </c>
      <c r="N31" s="17">
        <v>0.41</v>
      </c>
      <c r="O31" s="17">
        <v>4.3</v>
      </c>
      <c r="P31" s="17">
        <v>8.8000000000000007</v>
      </c>
      <c r="Q31" s="17">
        <v>0.49199999999999999</v>
      </c>
      <c r="R31" s="17">
        <v>0.55500000000000005</v>
      </c>
      <c r="S31" s="17">
        <v>3</v>
      </c>
      <c r="T31" s="17">
        <v>3.7</v>
      </c>
      <c r="U31" s="17">
        <v>0.81299999999999994</v>
      </c>
      <c r="V31" s="17">
        <v>0.5</v>
      </c>
      <c r="W31" s="17">
        <v>3.9</v>
      </c>
      <c r="X31" s="17">
        <v>4.4000000000000004</v>
      </c>
      <c r="Y31" s="17">
        <v>4.5999999999999996</v>
      </c>
      <c r="Z31" s="17">
        <v>1.4</v>
      </c>
      <c r="AA31" s="17">
        <v>0.2</v>
      </c>
      <c r="AB31" s="17">
        <v>2</v>
      </c>
      <c r="AC31" s="17">
        <v>2</v>
      </c>
      <c r="AD31" s="17">
        <v>22.9</v>
      </c>
      <c r="AE31" s="17"/>
      <c r="AG31" s="8" t="str">
        <v>Donovan Mitchell</v>
      </c>
      <c r="AH31" s="8" t="str">
        <v>CLE</v>
      </c>
    </row>
    <row r="32" spans="1:34" ht="17" x14ac:dyDescent="0.2">
      <c r="A32" s="1">
        <v>30</v>
      </c>
      <c r="B32" s="18" t="s">
        <v>133</v>
      </c>
      <c r="C32" s="17">
        <v>36</v>
      </c>
      <c r="D32" s="18" t="s">
        <v>134</v>
      </c>
      <c r="E32" s="17" t="s">
        <v>46</v>
      </c>
      <c r="F32" s="17">
        <v>30</v>
      </c>
      <c r="G32" s="17">
        <v>30</v>
      </c>
      <c r="H32" s="17">
        <v>31.4</v>
      </c>
      <c r="I32" s="17">
        <v>7.5</v>
      </c>
      <c r="J32" s="17">
        <v>16.8</v>
      </c>
      <c r="K32" s="17">
        <v>0.44600000000000001</v>
      </c>
      <c r="L32" s="17">
        <v>4.4000000000000004</v>
      </c>
      <c r="M32" s="17">
        <v>10.6</v>
      </c>
      <c r="N32" s="17">
        <v>0.41099999999999998</v>
      </c>
      <c r="O32" s="17">
        <v>3.1</v>
      </c>
      <c r="P32" s="17">
        <v>6.2</v>
      </c>
      <c r="Q32" s="17">
        <v>0.505</v>
      </c>
      <c r="R32" s="17">
        <v>0.57499999999999996</v>
      </c>
      <c r="S32" s="17">
        <v>3.2</v>
      </c>
      <c r="T32" s="17">
        <v>3.4</v>
      </c>
      <c r="U32" s="19">
        <v>0.93200000000000005</v>
      </c>
      <c r="V32" s="17">
        <v>0.5</v>
      </c>
      <c r="W32" s="17">
        <v>4.5999999999999996</v>
      </c>
      <c r="X32" s="17">
        <v>5.0999999999999996</v>
      </c>
      <c r="Y32" s="17">
        <v>6.1</v>
      </c>
      <c r="Z32" s="17">
        <v>1.2</v>
      </c>
      <c r="AA32" s="17">
        <v>0.5</v>
      </c>
      <c r="AB32" s="17">
        <v>3.1</v>
      </c>
      <c r="AC32" s="17">
        <v>1.2</v>
      </c>
      <c r="AD32" s="17">
        <v>22.6</v>
      </c>
      <c r="AE32" s="17"/>
      <c r="AG32" s="8" t="str">
        <v>Stephen Curry</v>
      </c>
      <c r="AH32" s="8" t="str">
        <v>GSW</v>
      </c>
    </row>
    <row r="33" spans="1:34" ht="17" x14ac:dyDescent="0.2">
      <c r="A33" s="1">
        <v>31</v>
      </c>
      <c r="B33" s="18" t="s">
        <v>220</v>
      </c>
      <c r="C33" s="17">
        <v>25</v>
      </c>
      <c r="D33" s="18" t="s">
        <v>38</v>
      </c>
      <c r="E33" s="17" t="s">
        <v>29</v>
      </c>
      <c r="F33" s="17">
        <v>36</v>
      </c>
      <c r="G33" s="17">
        <v>36</v>
      </c>
      <c r="H33" s="17">
        <v>29.2</v>
      </c>
      <c r="I33" s="17">
        <v>8.1999999999999993</v>
      </c>
      <c r="J33" s="17">
        <v>16.399999999999999</v>
      </c>
      <c r="K33" s="17">
        <v>0.497</v>
      </c>
      <c r="L33" s="17">
        <v>1.8</v>
      </c>
      <c r="M33" s="17">
        <v>5.0999999999999996</v>
      </c>
      <c r="N33" s="17">
        <v>0.34599999999999997</v>
      </c>
      <c r="O33" s="17">
        <v>6.4</v>
      </c>
      <c r="P33" s="17">
        <v>11.3</v>
      </c>
      <c r="Q33" s="17">
        <v>0.56499999999999995</v>
      </c>
      <c r="R33" s="17">
        <v>0.55100000000000005</v>
      </c>
      <c r="S33" s="17">
        <v>4.5</v>
      </c>
      <c r="T33" s="17">
        <v>5.8</v>
      </c>
      <c r="U33" s="17">
        <v>0.78400000000000003</v>
      </c>
      <c r="V33" s="17">
        <v>1.5</v>
      </c>
      <c r="W33" s="17">
        <v>5</v>
      </c>
      <c r="X33" s="17">
        <v>6.4</v>
      </c>
      <c r="Y33" s="17">
        <v>2.1</v>
      </c>
      <c r="Z33" s="17">
        <v>1.5</v>
      </c>
      <c r="AA33" s="17">
        <v>1.8</v>
      </c>
      <c r="AB33" s="17">
        <v>2.2999999999999998</v>
      </c>
      <c r="AC33" s="17">
        <v>3.3</v>
      </c>
      <c r="AD33" s="17">
        <v>22.6</v>
      </c>
      <c r="AE33" s="17"/>
      <c r="AG33" s="8" t="str">
        <v>Jaren Jackson Jr.</v>
      </c>
      <c r="AH33" s="8" t="str">
        <v>MEM</v>
      </c>
    </row>
    <row r="34" spans="1:34" ht="17" x14ac:dyDescent="0.2">
      <c r="A34" s="1">
        <v>32</v>
      </c>
      <c r="B34" s="18" t="s">
        <v>433</v>
      </c>
      <c r="C34" s="17">
        <v>24</v>
      </c>
      <c r="D34" s="18" t="s">
        <v>47</v>
      </c>
      <c r="E34" s="17" t="s">
        <v>27</v>
      </c>
      <c r="F34" s="17">
        <v>7</v>
      </c>
      <c r="G34" s="17">
        <v>7</v>
      </c>
      <c r="H34" s="17">
        <v>30.6</v>
      </c>
      <c r="I34" s="17">
        <v>8</v>
      </c>
      <c r="J34" s="17">
        <v>17</v>
      </c>
      <c r="K34" s="17">
        <v>0.47099999999999997</v>
      </c>
      <c r="L34" s="17">
        <v>0.3</v>
      </c>
      <c r="M34" s="17">
        <v>1.1000000000000001</v>
      </c>
      <c r="N34" s="17">
        <v>0.25</v>
      </c>
      <c r="O34" s="17">
        <v>7.7</v>
      </c>
      <c r="P34" s="17">
        <v>15.9</v>
      </c>
      <c r="Q34" s="17">
        <v>0.48599999999999999</v>
      </c>
      <c r="R34" s="17">
        <v>0.47899999999999998</v>
      </c>
      <c r="S34" s="17">
        <v>6.3</v>
      </c>
      <c r="T34" s="17">
        <v>9.9</v>
      </c>
      <c r="U34" s="17">
        <v>0.63800000000000001</v>
      </c>
      <c r="V34" s="17">
        <v>2.9</v>
      </c>
      <c r="W34" s="17">
        <v>4.9000000000000004</v>
      </c>
      <c r="X34" s="17">
        <v>7.7</v>
      </c>
      <c r="Y34" s="17">
        <v>5.0999999999999996</v>
      </c>
      <c r="Z34" s="17">
        <v>1</v>
      </c>
      <c r="AA34" s="17">
        <v>1.1000000000000001</v>
      </c>
      <c r="AB34" s="17">
        <v>3.7</v>
      </c>
      <c r="AC34" s="17">
        <v>3</v>
      </c>
      <c r="AD34" s="17">
        <v>22.6</v>
      </c>
      <c r="AE34" s="17"/>
      <c r="AG34" s="8" t="str">
        <v>Zion Williamson</v>
      </c>
      <c r="AH34" s="8" t="str">
        <v>NOP</v>
      </c>
    </row>
    <row r="35" spans="1:34" ht="17" x14ac:dyDescent="0.2">
      <c r="A35" s="1">
        <v>33</v>
      </c>
      <c r="B35" s="18" t="s">
        <v>437</v>
      </c>
      <c r="C35" s="17">
        <v>26</v>
      </c>
      <c r="D35" s="18" t="s">
        <v>82</v>
      </c>
      <c r="E35" s="17" t="s">
        <v>46</v>
      </c>
      <c r="F35" s="17">
        <v>36</v>
      </c>
      <c r="G35" s="17">
        <v>36</v>
      </c>
      <c r="H35" s="17">
        <v>35.700000000000003</v>
      </c>
      <c r="I35" s="17">
        <v>6.8</v>
      </c>
      <c r="J35" s="17">
        <v>16.899999999999999</v>
      </c>
      <c r="K35" s="17">
        <v>0.40100000000000002</v>
      </c>
      <c r="L35" s="17">
        <v>2.9</v>
      </c>
      <c r="M35" s="17">
        <v>8.4</v>
      </c>
      <c r="N35" s="17">
        <v>0.33900000000000002</v>
      </c>
      <c r="O35" s="17">
        <v>3.9</v>
      </c>
      <c r="P35" s="17">
        <v>8.4</v>
      </c>
      <c r="Q35" s="17">
        <v>0.46400000000000002</v>
      </c>
      <c r="R35" s="17">
        <v>0.48599999999999999</v>
      </c>
      <c r="S35" s="17">
        <v>6.1</v>
      </c>
      <c r="T35" s="17">
        <v>7</v>
      </c>
      <c r="U35" s="17">
        <v>0.873</v>
      </c>
      <c r="V35" s="17">
        <v>0.5</v>
      </c>
      <c r="W35" s="17">
        <v>2.9</v>
      </c>
      <c r="X35" s="17">
        <v>3.4</v>
      </c>
      <c r="Y35" s="19">
        <v>12.1</v>
      </c>
      <c r="Z35" s="17">
        <v>1.3</v>
      </c>
      <c r="AA35" s="17">
        <v>0.2</v>
      </c>
      <c r="AB35" s="17">
        <v>4.3</v>
      </c>
      <c r="AC35" s="17">
        <v>1.9</v>
      </c>
      <c r="AD35" s="17">
        <v>22.5</v>
      </c>
      <c r="AE35" s="17"/>
      <c r="AG35" s="8" t="str">
        <v>Trae Young</v>
      </c>
      <c r="AH35" s="8" t="str">
        <v>ATL</v>
      </c>
    </row>
    <row r="36" spans="1:34" ht="17" x14ac:dyDescent="0.2">
      <c r="A36" s="1">
        <v>34</v>
      </c>
      <c r="B36" s="18" t="s">
        <v>214</v>
      </c>
      <c r="C36" s="17">
        <v>27</v>
      </c>
      <c r="D36" s="18" t="s">
        <v>47</v>
      </c>
      <c r="E36" s="17" t="s">
        <v>54</v>
      </c>
      <c r="F36" s="17">
        <v>18</v>
      </c>
      <c r="G36" s="17">
        <v>18</v>
      </c>
      <c r="H36" s="17">
        <v>33.1</v>
      </c>
      <c r="I36" s="17">
        <v>8.6</v>
      </c>
      <c r="J36" s="17">
        <v>18.5</v>
      </c>
      <c r="K36" s="17">
        <v>0.46500000000000002</v>
      </c>
      <c r="L36" s="17">
        <v>2.4</v>
      </c>
      <c r="M36" s="17">
        <v>6.4</v>
      </c>
      <c r="N36" s="17">
        <v>0.374</v>
      </c>
      <c r="O36" s="17">
        <v>6.2</v>
      </c>
      <c r="P36" s="17">
        <v>12.1</v>
      </c>
      <c r="Q36" s="17">
        <v>0.51400000000000001</v>
      </c>
      <c r="R36" s="17">
        <v>0.53</v>
      </c>
      <c r="S36" s="17">
        <v>2.6</v>
      </c>
      <c r="T36" s="17">
        <v>3.1</v>
      </c>
      <c r="U36" s="17">
        <v>0.85499999999999998</v>
      </c>
      <c r="V36" s="17">
        <v>0.9</v>
      </c>
      <c r="W36" s="17">
        <v>4.5999999999999996</v>
      </c>
      <c r="X36" s="17">
        <v>5.6</v>
      </c>
      <c r="Y36" s="17">
        <v>5.2</v>
      </c>
      <c r="Z36" s="17">
        <v>0.9</v>
      </c>
      <c r="AA36" s="17">
        <v>0.6</v>
      </c>
      <c r="AB36" s="17">
        <v>3.8</v>
      </c>
      <c r="AC36" s="17">
        <v>2.5</v>
      </c>
      <c r="AD36" s="17">
        <v>22.2</v>
      </c>
      <c r="AE36" s="17"/>
      <c r="AG36" s="8" t="str">
        <v>Brandon Ingram</v>
      </c>
      <c r="AH36" s="8" t="str">
        <v>NOP</v>
      </c>
    </row>
    <row r="37" spans="1:34" ht="17" x14ac:dyDescent="0.2">
      <c r="A37" s="1">
        <v>35</v>
      </c>
      <c r="B37" s="18" t="s">
        <v>278</v>
      </c>
      <c r="C37" s="17">
        <v>33</v>
      </c>
      <c r="D37" s="18" t="s">
        <v>47</v>
      </c>
      <c r="E37" s="17" t="s">
        <v>46</v>
      </c>
      <c r="F37" s="17">
        <v>25</v>
      </c>
      <c r="G37" s="17">
        <v>25</v>
      </c>
      <c r="H37" s="17">
        <v>33.299999999999997</v>
      </c>
      <c r="I37" s="17">
        <v>8.4</v>
      </c>
      <c r="J37" s="17">
        <v>18.600000000000001</v>
      </c>
      <c r="K37" s="17">
        <v>0.45400000000000001</v>
      </c>
      <c r="L37" s="17">
        <v>3.1</v>
      </c>
      <c r="M37" s="17">
        <v>8.4</v>
      </c>
      <c r="N37" s="17">
        <v>0.371</v>
      </c>
      <c r="O37" s="17">
        <v>5.3</v>
      </c>
      <c r="P37" s="17">
        <v>10.199999999999999</v>
      </c>
      <c r="Q37" s="17">
        <v>0.52200000000000002</v>
      </c>
      <c r="R37" s="17">
        <v>0.53800000000000003</v>
      </c>
      <c r="S37" s="17">
        <v>2.1</v>
      </c>
      <c r="T37" s="17">
        <v>3</v>
      </c>
      <c r="U37" s="17">
        <v>0.70699999999999996</v>
      </c>
      <c r="V37" s="17">
        <v>0.7</v>
      </c>
      <c r="W37" s="17">
        <v>3</v>
      </c>
      <c r="X37" s="17">
        <v>3.6</v>
      </c>
      <c r="Y37" s="17">
        <v>3.8</v>
      </c>
      <c r="Z37" s="17">
        <v>0.9</v>
      </c>
      <c r="AA37" s="17">
        <v>0.5</v>
      </c>
      <c r="AB37" s="17">
        <v>1.7</v>
      </c>
      <c r="AC37" s="17">
        <v>2.4</v>
      </c>
      <c r="AD37" s="17">
        <v>22.1</v>
      </c>
      <c r="AE37" s="17"/>
      <c r="AG37" s="8" t="str">
        <v>CJ McCollum</v>
      </c>
      <c r="AH37" s="8" t="str">
        <v>NOP</v>
      </c>
    </row>
    <row r="38" spans="1:34" ht="17" x14ac:dyDescent="0.2">
      <c r="A38" s="1">
        <v>36</v>
      </c>
      <c r="B38" s="18" t="s">
        <v>329</v>
      </c>
      <c r="C38" s="17">
        <v>25</v>
      </c>
      <c r="D38" s="18" t="s">
        <v>56</v>
      </c>
      <c r="E38" s="17" t="s">
        <v>35</v>
      </c>
      <c r="F38" s="17">
        <v>28</v>
      </c>
      <c r="G38" s="17">
        <v>28</v>
      </c>
      <c r="H38" s="17">
        <v>31.4</v>
      </c>
      <c r="I38" s="17">
        <v>7</v>
      </c>
      <c r="J38" s="17">
        <v>16.2</v>
      </c>
      <c r="K38" s="17">
        <v>0.435</v>
      </c>
      <c r="L38" s="17">
        <v>3.6</v>
      </c>
      <c r="M38" s="17">
        <v>8.9</v>
      </c>
      <c r="N38" s="17">
        <v>0.40600000000000003</v>
      </c>
      <c r="O38" s="17">
        <v>3.4</v>
      </c>
      <c r="P38" s="17">
        <v>7.3</v>
      </c>
      <c r="Q38" s="17">
        <v>0.47099999999999997</v>
      </c>
      <c r="R38" s="17">
        <v>0.54600000000000004</v>
      </c>
      <c r="S38" s="17">
        <v>4.0999999999999996</v>
      </c>
      <c r="T38" s="17">
        <v>4.9000000000000004</v>
      </c>
      <c r="U38" s="17">
        <v>0.84699999999999998</v>
      </c>
      <c r="V38" s="17">
        <v>0.4</v>
      </c>
      <c r="W38" s="17">
        <v>2.2999999999999998</v>
      </c>
      <c r="X38" s="17">
        <v>2.7</v>
      </c>
      <c r="Y38" s="17">
        <v>5</v>
      </c>
      <c r="Z38" s="17">
        <v>1.6</v>
      </c>
      <c r="AA38" s="17">
        <v>0.5</v>
      </c>
      <c r="AB38" s="17">
        <v>3.6</v>
      </c>
      <c r="AC38" s="17">
        <v>3.4</v>
      </c>
      <c r="AD38" s="17">
        <v>21.8</v>
      </c>
      <c r="AE38" s="17"/>
      <c r="AG38" s="8" t="str">
        <v>Jordan Poole</v>
      </c>
      <c r="AH38" s="8" t="str">
        <v>WAS</v>
      </c>
    </row>
    <row r="39" spans="1:34" ht="17" x14ac:dyDescent="0.2">
      <c r="A39" s="1">
        <v>37</v>
      </c>
      <c r="B39" s="18" t="s">
        <v>298</v>
      </c>
      <c r="C39" s="17">
        <v>25</v>
      </c>
      <c r="D39" s="18" t="s">
        <v>38</v>
      </c>
      <c r="E39" s="17" t="s">
        <v>46</v>
      </c>
      <c r="F39" s="17">
        <v>21</v>
      </c>
      <c r="G39" s="17">
        <v>21</v>
      </c>
      <c r="H39" s="17">
        <v>27.8</v>
      </c>
      <c r="I39" s="17">
        <v>7.2</v>
      </c>
      <c r="J39" s="17">
        <v>16</v>
      </c>
      <c r="K39" s="17">
        <v>0.45100000000000001</v>
      </c>
      <c r="L39" s="17">
        <v>1.5</v>
      </c>
      <c r="M39" s="17">
        <v>4.8</v>
      </c>
      <c r="N39" s="17">
        <v>0.317</v>
      </c>
      <c r="O39" s="17">
        <v>5.7</v>
      </c>
      <c r="P39" s="17">
        <v>11.1</v>
      </c>
      <c r="Q39" s="17">
        <v>0.50900000000000001</v>
      </c>
      <c r="R39" s="17">
        <v>0.499</v>
      </c>
      <c r="S39" s="17">
        <v>5.6</v>
      </c>
      <c r="T39" s="17">
        <v>6.7</v>
      </c>
      <c r="U39" s="17">
        <v>0.83</v>
      </c>
      <c r="V39" s="17">
        <v>0.7</v>
      </c>
      <c r="W39" s="17">
        <v>3.7</v>
      </c>
      <c r="X39" s="17">
        <v>4.3</v>
      </c>
      <c r="Y39" s="17">
        <v>7.7</v>
      </c>
      <c r="Z39" s="17">
        <v>1.1000000000000001</v>
      </c>
      <c r="AA39" s="17">
        <v>0.4</v>
      </c>
      <c r="AB39" s="17">
        <v>3.8</v>
      </c>
      <c r="AC39" s="17">
        <v>1.6</v>
      </c>
      <c r="AD39" s="17">
        <v>21.5</v>
      </c>
      <c r="AE39" s="17"/>
      <c r="AG39" s="8" t="str">
        <v>Ja Morant</v>
      </c>
      <c r="AH39" s="8" t="str">
        <v>MEM</v>
      </c>
    </row>
    <row r="40" spans="1:34" ht="17" x14ac:dyDescent="0.2">
      <c r="A40" s="1">
        <v>38</v>
      </c>
      <c r="B40" s="18" t="s">
        <v>187</v>
      </c>
      <c r="C40" s="17">
        <v>35</v>
      </c>
      <c r="D40" s="18" t="s">
        <v>77</v>
      </c>
      <c r="E40" s="17" t="s">
        <v>46</v>
      </c>
      <c r="F40" s="17">
        <v>35</v>
      </c>
      <c r="G40" s="17">
        <v>35</v>
      </c>
      <c r="H40" s="17">
        <v>33.700000000000003</v>
      </c>
      <c r="I40" s="17">
        <v>6.2</v>
      </c>
      <c r="J40" s="17">
        <v>15.9</v>
      </c>
      <c r="K40" s="17">
        <v>0.38900000000000001</v>
      </c>
      <c r="L40" s="17">
        <v>2.8</v>
      </c>
      <c r="M40" s="17">
        <v>8.1999999999999993</v>
      </c>
      <c r="N40" s="17">
        <v>0.33900000000000002</v>
      </c>
      <c r="O40" s="17">
        <v>3.4</v>
      </c>
      <c r="P40" s="17">
        <v>7.7</v>
      </c>
      <c r="Q40" s="17">
        <v>0.442</v>
      </c>
      <c r="R40" s="17">
        <v>0.47699999999999998</v>
      </c>
      <c r="S40" s="17">
        <v>6.3</v>
      </c>
      <c r="T40" s="17">
        <v>7.1</v>
      </c>
      <c r="U40" s="17">
        <v>0.88</v>
      </c>
      <c r="V40" s="17">
        <v>0.6</v>
      </c>
      <c r="W40" s="17">
        <v>5.4</v>
      </c>
      <c r="X40" s="17">
        <v>6</v>
      </c>
      <c r="Y40" s="17">
        <v>7.9</v>
      </c>
      <c r="Z40" s="17">
        <v>1.5</v>
      </c>
      <c r="AA40" s="17">
        <v>0.7</v>
      </c>
      <c r="AB40" s="17">
        <v>4.7</v>
      </c>
      <c r="AC40" s="17">
        <v>2</v>
      </c>
      <c r="AD40" s="17">
        <v>21.4</v>
      </c>
      <c r="AE40" s="17"/>
      <c r="AG40" s="8" t="str">
        <v>James Harden</v>
      </c>
      <c r="AH40" s="8" t="str">
        <v>LAC</v>
      </c>
    </row>
    <row r="41" spans="1:34" ht="17" x14ac:dyDescent="0.2">
      <c r="A41" s="1">
        <v>39</v>
      </c>
      <c r="B41" s="18" t="s">
        <v>286</v>
      </c>
      <c r="C41" s="17">
        <v>22</v>
      </c>
      <c r="D41" s="18" t="s">
        <v>61</v>
      </c>
      <c r="E41" s="17" t="s">
        <v>54</v>
      </c>
      <c r="F41" s="17">
        <v>25</v>
      </c>
      <c r="G41" s="17">
        <v>25</v>
      </c>
      <c r="H41" s="17">
        <v>34.299999999999997</v>
      </c>
      <c r="I41" s="17">
        <v>7.4</v>
      </c>
      <c r="J41" s="17">
        <v>18.3</v>
      </c>
      <c r="K41" s="17">
        <v>0.40300000000000002</v>
      </c>
      <c r="L41" s="17">
        <v>3.9</v>
      </c>
      <c r="M41" s="17">
        <v>11</v>
      </c>
      <c r="N41" s="17">
        <v>0.35599999999999998</v>
      </c>
      <c r="O41" s="17">
        <v>3.4</v>
      </c>
      <c r="P41" s="17">
        <v>7.3</v>
      </c>
      <c r="Q41" s="17">
        <v>0.47299999999999998</v>
      </c>
      <c r="R41" s="17">
        <v>0.51</v>
      </c>
      <c r="S41" s="17">
        <v>2.5</v>
      </c>
      <c r="T41" s="17">
        <v>2.8</v>
      </c>
      <c r="U41" s="17">
        <v>0.88700000000000001</v>
      </c>
      <c r="V41" s="17">
        <v>0.9</v>
      </c>
      <c r="W41" s="17">
        <v>4</v>
      </c>
      <c r="X41" s="17">
        <v>4.9000000000000004</v>
      </c>
      <c r="Y41" s="17">
        <v>3.6</v>
      </c>
      <c r="Z41" s="17">
        <v>1</v>
      </c>
      <c r="AA41" s="17">
        <v>0.8</v>
      </c>
      <c r="AB41" s="17">
        <v>2.8</v>
      </c>
      <c r="AC41" s="17">
        <v>2.7</v>
      </c>
      <c r="AD41" s="17">
        <v>21.2</v>
      </c>
      <c r="AE41" s="17"/>
      <c r="AG41" s="8" t="str">
        <v>Brandon Miller</v>
      </c>
      <c r="AH41" s="8" t="str">
        <v>CHO</v>
      </c>
    </row>
    <row r="42" spans="1:34" ht="17" x14ac:dyDescent="0.2">
      <c r="A42" s="1">
        <v>40</v>
      </c>
      <c r="B42" s="18" t="s">
        <v>164</v>
      </c>
      <c r="C42" s="17">
        <v>25</v>
      </c>
      <c r="D42" s="18" t="s">
        <v>44</v>
      </c>
      <c r="E42" s="17" t="s">
        <v>46</v>
      </c>
      <c r="F42" s="17">
        <v>36</v>
      </c>
      <c r="G42" s="17">
        <v>36</v>
      </c>
      <c r="H42" s="17">
        <v>30.2</v>
      </c>
      <c r="I42" s="17">
        <v>7.5</v>
      </c>
      <c r="J42" s="17">
        <v>15.1</v>
      </c>
      <c r="K42" s="17">
        <v>0.5</v>
      </c>
      <c r="L42" s="17">
        <v>2.9</v>
      </c>
      <c r="M42" s="17">
        <v>6.8</v>
      </c>
      <c r="N42" s="17">
        <v>0.433</v>
      </c>
      <c r="O42" s="17">
        <v>4.5999999999999996</v>
      </c>
      <c r="P42" s="17">
        <v>8.3000000000000007</v>
      </c>
      <c r="Q42" s="17">
        <v>0.55600000000000005</v>
      </c>
      <c r="R42" s="17">
        <v>0.59799999999999998</v>
      </c>
      <c r="S42" s="17">
        <v>3</v>
      </c>
      <c r="T42" s="17">
        <v>3.3</v>
      </c>
      <c r="U42" s="17">
        <v>0.91500000000000004</v>
      </c>
      <c r="V42" s="17">
        <v>0.4</v>
      </c>
      <c r="W42" s="17">
        <v>2.1</v>
      </c>
      <c r="X42" s="17">
        <v>2.6</v>
      </c>
      <c r="Y42" s="17">
        <v>6.7</v>
      </c>
      <c r="Z42" s="17">
        <v>1.1000000000000001</v>
      </c>
      <c r="AA42" s="17">
        <v>0.2</v>
      </c>
      <c r="AB42" s="17">
        <v>2.2999999999999998</v>
      </c>
      <c r="AC42" s="17">
        <v>2.1</v>
      </c>
      <c r="AD42" s="17">
        <v>21</v>
      </c>
      <c r="AE42" s="17"/>
      <c r="AG42" s="8" t="str">
        <v>Darius Garland</v>
      </c>
      <c r="AH42" s="8" t="str">
        <v>CLE</v>
      </c>
    </row>
    <row r="43" spans="1:34" ht="17" x14ac:dyDescent="0.2">
      <c r="A43" s="1">
        <v>41</v>
      </c>
      <c r="B43" s="18" t="s">
        <v>139</v>
      </c>
      <c r="C43" s="17">
        <v>35</v>
      </c>
      <c r="D43" s="18" t="s">
        <v>72</v>
      </c>
      <c r="E43" s="17" t="s">
        <v>54</v>
      </c>
      <c r="F43" s="17">
        <v>32</v>
      </c>
      <c r="G43" s="17">
        <v>32</v>
      </c>
      <c r="H43" s="17">
        <v>35.4</v>
      </c>
      <c r="I43" s="17">
        <v>7.8</v>
      </c>
      <c r="J43" s="17">
        <v>16</v>
      </c>
      <c r="K43" s="17">
        <v>0.48599999999999999</v>
      </c>
      <c r="L43" s="17">
        <v>0.7</v>
      </c>
      <c r="M43" s="17">
        <v>2.2999999999999998</v>
      </c>
      <c r="N43" s="17">
        <v>0.307</v>
      </c>
      <c r="O43" s="17">
        <v>7.1</v>
      </c>
      <c r="P43" s="17">
        <v>13.7</v>
      </c>
      <c r="Q43" s="17">
        <v>0.51700000000000002</v>
      </c>
      <c r="R43" s="17">
        <v>0.50900000000000001</v>
      </c>
      <c r="S43" s="17">
        <v>4.5999999999999996</v>
      </c>
      <c r="T43" s="17">
        <v>5.3</v>
      </c>
      <c r="U43" s="17">
        <v>0.85899999999999999</v>
      </c>
      <c r="V43" s="17">
        <v>0.6</v>
      </c>
      <c r="W43" s="17">
        <v>3.2</v>
      </c>
      <c r="X43" s="17">
        <v>3.8</v>
      </c>
      <c r="Y43" s="17">
        <v>3.8</v>
      </c>
      <c r="Z43" s="17">
        <v>1.3</v>
      </c>
      <c r="AA43" s="17">
        <v>0.4</v>
      </c>
      <c r="AB43" s="17">
        <v>1.6</v>
      </c>
      <c r="AC43" s="17">
        <v>2.1</v>
      </c>
      <c r="AD43" s="17">
        <v>20.8</v>
      </c>
      <c r="AE43" s="17"/>
      <c r="AG43" s="8" t="str">
        <v>DeMar DeRozan</v>
      </c>
      <c r="AH43" s="8" t="str">
        <v>SAC</v>
      </c>
    </row>
    <row r="44" spans="1:34" ht="17" x14ac:dyDescent="0.2">
      <c r="A44" s="1">
        <v>42</v>
      </c>
      <c r="B44" s="18" t="s">
        <v>301</v>
      </c>
      <c r="C44" s="17">
        <v>24</v>
      </c>
      <c r="D44" s="18" t="s">
        <v>47</v>
      </c>
      <c r="E44" s="17" t="s">
        <v>54</v>
      </c>
      <c r="F44" s="17">
        <v>23</v>
      </c>
      <c r="G44" s="17">
        <v>21</v>
      </c>
      <c r="H44" s="17">
        <v>34.1</v>
      </c>
      <c r="I44" s="17">
        <v>7</v>
      </c>
      <c r="J44" s="17">
        <v>15.8</v>
      </c>
      <c r="K44" s="17">
        <v>0.44500000000000001</v>
      </c>
      <c r="L44" s="17">
        <v>3.1</v>
      </c>
      <c r="M44" s="17">
        <v>8.6</v>
      </c>
      <c r="N44" s="17">
        <v>0.36399999999999999</v>
      </c>
      <c r="O44" s="17">
        <v>3.9</v>
      </c>
      <c r="P44" s="17">
        <v>7.2</v>
      </c>
      <c r="Q44" s="17">
        <v>0.54200000000000004</v>
      </c>
      <c r="R44" s="17">
        <v>0.54400000000000004</v>
      </c>
      <c r="S44" s="17">
        <v>3.4</v>
      </c>
      <c r="T44" s="17">
        <v>3.8</v>
      </c>
      <c r="U44" s="17">
        <v>0.90800000000000003</v>
      </c>
      <c r="V44" s="17">
        <v>1</v>
      </c>
      <c r="W44" s="17">
        <v>3.7</v>
      </c>
      <c r="X44" s="17">
        <v>4.7</v>
      </c>
      <c r="Y44" s="17">
        <v>2.7</v>
      </c>
      <c r="Z44" s="17">
        <v>1.1000000000000001</v>
      </c>
      <c r="AA44" s="17">
        <v>0.7</v>
      </c>
      <c r="AB44" s="17">
        <v>1.6</v>
      </c>
      <c r="AC44" s="17">
        <v>2.2999999999999998</v>
      </c>
      <c r="AD44" s="17">
        <v>20.7</v>
      </c>
      <c r="AE44" s="17"/>
      <c r="AG44" s="8" t="str">
        <v>Trey Murphy III</v>
      </c>
      <c r="AH44" s="8" t="str">
        <v>NOP</v>
      </c>
    </row>
    <row r="45" spans="1:34" ht="17" x14ac:dyDescent="0.2">
      <c r="A45" s="1">
        <v>43</v>
      </c>
      <c r="B45" s="18" t="s">
        <v>426</v>
      </c>
      <c r="C45" s="17">
        <v>23</v>
      </c>
      <c r="D45" s="18" t="s">
        <v>81</v>
      </c>
      <c r="E45" s="17" t="s">
        <v>35</v>
      </c>
      <c r="F45" s="17">
        <v>36</v>
      </c>
      <c r="G45" s="17">
        <v>36</v>
      </c>
      <c r="H45" s="17">
        <v>32.6</v>
      </c>
      <c r="I45" s="17">
        <v>8.1</v>
      </c>
      <c r="J45" s="17">
        <v>17</v>
      </c>
      <c r="K45" s="17">
        <v>0.48</v>
      </c>
      <c r="L45" s="17">
        <v>1.8</v>
      </c>
      <c r="M45" s="17">
        <v>5.0999999999999996</v>
      </c>
      <c r="N45" s="17">
        <v>0.35</v>
      </c>
      <c r="O45" s="17">
        <v>6.4</v>
      </c>
      <c r="P45" s="17">
        <v>11.9</v>
      </c>
      <c r="Q45" s="17">
        <v>0.53500000000000003</v>
      </c>
      <c r="R45" s="17">
        <v>0.53200000000000003</v>
      </c>
      <c r="S45" s="17">
        <v>2.6</v>
      </c>
      <c r="T45" s="17">
        <v>3.4</v>
      </c>
      <c r="U45" s="17">
        <v>0.77200000000000002</v>
      </c>
      <c r="V45" s="17">
        <v>0.9</v>
      </c>
      <c r="W45" s="17">
        <v>4.9000000000000004</v>
      </c>
      <c r="X45" s="17">
        <v>5.8</v>
      </c>
      <c r="Y45" s="17">
        <v>5.3</v>
      </c>
      <c r="Z45" s="17">
        <v>1.8</v>
      </c>
      <c r="AA45" s="17">
        <v>0.7</v>
      </c>
      <c r="AB45" s="17">
        <v>2.2999999999999998</v>
      </c>
      <c r="AC45" s="17">
        <v>2.6</v>
      </c>
      <c r="AD45" s="17">
        <v>20.7</v>
      </c>
      <c r="AE45" s="17"/>
      <c r="AG45" s="8" t="str">
        <v>Jalen Williams</v>
      </c>
      <c r="AH45" s="8" t="str">
        <v>OKC</v>
      </c>
    </row>
    <row r="46" spans="1:34" ht="17" x14ac:dyDescent="0.2">
      <c r="A46" s="1">
        <v>44</v>
      </c>
      <c r="B46" s="18" t="s">
        <v>359</v>
      </c>
      <c r="C46" s="17">
        <v>28</v>
      </c>
      <c r="D46" s="18" t="s">
        <v>72</v>
      </c>
      <c r="E46" s="17" t="s">
        <v>29</v>
      </c>
      <c r="F46" s="17">
        <v>34</v>
      </c>
      <c r="G46" s="17">
        <v>34</v>
      </c>
      <c r="H46" s="17">
        <v>35.9</v>
      </c>
      <c r="I46" s="17">
        <v>8.1</v>
      </c>
      <c r="J46" s="17">
        <v>13.7</v>
      </c>
      <c r="K46" s="17">
        <v>0.59199999999999997</v>
      </c>
      <c r="L46" s="17">
        <v>1.1000000000000001</v>
      </c>
      <c r="M46" s="17">
        <v>2.4</v>
      </c>
      <c r="N46" s="17">
        <v>0.44400000000000001</v>
      </c>
      <c r="O46" s="17">
        <v>7.1</v>
      </c>
      <c r="P46" s="17">
        <v>11.3</v>
      </c>
      <c r="Q46" s="17">
        <v>0.623</v>
      </c>
      <c r="R46" s="17">
        <v>0.63100000000000001</v>
      </c>
      <c r="S46" s="17">
        <v>3.3</v>
      </c>
      <c r="T46" s="17">
        <v>4.2</v>
      </c>
      <c r="U46" s="17">
        <v>0.77800000000000002</v>
      </c>
      <c r="V46" s="17">
        <v>3.8</v>
      </c>
      <c r="W46" s="17">
        <v>10</v>
      </c>
      <c r="X46" s="17">
        <v>13.8</v>
      </c>
      <c r="Y46" s="17">
        <v>6.3</v>
      </c>
      <c r="Z46" s="17">
        <v>0.7</v>
      </c>
      <c r="AA46" s="17">
        <v>0.5</v>
      </c>
      <c r="AB46" s="17">
        <v>2.9</v>
      </c>
      <c r="AC46" s="17">
        <v>3.6</v>
      </c>
      <c r="AD46" s="17">
        <v>20.6</v>
      </c>
      <c r="AE46" s="17"/>
      <c r="AG46" s="8" t="str">
        <v>Domantas Sabonis</v>
      </c>
      <c r="AH46" s="8" t="str">
        <v>SAC</v>
      </c>
    </row>
    <row r="47" spans="1:34" ht="17" x14ac:dyDescent="0.2">
      <c r="A47" s="1">
        <v>45</v>
      </c>
      <c r="B47" s="18" t="s">
        <v>73</v>
      </c>
      <c r="C47" s="17">
        <v>23</v>
      </c>
      <c r="D47" s="18" t="s">
        <v>30</v>
      </c>
      <c r="E47" s="17" t="s">
        <v>27</v>
      </c>
      <c r="F47" s="17">
        <v>25</v>
      </c>
      <c r="G47" s="17">
        <v>25</v>
      </c>
      <c r="H47" s="17">
        <v>34.4</v>
      </c>
      <c r="I47" s="17">
        <v>7.9</v>
      </c>
      <c r="J47" s="17">
        <v>16.7</v>
      </c>
      <c r="K47" s="17">
        <v>0.47499999999999998</v>
      </c>
      <c r="L47" s="17">
        <v>1.5</v>
      </c>
      <c r="M47" s="17">
        <v>5.3</v>
      </c>
      <c r="N47" s="17">
        <v>0.28799999999999998</v>
      </c>
      <c r="O47" s="17">
        <v>6.4</v>
      </c>
      <c r="P47" s="17">
        <v>11.4</v>
      </c>
      <c r="Q47" s="17">
        <v>0.56100000000000005</v>
      </c>
      <c r="R47" s="17">
        <v>0.52</v>
      </c>
      <c r="S47" s="17">
        <v>3.1</v>
      </c>
      <c r="T47" s="17">
        <v>4.2</v>
      </c>
      <c r="U47" s="17">
        <v>0.72599999999999998</v>
      </c>
      <c r="V47" s="17">
        <v>1.6</v>
      </c>
      <c r="W47" s="17">
        <v>6.4</v>
      </c>
      <c r="X47" s="17">
        <v>8</v>
      </c>
      <c r="Y47" s="17">
        <v>6.5</v>
      </c>
      <c r="Z47" s="17">
        <v>1.4</v>
      </c>
      <c r="AA47" s="17">
        <v>0.8</v>
      </c>
      <c r="AB47" s="17">
        <v>3.6</v>
      </c>
      <c r="AC47" s="17">
        <v>2.2000000000000002</v>
      </c>
      <c r="AD47" s="17">
        <v>20.399999999999999</v>
      </c>
      <c r="AE47" s="17"/>
      <c r="AG47" s="8" t="str">
        <v>Scottie Barnes</v>
      </c>
      <c r="AH47" s="8" t="str">
        <v>TOR</v>
      </c>
    </row>
    <row r="48" spans="1:34" ht="17" x14ac:dyDescent="0.2">
      <c r="A48" s="1">
        <v>46</v>
      </c>
      <c r="B48" s="18" t="s">
        <v>179</v>
      </c>
      <c r="C48" s="17">
        <v>22</v>
      </c>
      <c r="D48" s="18" t="s">
        <v>98</v>
      </c>
      <c r="E48" s="17" t="s">
        <v>35</v>
      </c>
      <c r="F48" s="17">
        <v>37</v>
      </c>
      <c r="G48" s="17">
        <v>37</v>
      </c>
      <c r="H48" s="17">
        <v>32.799999999999997</v>
      </c>
      <c r="I48" s="17">
        <v>7.2</v>
      </c>
      <c r="J48" s="17">
        <v>17.2</v>
      </c>
      <c r="K48" s="17">
        <v>0.41899999999999998</v>
      </c>
      <c r="L48" s="17">
        <v>2.7</v>
      </c>
      <c r="M48" s="17">
        <v>8.1</v>
      </c>
      <c r="N48" s="17">
        <v>0.33600000000000002</v>
      </c>
      <c r="O48" s="17">
        <v>4.5</v>
      </c>
      <c r="P48" s="17">
        <v>9.1</v>
      </c>
      <c r="Q48" s="17">
        <v>0.49299999999999999</v>
      </c>
      <c r="R48" s="17">
        <v>0.498</v>
      </c>
      <c r="S48" s="17">
        <v>3.4</v>
      </c>
      <c r="T48" s="17">
        <v>3.9</v>
      </c>
      <c r="U48" s="17">
        <v>0.86099999999999999</v>
      </c>
      <c r="V48" s="17">
        <v>0.6</v>
      </c>
      <c r="W48" s="17">
        <v>3.9</v>
      </c>
      <c r="X48" s="17">
        <v>4.5</v>
      </c>
      <c r="Y48" s="17">
        <v>2.5</v>
      </c>
      <c r="Z48" s="17">
        <v>1</v>
      </c>
      <c r="AA48" s="17">
        <v>0.3</v>
      </c>
      <c r="AB48" s="17">
        <v>2.2999999999999998</v>
      </c>
      <c r="AC48" s="17">
        <v>1.7</v>
      </c>
      <c r="AD48" s="17">
        <v>20.399999999999999</v>
      </c>
      <c r="AE48" s="17"/>
      <c r="AG48" s="8" t="str">
        <v>Jalen Green</v>
      </c>
      <c r="AH48" s="8" t="str">
        <v>HOU</v>
      </c>
    </row>
    <row r="49" spans="1:34" ht="17" x14ac:dyDescent="0.2">
      <c r="A49" s="1">
        <v>47</v>
      </c>
      <c r="B49" s="18" t="s">
        <v>404</v>
      </c>
      <c r="C49" s="17">
        <v>34</v>
      </c>
      <c r="D49" s="18" t="s">
        <v>84</v>
      </c>
      <c r="E49" s="17" t="s">
        <v>29</v>
      </c>
      <c r="F49" s="17">
        <v>36</v>
      </c>
      <c r="G49" s="17">
        <v>36</v>
      </c>
      <c r="H49" s="17">
        <v>32.1</v>
      </c>
      <c r="I49" s="17">
        <v>8.1999999999999993</v>
      </c>
      <c r="J49" s="17">
        <v>14.9</v>
      </c>
      <c r="K49" s="17">
        <v>0.55300000000000005</v>
      </c>
      <c r="L49" s="17">
        <v>2</v>
      </c>
      <c r="M49" s="17">
        <v>4.8</v>
      </c>
      <c r="N49" s="17">
        <v>0.42399999999999999</v>
      </c>
      <c r="O49" s="17">
        <v>6.2</v>
      </c>
      <c r="P49" s="17">
        <v>10.1</v>
      </c>
      <c r="Q49" s="17">
        <v>0.61399999999999999</v>
      </c>
      <c r="R49" s="17">
        <v>0.621</v>
      </c>
      <c r="S49" s="17">
        <v>1.7</v>
      </c>
      <c r="T49" s="17">
        <v>2.1</v>
      </c>
      <c r="U49" s="17">
        <v>0.83799999999999997</v>
      </c>
      <c r="V49" s="17">
        <v>2.2999999999999998</v>
      </c>
      <c r="W49" s="17">
        <v>7.8</v>
      </c>
      <c r="X49" s="17">
        <v>10.1</v>
      </c>
      <c r="Y49" s="17">
        <v>3.3</v>
      </c>
      <c r="Z49" s="17">
        <v>0.8</v>
      </c>
      <c r="AA49" s="17">
        <v>0.7</v>
      </c>
      <c r="AB49" s="17">
        <v>1.6</v>
      </c>
      <c r="AC49" s="17">
        <v>2.4</v>
      </c>
      <c r="AD49" s="17">
        <v>20.2</v>
      </c>
      <c r="AE49" s="17"/>
      <c r="AG49" s="8" t="str">
        <v>Nikola Vučević</v>
      </c>
      <c r="AH49" s="8" t="str">
        <v>CHI</v>
      </c>
    </row>
    <row r="50" spans="1:34" ht="17" x14ac:dyDescent="0.2">
      <c r="A50" s="1">
        <v>48</v>
      </c>
      <c r="B50" s="18" t="s">
        <v>269</v>
      </c>
      <c r="C50" s="17">
        <v>27</v>
      </c>
      <c r="D50" s="18" t="s">
        <v>36</v>
      </c>
      <c r="E50" s="17" t="s">
        <v>27</v>
      </c>
      <c r="F50" s="17">
        <v>30</v>
      </c>
      <c r="G50" s="17">
        <v>30</v>
      </c>
      <c r="H50" s="17">
        <v>31.8</v>
      </c>
      <c r="I50" s="17">
        <v>6.3</v>
      </c>
      <c r="J50" s="17">
        <v>14.7</v>
      </c>
      <c r="K50" s="17">
        <v>0.43</v>
      </c>
      <c r="L50" s="17">
        <v>3.1</v>
      </c>
      <c r="M50" s="17">
        <v>8.3000000000000007</v>
      </c>
      <c r="N50" s="17">
        <v>0.371</v>
      </c>
      <c r="O50" s="17">
        <v>3.2</v>
      </c>
      <c r="P50" s="17">
        <v>6.4</v>
      </c>
      <c r="Q50" s="17">
        <v>0.505</v>
      </c>
      <c r="R50" s="17">
        <v>0.53400000000000003</v>
      </c>
      <c r="S50" s="17">
        <v>4.3</v>
      </c>
      <c r="T50" s="17">
        <v>4.9000000000000004</v>
      </c>
      <c r="U50" s="17">
        <v>0.88400000000000001</v>
      </c>
      <c r="V50" s="17">
        <v>1.7</v>
      </c>
      <c r="W50" s="17">
        <v>4.4000000000000004</v>
      </c>
      <c r="X50" s="17">
        <v>6.1</v>
      </c>
      <c r="Y50" s="17">
        <v>1.9</v>
      </c>
      <c r="Z50" s="17">
        <v>0.8</v>
      </c>
      <c r="AA50" s="17">
        <v>0.3</v>
      </c>
      <c r="AB50" s="17">
        <v>1.4</v>
      </c>
      <c r="AC50" s="17">
        <v>1.6</v>
      </c>
      <c r="AD50" s="17">
        <v>20</v>
      </c>
      <c r="AE50" s="17"/>
      <c r="AG50" s="8" t="str">
        <v>Lauri Markkanen</v>
      </c>
      <c r="AH50" s="8" t="str">
        <v>UTA</v>
      </c>
    </row>
    <row r="51" spans="1:34" ht="17" x14ac:dyDescent="0.2">
      <c r="A51" s="1">
        <v>49</v>
      </c>
      <c r="B51" s="18" t="s">
        <v>229</v>
      </c>
      <c r="C51" s="17">
        <v>23</v>
      </c>
      <c r="D51" s="18" t="s">
        <v>82</v>
      </c>
      <c r="E51" s="17" t="s">
        <v>54</v>
      </c>
      <c r="F51" s="17">
        <v>32</v>
      </c>
      <c r="G51" s="17">
        <v>32</v>
      </c>
      <c r="H51" s="17">
        <v>36.299999999999997</v>
      </c>
      <c r="I51" s="17">
        <v>7.9</v>
      </c>
      <c r="J51" s="17">
        <v>15.4</v>
      </c>
      <c r="K51" s="17">
        <v>0.51200000000000001</v>
      </c>
      <c r="L51" s="17">
        <v>1.4</v>
      </c>
      <c r="M51" s="17">
        <v>4.2</v>
      </c>
      <c r="N51" s="17">
        <v>0.33100000000000002</v>
      </c>
      <c r="O51" s="17">
        <v>6.5</v>
      </c>
      <c r="P51" s="17">
        <v>11.3</v>
      </c>
      <c r="Q51" s="17">
        <v>0.57899999999999996</v>
      </c>
      <c r="R51" s="17">
        <v>0.55700000000000005</v>
      </c>
      <c r="S51" s="17">
        <v>2.7</v>
      </c>
      <c r="T51" s="17">
        <v>3.5</v>
      </c>
      <c r="U51" s="17">
        <v>0.752</v>
      </c>
      <c r="V51" s="17">
        <v>1.8</v>
      </c>
      <c r="W51" s="17">
        <v>8.3000000000000007</v>
      </c>
      <c r="X51" s="17">
        <v>10.1</v>
      </c>
      <c r="Y51" s="17">
        <v>5.3</v>
      </c>
      <c r="Z51" s="17">
        <v>1.5</v>
      </c>
      <c r="AA51" s="17">
        <v>1.1000000000000001</v>
      </c>
      <c r="AB51" s="17">
        <v>3</v>
      </c>
      <c r="AC51" s="17">
        <v>2</v>
      </c>
      <c r="AD51" s="17">
        <v>19.8</v>
      </c>
      <c r="AE51" s="17"/>
      <c r="AG51" s="8" t="str">
        <v>Jalen Johnson</v>
      </c>
      <c r="AH51" s="8" t="str">
        <v>ATL</v>
      </c>
    </row>
    <row r="52" spans="1:34" ht="17" x14ac:dyDescent="0.2">
      <c r="A52" s="1">
        <v>50</v>
      </c>
      <c r="B52" s="18" t="s">
        <v>369</v>
      </c>
      <c r="C52" s="17">
        <v>30</v>
      </c>
      <c r="D52" s="18" t="s">
        <v>99</v>
      </c>
      <c r="E52" s="17" t="s">
        <v>27</v>
      </c>
      <c r="F52" s="19">
        <v>38</v>
      </c>
      <c r="G52" s="17">
        <v>38</v>
      </c>
      <c r="H52" s="17">
        <v>33.299999999999997</v>
      </c>
      <c r="I52" s="17">
        <v>7.6</v>
      </c>
      <c r="J52" s="17">
        <v>14.6</v>
      </c>
      <c r="K52" s="17">
        <v>0.52</v>
      </c>
      <c r="L52" s="17">
        <v>1.9</v>
      </c>
      <c r="M52" s="17">
        <v>4.5</v>
      </c>
      <c r="N52" s="17">
        <v>0.42399999999999999</v>
      </c>
      <c r="O52" s="17">
        <v>5.7</v>
      </c>
      <c r="P52" s="17">
        <v>10.1</v>
      </c>
      <c r="Q52" s="17">
        <v>0.56299999999999994</v>
      </c>
      <c r="R52" s="17">
        <v>0.58499999999999996</v>
      </c>
      <c r="S52" s="17">
        <v>2.8</v>
      </c>
      <c r="T52" s="17">
        <v>3.7</v>
      </c>
      <c r="U52" s="17">
        <v>0.755</v>
      </c>
      <c r="V52" s="17">
        <v>1.6</v>
      </c>
      <c r="W52" s="17">
        <v>5.6</v>
      </c>
      <c r="X52" s="17">
        <v>7.3</v>
      </c>
      <c r="Y52" s="17">
        <v>3.4</v>
      </c>
      <c r="Z52" s="17">
        <v>0.8</v>
      </c>
      <c r="AA52" s="17">
        <v>0.3</v>
      </c>
      <c r="AB52" s="17">
        <v>1.3</v>
      </c>
      <c r="AC52" s="17">
        <v>2.7</v>
      </c>
      <c r="AD52" s="17">
        <v>19.8</v>
      </c>
      <c r="AE52" s="17"/>
      <c r="AG52" s="8" t="str">
        <v>Pascal Siakam</v>
      </c>
      <c r="AH52" s="8" t="str">
        <v>IND</v>
      </c>
    </row>
    <row r="53" spans="1:34" ht="17" x14ac:dyDescent="0.2">
      <c r="A53" s="1">
        <v>51</v>
      </c>
      <c r="B53" s="18" t="s">
        <v>341</v>
      </c>
      <c r="C53" s="17">
        <v>30</v>
      </c>
      <c r="D53" s="18" t="s">
        <v>40</v>
      </c>
      <c r="E53" s="17" t="s">
        <v>27</v>
      </c>
      <c r="F53" s="17">
        <v>37</v>
      </c>
      <c r="G53" s="17">
        <v>37</v>
      </c>
      <c r="H53" s="17">
        <v>33</v>
      </c>
      <c r="I53" s="17">
        <v>6.7</v>
      </c>
      <c r="J53" s="17">
        <v>14.1</v>
      </c>
      <c r="K53" s="17">
        <v>0.47599999999999998</v>
      </c>
      <c r="L53" s="17">
        <v>1.7</v>
      </c>
      <c r="M53" s="17">
        <v>4.8</v>
      </c>
      <c r="N53" s="17">
        <v>0.35799999999999998</v>
      </c>
      <c r="O53" s="17">
        <v>5</v>
      </c>
      <c r="P53" s="17">
        <v>9.4</v>
      </c>
      <c r="Q53" s="17">
        <v>0.53600000000000003</v>
      </c>
      <c r="R53" s="17">
        <v>0.53600000000000003</v>
      </c>
      <c r="S53" s="17">
        <v>4.5</v>
      </c>
      <c r="T53" s="17">
        <v>5.4</v>
      </c>
      <c r="U53" s="17">
        <v>0.82499999999999996</v>
      </c>
      <c r="V53" s="17">
        <v>2</v>
      </c>
      <c r="W53" s="17">
        <v>5</v>
      </c>
      <c r="X53" s="17">
        <v>7</v>
      </c>
      <c r="Y53" s="17">
        <v>4.4000000000000004</v>
      </c>
      <c r="Z53" s="17">
        <v>0.6</v>
      </c>
      <c r="AA53" s="17">
        <v>0.2</v>
      </c>
      <c r="AB53" s="17">
        <v>3</v>
      </c>
      <c r="AC53" s="17">
        <v>2.5</v>
      </c>
      <c r="AD53" s="17">
        <v>19.600000000000001</v>
      </c>
      <c r="AE53" s="17"/>
      <c r="AG53" s="8" t="str">
        <v>Julius Randle</v>
      </c>
      <c r="AH53" s="8" t="str">
        <v>MIN</v>
      </c>
    </row>
    <row r="54" spans="1:34" ht="17" x14ac:dyDescent="0.2">
      <c r="A54" s="1">
        <v>52</v>
      </c>
      <c r="B54" s="18" t="s">
        <v>228</v>
      </c>
      <c r="C54" s="17">
        <v>28</v>
      </c>
      <c r="D54" s="18" t="s">
        <v>95</v>
      </c>
      <c r="E54" s="17" t="s">
        <v>27</v>
      </c>
      <c r="F54" s="17">
        <v>32</v>
      </c>
      <c r="G54" s="17">
        <v>32</v>
      </c>
      <c r="H54" s="17">
        <v>32.6</v>
      </c>
      <c r="I54" s="17">
        <v>6.4</v>
      </c>
      <c r="J54" s="17">
        <v>12.8</v>
      </c>
      <c r="K54" s="17">
        <v>0.496</v>
      </c>
      <c r="L54" s="17">
        <v>3.3</v>
      </c>
      <c r="M54" s="17">
        <v>7.5</v>
      </c>
      <c r="N54" s="17">
        <v>0.436</v>
      </c>
      <c r="O54" s="17">
        <v>3.1</v>
      </c>
      <c r="P54" s="17">
        <v>5.3</v>
      </c>
      <c r="Q54" s="17">
        <v>0.58199999999999996</v>
      </c>
      <c r="R54" s="17">
        <v>0.624</v>
      </c>
      <c r="S54" s="17">
        <v>3.5</v>
      </c>
      <c r="T54" s="17">
        <v>3.9</v>
      </c>
      <c r="U54" s="17">
        <v>0.89500000000000002</v>
      </c>
      <c r="V54" s="17">
        <v>0.8</v>
      </c>
      <c r="W54" s="17">
        <v>3.5</v>
      </c>
      <c r="X54" s="17">
        <v>4.3</v>
      </c>
      <c r="Y54" s="17">
        <v>3</v>
      </c>
      <c r="Z54" s="17">
        <v>0.9</v>
      </c>
      <c r="AA54" s="17">
        <v>0.4</v>
      </c>
      <c r="AB54" s="17">
        <v>1.7</v>
      </c>
      <c r="AC54" s="17">
        <v>1.8</v>
      </c>
      <c r="AD54" s="17">
        <v>19.5</v>
      </c>
      <c r="AE54" s="17"/>
      <c r="AG54" s="8" t="str">
        <v>Cameron Johnson</v>
      </c>
      <c r="AH54" s="8" t="str">
        <v>BRK</v>
      </c>
    </row>
    <row r="55" spans="1:34" ht="17" x14ac:dyDescent="0.2">
      <c r="A55" s="1">
        <v>53</v>
      </c>
      <c r="B55" s="18" t="s">
        <v>211</v>
      </c>
      <c r="C55" s="17">
        <v>27</v>
      </c>
      <c r="D55" s="18" t="s">
        <v>82</v>
      </c>
      <c r="E55" s="17" t="s">
        <v>54</v>
      </c>
      <c r="F55" s="17">
        <v>27</v>
      </c>
      <c r="G55" s="17">
        <v>2</v>
      </c>
      <c r="H55" s="17">
        <v>27.8</v>
      </c>
      <c r="I55" s="17">
        <v>6.3</v>
      </c>
      <c r="J55" s="17">
        <v>13.2</v>
      </c>
      <c r="K55" s="17">
        <v>0.47499999999999998</v>
      </c>
      <c r="L55" s="17">
        <v>2.7</v>
      </c>
      <c r="M55" s="17">
        <v>6.3</v>
      </c>
      <c r="N55" s="17">
        <v>0.433</v>
      </c>
      <c r="O55" s="17">
        <v>3.5</v>
      </c>
      <c r="P55" s="17">
        <v>6.9</v>
      </c>
      <c r="Q55" s="17">
        <v>0.51400000000000001</v>
      </c>
      <c r="R55" s="17">
        <v>0.57899999999999996</v>
      </c>
      <c r="S55" s="17">
        <v>4.0999999999999996</v>
      </c>
      <c r="T55" s="17">
        <v>4.9000000000000004</v>
      </c>
      <c r="U55" s="17">
        <v>0.85499999999999998</v>
      </c>
      <c r="V55" s="17">
        <v>0.6</v>
      </c>
      <c r="W55" s="17">
        <v>3.3</v>
      </c>
      <c r="X55" s="17">
        <v>4</v>
      </c>
      <c r="Y55" s="17">
        <v>1.5</v>
      </c>
      <c r="Z55" s="17">
        <v>0.9</v>
      </c>
      <c r="AA55" s="17">
        <v>0.1</v>
      </c>
      <c r="AB55" s="17">
        <v>1.5</v>
      </c>
      <c r="AC55" s="17">
        <v>2.4</v>
      </c>
      <c r="AD55" s="17">
        <v>19.399999999999999</v>
      </c>
      <c r="AE55" s="17"/>
      <c r="AG55" s="8" t="str">
        <v>De'Andre Hunter</v>
      </c>
      <c r="AH55" s="8" t="str">
        <v>ATL</v>
      </c>
    </row>
    <row r="56" spans="1:34" ht="17" x14ac:dyDescent="0.2">
      <c r="A56" s="1">
        <v>54</v>
      </c>
      <c r="B56" s="18" t="s">
        <v>303</v>
      </c>
      <c r="C56" s="17">
        <v>27</v>
      </c>
      <c r="D56" s="18" t="s">
        <v>93</v>
      </c>
      <c r="E56" s="17" t="s">
        <v>46</v>
      </c>
      <c r="F56" s="17">
        <v>30</v>
      </c>
      <c r="G56" s="17">
        <v>30</v>
      </c>
      <c r="H56" s="17">
        <v>36.700000000000003</v>
      </c>
      <c r="I56" s="17">
        <v>7</v>
      </c>
      <c r="J56" s="17">
        <v>16.100000000000001</v>
      </c>
      <c r="K56" s="17">
        <v>0.437</v>
      </c>
      <c r="L56" s="17">
        <v>2.1</v>
      </c>
      <c r="M56" s="17">
        <v>5.7</v>
      </c>
      <c r="N56" s="17">
        <v>0.372</v>
      </c>
      <c r="O56" s="17">
        <v>4.9000000000000004</v>
      </c>
      <c r="P56" s="17">
        <v>10.4</v>
      </c>
      <c r="Q56" s="17">
        <v>0.47299999999999998</v>
      </c>
      <c r="R56" s="17">
        <v>0.503</v>
      </c>
      <c r="S56" s="17">
        <v>3.2</v>
      </c>
      <c r="T56" s="17">
        <v>3.8</v>
      </c>
      <c r="U56" s="17">
        <v>0.85799999999999998</v>
      </c>
      <c r="V56" s="17">
        <v>0.5</v>
      </c>
      <c r="W56" s="17">
        <v>3.6</v>
      </c>
      <c r="X56" s="17">
        <v>4.0999999999999996</v>
      </c>
      <c r="Y56" s="17">
        <v>6.3</v>
      </c>
      <c r="Z56" s="17">
        <v>1.6</v>
      </c>
      <c r="AA56" s="17">
        <v>0.7</v>
      </c>
      <c r="AB56" s="17">
        <v>2.2000000000000002</v>
      </c>
      <c r="AC56" s="17">
        <v>1.8</v>
      </c>
      <c r="AD56" s="17">
        <v>19.399999999999999</v>
      </c>
      <c r="AE56" s="17"/>
      <c r="AG56" s="8" t="str">
        <v>Jamal Murray</v>
      </c>
      <c r="AH56" s="8" t="str">
        <v>DEN</v>
      </c>
    </row>
    <row r="57" spans="1:34" ht="17" x14ac:dyDescent="0.2">
      <c r="A57" s="1">
        <v>55</v>
      </c>
      <c r="B57" s="18" t="s">
        <v>666</v>
      </c>
      <c r="C57" s="17">
        <v>22</v>
      </c>
      <c r="D57" s="18" t="s">
        <v>98</v>
      </c>
      <c r="E57" s="17" t="s">
        <v>29</v>
      </c>
      <c r="F57" s="17">
        <v>37</v>
      </c>
      <c r="G57" s="17">
        <v>37</v>
      </c>
      <c r="H57" s="17">
        <v>31.5</v>
      </c>
      <c r="I57" s="17">
        <v>7.7</v>
      </c>
      <c r="J57" s="17">
        <v>15.5</v>
      </c>
      <c r="K57" s="17">
        <v>0.49399999999999999</v>
      </c>
      <c r="L57" s="17">
        <v>0.3</v>
      </c>
      <c r="M57" s="17">
        <v>1.5</v>
      </c>
      <c r="N57" s="17">
        <v>0.218</v>
      </c>
      <c r="O57" s="17">
        <v>7.4</v>
      </c>
      <c r="P57" s="17">
        <v>14.1</v>
      </c>
      <c r="Q57" s="17">
        <v>0.52300000000000002</v>
      </c>
      <c r="R57" s="17">
        <v>0.504</v>
      </c>
      <c r="S57" s="17">
        <v>3.6</v>
      </c>
      <c r="T57" s="17">
        <v>5</v>
      </c>
      <c r="U57" s="17">
        <v>0.73</v>
      </c>
      <c r="V57" s="17">
        <v>3.4</v>
      </c>
      <c r="W57" s="17">
        <v>7.1</v>
      </c>
      <c r="X57" s="17">
        <v>10.5</v>
      </c>
      <c r="Y57" s="17">
        <v>5</v>
      </c>
      <c r="Z57" s="17">
        <v>1.2</v>
      </c>
      <c r="AA57" s="17">
        <v>0.9</v>
      </c>
      <c r="AB57" s="17">
        <v>2.5</v>
      </c>
      <c r="AC57" s="17">
        <v>2.8</v>
      </c>
      <c r="AD57" s="17">
        <v>19.3</v>
      </c>
      <c r="AE57" s="17"/>
      <c r="AG57" s="8" t="str">
        <v>Alperen Şengün</v>
      </c>
      <c r="AH57" s="8" t="str">
        <v>HOU</v>
      </c>
    </row>
    <row r="58" spans="1:34" ht="17" x14ac:dyDescent="0.2">
      <c r="A58" s="1">
        <v>56</v>
      </c>
      <c r="B58" s="18" t="s">
        <v>294</v>
      </c>
      <c r="C58" s="17">
        <v>23</v>
      </c>
      <c r="D58" s="18" t="s">
        <v>44</v>
      </c>
      <c r="E58" s="17" t="s">
        <v>27</v>
      </c>
      <c r="F58" s="17">
        <v>35</v>
      </c>
      <c r="G58" s="17">
        <v>35</v>
      </c>
      <c r="H58" s="17">
        <v>30.4</v>
      </c>
      <c r="I58" s="17">
        <v>7.3</v>
      </c>
      <c r="J58" s="17">
        <v>12.7</v>
      </c>
      <c r="K58" s="17">
        <v>0.57399999999999995</v>
      </c>
      <c r="L58" s="17">
        <v>1.2</v>
      </c>
      <c r="M58" s="17">
        <v>2.8</v>
      </c>
      <c r="N58" s="17">
        <v>0.41399999999999998</v>
      </c>
      <c r="O58" s="17">
        <v>6.1</v>
      </c>
      <c r="P58" s="17">
        <v>9.9</v>
      </c>
      <c r="Q58" s="17">
        <v>0.62</v>
      </c>
      <c r="R58" s="17">
        <v>0.62</v>
      </c>
      <c r="S58" s="17">
        <v>3.2</v>
      </c>
      <c r="T58" s="17">
        <v>4.2</v>
      </c>
      <c r="U58" s="17">
        <v>0.77400000000000002</v>
      </c>
      <c r="V58" s="17">
        <v>2.1</v>
      </c>
      <c r="W58" s="17">
        <v>6.7</v>
      </c>
      <c r="X58" s="17">
        <v>8.8000000000000007</v>
      </c>
      <c r="Y58" s="17">
        <v>3.1</v>
      </c>
      <c r="Z58" s="17">
        <v>1</v>
      </c>
      <c r="AA58" s="17">
        <v>1.4</v>
      </c>
      <c r="AB58" s="17">
        <v>2.1</v>
      </c>
      <c r="AC58" s="17">
        <v>2.1</v>
      </c>
      <c r="AD58" s="17">
        <v>19</v>
      </c>
      <c r="AE58" s="17"/>
      <c r="AG58" s="8" t="str">
        <v>Evan Mobley</v>
      </c>
      <c r="AH58" s="8" t="str">
        <v>CLE</v>
      </c>
    </row>
    <row r="59" spans="1:34" ht="17" x14ac:dyDescent="0.2">
      <c r="A59" s="1">
        <v>57</v>
      </c>
      <c r="B59" s="18" t="s">
        <v>331</v>
      </c>
      <c r="C59" s="17">
        <v>26</v>
      </c>
      <c r="D59" s="18" t="s">
        <v>93</v>
      </c>
      <c r="E59" s="17" t="s">
        <v>54</v>
      </c>
      <c r="F59" s="17">
        <v>36</v>
      </c>
      <c r="G59" s="17">
        <v>36</v>
      </c>
      <c r="H59" s="17">
        <v>34.5</v>
      </c>
      <c r="I59" s="17">
        <v>7.3</v>
      </c>
      <c r="J59" s="17">
        <v>13.8</v>
      </c>
      <c r="K59" s="17">
        <v>0.52400000000000002</v>
      </c>
      <c r="L59" s="17">
        <v>2.7</v>
      </c>
      <c r="M59" s="17">
        <v>6.3</v>
      </c>
      <c r="N59" s="17">
        <v>0.42299999999999999</v>
      </c>
      <c r="O59" s="17">
        <v>4.5999999999999996</v>
      </c>
      <c r="P59" s="17">
        <v>7.5</v>
      </c>
      <c r="Q59" s="17">
        <v>0.60899999999999999</v>
      </c>
      <c r="R59" s="17">
        <v>0.62</v>
      </c>
      <c r="S59" s="17">
        <v>1.9</v>
      </c>
      <c r="T59" s="17">
        <v>2.6</v>
      </c>
      <c r="U59" s="17">
        <v>0.71299999999999997</v>
      </c>
      <c r="V59" s="17">
        <v>1.5</v>
      </c>
      <c r="W59" s="17">
        <v>5.2</v>
      </c>
      <c r="X59" s="17">
        <v>6.7</v>
      </c>
      <c r="Y59" s="17">
        <v>2.6</v>
      </c>
      <c r="Z59" s="17">
        <v>0.7</v>
      </c>
      <c r="AA59" s="17">
        <v>0.4</v>
      </c>
      <c r="AB59" s="17">
        <v>1.4</v>
      </c>
      <c r="AC59" s="17">
        <v>2</v>
      </c>
      <c r="AD59" s="17">
        <v>19</v>
      </c>
      <c r="AE59" s="17"/>
      <c r="AG59" s="8" t="str">
        <v>Michael Porter Jr.</v>
      </c>
      <c r="AH59" s="8" t="str">
        <v>DEN</v>
      </c>
    </row>
    <row r="60" spans="1:34" ht="17" x14ac:dyDescent="0.2">
      <c r="A60" s="1">
        <v>58</v>
      </c>
      <c r="B60" s="18" t="s">
        <v>371</v>
      </c>
      <c r="C60" s="17">
        <v>25</v>
      </c>
      <c r="D60" s="18" t="s">
        <v>58</v>
      </c>
      <c r="E60" s="17" t="s">
        <v>35</v>
      </c>
      <c r="F60" s="17">
        <v>34</v>
      </c>
      <c r="G60" s="17">
        <v>34</v>
      </c>
      <c r="H60" s="17">
        <v>31.9</v>
      </c>
      <c r="I60" s="17">
        <v>6.7</v>
      </c>
      <c r="J60" s="17">
        <v>15.5</v>
      </c>
      <c r="K60" s="17">
        <v>0.43099999999999999</v>
      </c>
      <c r="L60" s="17">
        <v>2.9</v>
      </c>
      <c r="M60" s="17">
        <v>8.1</v>
      </c>
      <c r="N60" s="17">
        <v>0.35799999999999998</v>
      </c>
      <c r="O60" s="17">
        <v>3.8</v>
      </c>
      <c r="P60" s="17">
        <v>7.4</v>
      </c>
      <c r="Q60" s="17">
        <v>0.51</v>
      </c>
      <c r="R60" s="17">
        <v>0.52400000000000002</v>
      </c>
      <c r="S60" s="17">
        <v>2.4</v>
      </c>
      <c r="T60" s="17">
        <v>2.6</v>
      </c>
      <c r="U60" s="17">
        <v>0.91</v>
      </c>
      <c r="V60" s="17">
        <v>0.3</v>
      </c>
      <c r="W60" s="17">
        <v>2.4</v>
      </c>
      <c r="X60" s="17">
        <v>2.7</v>
      </c>
      <c r="Y60" s="17">
        <v>5.0999999999999996</v>
      </c>
      <c r="Z60" s="17">
        <v>0.9</v>
      </c>
      <c r="AA60" s="17">
        <v>0.1</v>
      </c>
      <c r="AB60" s="17">
        <v>2.4</v>
      </c>
      <c r="AC60" s="17">
        <v>1.9</v>
      </c>
      <c r="AD60" s="17">
        <v>18.600000000000001</v>
      </c>
      <c r="AE60" s="17"/>
      <c r="AG60" s="8" t="str">
        <v>Anfernee Simons</v>
      </c>
      <c r="AH60" s="8" t="str">
        <v>POR</v>
      </c>
    </row>
    <row r="61" spans="1:34" ht="17" x14ac:dyDescent="0.2">
      <c r="A61" s="1">
        <v>59</v>
      </c>
      <c r="B61" s="18" t="s">
        <v>419</v>
      </c>
      <c r="C61" s="17">
        <v>24</v>
      </c>
      <c r="D61" s="18" t="s">
        <v>84</v>
      </c>
      <c r="E61" s="17" t="s">
        <v>35</v>
      </c>
      <c r="F61" s="17">
        <v>35</v>
      </c>
      <c r="G61" s="17">
        <v>35</v>
      </c>
      <c r="H61" s="17">
        <v>32.9</v>
      </c>
      <c r="I61" s="17">
        <v>6.3</v>
      </c>
      <c r="J61" s="17">
        <v>14.6</v>
      </c>
      <c r="K61" s="17">
        <v>0.433</v>
      </c>
      <c r="L61" s="17">
        <v>3.1</v>
      </c>
      <c r="M61" s="17">
        <v>8.5</v>
      </c>
      <c r="N61" s="17">
        <v>0.37</v>
      </c>
      <c r="O61" s="17">
        <v>3.2</v>
      </c>
      <c r="P61" s="17">
        <v>6.1</v>
      </c>
      <c r="Q61" s="17">
        <v>0.52100000000000002</v>
      </c>
      <c r="R61" s="17">
        <v>0.54100000000000004</v>
      </c>
      <c r="S61" s="17">
        <v>2.8</v>
      </c>
      <c r="T61" s="17">
        <v>3.1</v>
      </c>
      <c r="U61" s="17">
        <v>0.88200000000000001</v>
      </c>
      <c r="V61" s="17">
        <v>0.4</v>
      </c>
      <c r="W61" s="17">
        <v>3</v>
      </c>
      <c r="X61" s="17">
        <v>3.4</v>
      </c>
      <c r="Y61" s="17">
        <v>4.5999999999999996</v>
      </c>
      <c r="Z61" s="17">
        <v>1.1000000000000001</v>
      </c>
      <c r="AA61" s="17">
        <v>0.2</v>
      </c>
      <c r="AB61" s="17">
        <v>2.4</v>
      </c>
      <c r="AC61" s="17">
        <v>2.5</v>
      </c>
      <c r="AD61" s="17">
        <v>18.5</v>
      </c>
      <c r="AE61" s="17"/>
      <c r="AG61" s="8" t="str">
        <v>Coby White</v>
      </c>
      <c r="AH61" s="8" t="str">
        <v>CHI</v>
      </c>
    </row>
    <row r="62" spans="1:34" ht="17" x14ac:dyDescent="0.2">
      <c r="A62" s="1">
        <v>60</v>
      </c>
      <c r="B62" s="18" t="s">
        <v>94</v>
      </c>
      <c r="C62" s="17">
        <v>28</v>
      </c>
      <c r="D62" s="18" t="s">
        <v>31</v>
      </c>
      <c r="E62" s="17" t="s">
        <v>54</v>
      </c>
      <c r="F62" s="19">
        <v>38</v>
      </c>
      <c r="G62" s="17">
        <v>38</v>
      </c>
      <c r="H62" s="19">
        <v>39.1</v>
      </c>
      <c r="I62" s="17">
        <v>7.6</v>
      </c>
      <c r="J62" s="17">
        <v>15.3</v>
      </c>
      <c r="K62" s="17">
        <v>0.497</v>
      </c>
      <c r="L62" s="17">
        <v>2.2999999999999998</v>
      </c>
      <c r="M62" s="17">
        <v>6.8</v>
      </c>
      <c r="N62" s="17">
        <v>0.34200000000000003</v>
      </c>
      <c r="O62" s="17">
        <v>5.3</v>
      </c>
      <c r="P62" s="17">
        <v>8.4</v>
      </c>
      <c r="Q62" s="17">
        <v>0.623</v>
      </c>
      <c r="R62" s="17">
        <v>0.57399999999999995</v>
      </c>
      <c r="S62" s="17">
        <v>0.8</v>
      </c>
      <c r="T62" s="17">
        <v>1.2</v>
      </c>
      <c r="U62" s="17">
        <v>0.70499999999999996</v>
      </c>
      <c r="V62" s="17">
        <v>0.9</v>
      </c>
      <c r="W62" s="17">
        <v>2.4</v>
      </c>
      <c r="X62" s="17">
        <v>3.3</v>
      </c>
      <c r="Y62" s="17">
        <v>3.2</v>
      </c>
      <c r="Z62" s="17">
        <v>1.1000000000000001</v>
      </c>
      <c r="AA62" s="17">
        <v>0.5</v>
      </c>
      <c r="AB62" s="17">
        <v>1.6</v>
      </c>
      <c r="AC62" s="17">
        <v>1.4</v>
      </c>
      <c r="AD62" s="17">
        <v>18.399999999999999</v>
      </c>
      <c r="AE62" s="17"/>
      <c r="AG62" s="8" t="str">
        <v>Mikal Bridges</v>
      </c>
      <c r="AH62" s="8" t="str">
        <v>NYK</v>
      </c>
    </row>
    <row r="63" spans="1:34" ht="17" x14ac:dyDescent="0.2">
      <c r="A63" s="1">
        <v>61</v>
      </c>
      <c r="B63" s="18" t="s">
        <v>185</v>
      </c>
      <c r="C63" s="17">
        <v>24</v>
      </c>
      <c r="D63" s="18" t="s">
        <v>99</v>
      </c>
      <c r="E63" s="17" t="s">
        <v>46</v>
      </c>
      <c r="F63" s="19">
        <v>38</v>
      </c>
      <c r="G63" s="17">
        <v>38</v>
      </c>
      <c r="H63" s="17">
        <v>35</v>
      </c>
      <c r="I63" s="17">
        <v>6.3</v>
      </c>
      <c r="J63" s="17">
        <v>14.2</v>
      </c>
      <c r="K63" s="17">
        <v>0.441</v>
      </c>
      <c r="L63" s="17">
        <v>3</v>
      </c>
      <c r="M63" s="17">
        <v>8.3000000000000007</v>
      </c>
      <c r="N63" s="17">
        <v>0.36099999999999999</v>
      </c>
      <c r="O63" s="17">
        <v>3.3</v>
      </c>
      <c r="P63" s="17">
        <v>5.9</v>
      </c>
      <c r="Q63" s="17">
        <v>0.55400000000000005</v>
      </c>
      <c r="R63" s="17">
        <v>0.54600000000000004</v>
      </c>
      <c r="S63" s="17">
        <v>2.8</v>
      </c>
      <c r="T63" s="17">
        <v>3.3</v>
      </c>
      <c r="U63" s="17">
        <v>0.85</v>
      </c>
      <c r="V63" s="17">
        <v>0.7</v>
      </c>
      <c r="W63" s="17">
        <v>3</v>
      </c>
      <c r="X63" s="17">
        <v>3.7</v>
      </c>
      <c r="Y63" s="17">
        <v>8.9</v>
      </c>
      <c r="Z63" s="17">
        <v>1.2</v>
      </c>
      <c r="AA63" s="17">
        <v>0.6</v>
      </c>
      <c r="AB63" s="17">
        <v>1.8</v>
      </c>
      <c r="AC63" s="17">
        <v>1.3</v>
      </c>
      <c r="AD63" s="17">
        <v>18.399999999999999</v>
      </c>
      <c r="AE63" s="17"/>
      <c r="AG63" s="8" t="str">
        <v>Tyrese Haliburton</v>
      </c>
      <c r="AH63" s="8" t="str">
        <v>IND</v>
      </c>
    </row>
    <row r="64" spans="1:34" ht="17" x14ac:dyDescent="0.2">
      <c r="A64" s="1">
        <v>62</v>
      </c>
      <c r="B64" s="18" t="s">
        <v>609</v>
      </c>
      <c r="C64" s="17">
        <v>29</v>
      </c>
      <c r="D64" s="18" t="s">
        <v>68</v>
      </c>
      <c r="E64" s="17" t="s">
        <v>29</v>
      </c>
      <c r="F64" s="17">
        <v>14</v>
      </c>
      <c r="G64" s="17">
        <v>14</v>
      </c>
      <c r="H64" s="17">
        <v>27.9</v>
      </c>
      <c r="I64" s="17">
        <v>6.1</v>
      </c>
      <c r="J64" s="17">
        <v>13.3</v>
      </c>
      <c r="K64" s="17">
        <v>0.45700000000000002</v>
      </c>
      <c r="L64" s="17">
        <v>1.9</v>
      </c>
      <c r="M64" s="17">
        <v>5.6</v>
      </c>
      <c r="N64" s="17">
        <v>0.32900000000000001</v>
      </c>
      <c r="O64" s="17">
        <v>4.2</v>
      </c>
      <c r="P64" s="17">
        <v>7.6</v>
      </c>
      <c r="Q64" s="17">
        <v>0.55100000000000005</v>
      </c>
      <c r="R64" s="17">
        <v>0.52700000000000002</v>
      </c>
      <c r="S64" s="17">
        <v>4.3</v>
      </c>
      <c r="T64" s="17">
        <v>5.0999999999999996</v>
      </c>
      <c r="U64" s="17">
        <v>0.84499999999999997</v>
      </c>
      <c r="V64" s="17">
        <v>1.8</v>
      </c>
      <c r="W64" s="17">
        <v>5</v>
      </c>
      <c r="X64" s="17">
        <v>6.8</v>
      </c>
      <c r="Y64" s="17">
        <v>1.7</v>
      </c>
      <c r="Z64" s="17">
        <v>0.8</v>
      </c>
      <c r="AA64" s="17">
        <v>1.4</v>
      </c>
      <c r="AB64" s="17">
        <v>1</v>
      </c>
      <c r="AC64" s="17">
        <v>2.4</v>
      </c>
      <c r="AD64" s="17">
        <v>18.3</v>
      </c>
      <c r="AE64" s="17"/>
      <c r="AG64" s="8" t="str">
        <v>Kristaps Porziņģis</v>
      </c>
      <c r="AH64" s="8" t="str">
        <v>BOS</v>
      </c>
    </row>
    <row r="65" spans="1:34" ht="17" x14ac:dyDescent="0.2">
      <c r="A65" s="1">
        <v>63</v>
      </c>
      <c r="B65" s="18" t="s">
        <v>343</v>
      </c>
      <c r="C65" s="17">
        <v>26</v>
      </c>
      <c r="D65" s="18" t="s">
        <v>116</v>
      </c>
      <c r="E65" s="17" t="s">
        <v>35</v>
      </c>
      <c r="F65" s="17">
        <v>31</v>
      </c>
      <c r="G65" s="17">
        <v>31</v>
      </c>
      <c r="H65" s="17">
        <v>34.799999999999997</v>
      </c>
      <c r="I65" s="17">
        <v>6.1</v>
      </c>
      <c r="J65" s="17">
        <v>14</v>
      </c>
      <c r="K65" s="17">
        <v>0.438</v>
      </c>
      <c r="L65" s="17">
        <v>2.6</v>
      </c>
      <c r="M65" s="17">
        <v>7.3</v>
      </c>
      <c r="N65" s="17">
        <v>0.36099999999999999</v>
      </c>
      <c r="O65" s="17">
        <v>3.5</v>
      </c>
      <c r="P65" s="17">
        <v>6.7</v>
      </c>
      <c r="Q65" s="17">
        <v>0.52200000000000002</v>
      </c>
      <c r="R65" s="17">
        <v>0.53200000000000003</v>
      </c>
      <c r="S65" s="17">
        <v>3.4</v>
      </c>
      <c r="T65" s="17">
        <v>4.0999999999999996</v>
      </c>
      <c r="U65" s="17">
        <v>0.81299999999999994</v>
      </c>
      <c r="V65" s="17">
        <v>0.9</v>
      </c>
      <c r="W65" s="17">
        <v>3.4</v>
      </c>
      <c r="X65" s="17">
        <v>4.3</v>
      </c>
      <c r="Y65" s="17">
        <v>5.9</v>
      </c>
      <c r="Z65" s="17">
        <v>1.1000000000000001</v>
      </c>
      <c r="AA65" s="17">
        <v>0.1</v>
      </c>
      <c r="AB65" s="17">
        <v>2.5</v>
      </c>
      <c r="AC65" s="17">
        <v>2.1</v>
      </c>
      <c r="AD65" s="17">
        <v>18.3</v>
      </c>
      <c r="AE65" s="17"/>
      <c r="AG65" s="8" t="str">
        <v>Austin Reaves</v>
      </c>
      <c r="AH65" s="8" t="str">
        <v>LAL</v>
      </c>
    </row>
    <row r="66" spans="1:34" ht="17" x14ac:dyDescent="0.2">
      <c r="A66" s="1">
        <v>64</v>
      </c>
      <c r="B66" s="18" t="s">
        <v>367</v>
      </c>
      <c r="C66" s="17">
        <v>21</v>
      </c>
      <c r="D66" s="18" t="s">
        <v>58</v>
      </c>
      <c r="E66" s="17" t="s">
        <v>35</v>
      </c>
      <c r="F66" s="17">
        <v>29</v>
      </c>
      <c r="G66" s="17">
        <v>27</v>
      </c>
      <c r="H66" s="17">
        <v>31.7</v>
      </c>
      <c r="I66" s="17">
        <v>6.8</v>
      </c>
      <c r="J66" s="17">
        <v>14.9</v>
      </c>
      <c r="K66" s="17">
        <v>0.45600000000000002</v>
      </c>
      <c r="L66" s="17">
        <v>2</v>
      </c>
      <c r="M66" s="17">
        <v>6.3</v>
      </c>
      <c r="N66" s="17">
        <v>0.311</v>
      </c>
      <c r="O66" s="17">
        <v>4.8</v>
      </c>
      <c r="P66" s="17">
        <v>8.6</v>
      </c>
      <c r="Q66" s="17">
        <v>0.56200000000000006</v>
      </c>
      <c r="R66" s="17">
        <v>0.52200000000000002</v>
      </c>
      <c r="S66" s="17">
        <v>2.6</v>
      </c>
      <c r="T66" s="17">
        <v>3.3</v>
      </c>
      <c r="U66" s="17">
        <v>0.78900000000000003</v>
      </c>
      <c r="V66" s="17">
        <v>0.7</v>
      </c>
      <c r="W66" s="17">
        <v>3.1</v>
      </c>
      <c r="X66" s="17">
        <v>3.8</v>
      </c>
      <c r="Y66" s="17">
        <v>2.7</v>
      </c>
      <c r="Z66" s="17">
        <v>0.9</v>
      </c>
      <c r="AA66" s="17">
        <v>0.3</v>
      </c>
      <c r="AB66" s="17">
        <v>1.7</v>
      </c>
      <c r="AC66" s="17">
        <v>1.8</v>
      </c>
      <c r="AD66" s="17">
        <v>18.100000000000001</v>
      </c>
      <c r="AE66" s="17"/>
      <c r="AG66" s="8" t="str">
        <v>Shaedon Sharpe</v>
      </c>
      <c r="AH66" s="8" t="str">
        <v>POR</v>
      </c>
    </row>
    <row r="67" spans="1:34" ht="17" x14ac:dyDescent="0.2">
      <c r="A67" s="1">
        <v>65</v>
      </c>
      <c r="B67" s="18" t="s">
        <v>78</v>
      </c>
      <c r="C67" s="17">
        <v>31</v>
      </c>
      <c r="D67" s="18" t="s">
        <v>42</v>
      </c>
      <c r="E67" s="17" t="s">
        <v>35</v>
      </c>
      <c r="F67" s="17">
        <v>26</v>
      </c>
      <c r="G67" s="17">
        <v>23</v>
      </c>
      <c r="H67" s="17">
        <v>33.1</v>
      </c>
      <c r="I67" s="17">
        <v>7.2</v>
      </c>
      <c r="J67" s="17">
        <v>14.5</v>
      </c>
      <c r="K67" s="17">
        <v>0.49299999999999999</v>
      </c>
      <c r="L67" s="17">
        <v>2.2000000000000002</v>
      </c>
      <c r="M67" s="17">
        <v>5.5</v>
      </c>
      <c r="N67" s="17">
        <v>0.39200000000000002</v>
      </c>
      <c r="O67" s="17">
        <v>5</v>
      </c>
      <c r="P67" s="17">
        <v>9</v>
      </c>
      <c r="Q67" s="17">
        <v>0.55600000000000005</v>
      </c>
      <c r="R67" s="17">
        <v>0.56799999999999995</v>
      </c>
      <c r="S67" s="17">
        <v>1.6</v>
      </c>
      <c r="T67" s="17">
        <v>2.1</v>
      </c>
      <c r="U67" s="17">
        <v>0.75900000000000001</v>
      </c>
      <c r="V67" s="17">
        <v>0.8</v>
      </c>
      <c r="W67" s="17">
        <v>2.9</v>
      </c>
      <c r="X67" s="17">
        <v>3.7</v>
      </c>
      <c r="Y67" s="17">
        <v>3.2</v>
      </c>
      <c r="Z67" s="17">
        <v>1.2</v>
      </c>
      <c r="AA67" s="17">
        <v>0.7</v>
      </c>
      <c r="AB67" s="17">
        <v>2.1</v>
      </c>
      <c r="AC67" s="17">
        <v>2.7</v>
      </c>
      <c r="AD67" s="17">
        <v>18</v>
      </c>
      <c r="AE67" s="17"/>
      <c r="AG67" s="8" t="str">
        <v>Bradley Beal</v>
      </c>
      <c r="AH67" s="8" t="str">
        <v>PHO</v>
      </c>
    </row>
    <row r="68" spans="1:34" ht="17" x14ac:dyDescent="0.2">
      <c r="A68" s="1">
        <v>66</v>
      </c>
      <c r="B68" s="18" t="s">
        <v>366</v>
      </c>
      <c r="C68" s="17">
        <v>26</v>
      </c>
      <c r="D68" s="18" t="s">
        <v>36</v>
      </c>
      <c r="E68" s="17" t="s">
        <v>35</v>
      </c>
      <c r="F68" s="17">
        <v>36</v>
      </c>
      <c r="G68" s="17">
        <v>34</v>
      </c>
      <c r="H68" s="17">
        <v>28.6</v>
      </c>
      <c r="I68" s="17">
        <v>6.5</v>
      </c>
      <c r="J68" s="17">
        <v>13.5</v>
      </c>
      <c r="K68" s="17">
        <v>0.48</v>
      </c>
      <c r="L68" s="17">
        <v>2</v>
      </c>
      <c r="M68" s="17">
        <v>4.5999999999999996</v>
      </c>
      <c r="N68" s="17">
        <v>0.43</v>
      </c>
      <c r="O68" s="17">
        <v>4.5</v>
      </c>
      <c r="P68" s="17">
        <v>8.9</v>
      </c>
      <c r="Q68" s="17">
        <v>0.50600000000000001</v>
      </c>
      <c r="R68" s="17">
        <v>0.55400000000000005</v>
      </c>
      <c r="S68" s="17">
        <v>3.1</v>
      </c>
      <c r="T68" s="17">
        <v>3.4</v>
      </c>
      <c r="U68" s="17">
        <v>0.90300000000000002</v>
      </c>
      <c r="V68" s="17">
        <v>0.9</v>
      </c>
      <c r="W68" s="17">
        <v>1.9</v>
      </c>
      <c r="X68" s="17">
        <v>2.8</v>
      </c>
      <c r="Y68" s="17">
        <v>3.9</v>
      </c>
      <c r="Z68" s="17">
        <v>0.8</v>
      </c>
      <c r="AA68" s="17">
        <v>0.1</v>
      </c>
      <c r="AB68" s="17">
        <v>2.6</v>
      </c>
      <c r="AC68" s="17">
        <v>2.2000000000000002</v>
      </c>
      <c r="AD68" s="17">
        <v>18</v>
      </c>
      <c r="AE68" s="17"/>
      <c r="AG68" s="8" t="str">
        <v>Collin Sexton</v>
      </c>
      <c r="AH68" s="8" t="str">
        <v>UTA</v>
      </c>
    </row>
    <row r="69" spans="1:34" ht="17" x14ac:dyDescent="0.2">
      <c r="A69" s="1">
        <v>67</v>
      </c>
      <c r="B69" s="18" t="s">
        <v>96</v>
      </c>
      <c r="C69" s="17">
        <v>26</v>
      </c>
      <c r="D69" s="18" t="s">
        <v>61</v>
      </c>
      <c r="E69" s="17" t="s">
        <v>27</v>
      </c>
      <c r="F69" s="17">
        <v>22</v>
      </c>
      <c r="G69" s="17">
        <v>22</v>
      </c>
      <c r="H69" s="17">
        <v>31.1</v>
      </c>
      <c r="I69" s="17">
        <v>6.4</v>
      </c>
      <c r="J69" s="17">
        <v>15.4</v>
      </c>
      <c r="K69" s="17">
        <v>0.41599999999999998</v>
      </c>
      <c r="L69" s="17">
        <v>1.9</v>
      </c>
      <c r="M69" s="17">
        <v>6.7</v>
      </c>
      <c r="N69" s="17">
        <v>0.28399999999999997</v>
      </c>
      <c r="O69" s="17">
        <v>4.5</v>
      </c>
      <c r="P69" s="17">
        <v>8.6999999999999993</v>
      </c>
      <c r="Q69" s="17">
        <v>0.51800000000000002</v>
      </c>
      <c r="R69" s="17">
        <v>0.47799999999999998</v>
      </c>
      <c r="S69" s="17">
        <v>3.1</v>
      </c>
      <c r="T69" s="17">
        <v>3.5</v>
      </c>
      <c r="U69" s="17">
        <v>0.88500000000000001</v>
      </c>
      <c r="V69" s="17">
        <v>0.9</v>
      </c>
      <c r="W69" s="17">
        <v>6.9</v>
      </c>
      <c r="X69" s="17">
        <v>7.7</v>
      </c>
      <c r="Y69" s="17">
        <v>3.6</v>
      </c>
      <c r="Z69" s="17">
        <v>0.7</v>
      </c>
      <c r="AA69" s="17">
        <v>0.6</v>
      </c>
      <c r="AB69" s="17">
        <v>2</v>
      </c>
      <c r="AC69" s="17">
        <v>1.5</v>
      </c>
      <c r="AD69" s="17">
        <v>17.899999999999999</v>
      </c>
      <c r="AE69" s="17"/>
      <c r="AG69" s="8" t="str">
        <v>Miles Bridges</v>
      </c>
      <c r="AH69" s="8" t="str">
        <v>CHO</v>
      </c>
    </row>
    <row r="70" spans="1:34" ht="17" x14ac:dyDescent="0.2">
      <c r="A70" s="1">
        <v>68</v>
      </c>
      <c r="B70" s="18" t="s">
        <v>124</v>
      </c>
      <c r="C70" s="17">
        <v>27</v>
      </c>
      <c r="D70" s="18" t="s">
        <v>36</v>
      </c>
      <c r="E70" s="17" t="s">
        <v>27</v>
      </c>
      <c r="F70" s="17">
        <v>27</v>
      </c>
      <c r="G70" s="17">
        <v>18</v>
      </c>
      <c r="H70" s="17">
        <v>29.9</v>
      </c>
      <c r="I70" s="17">
        <v>6.6</v>
      </c>
      <c r="J70" s="17">
        <v>12.5</v>
      </c>
      <c r="K70" s="17">
        <v>0.52500000000000002</v>
      </c>
      <c r="L70" s="17">
        <v>1.4</v>
      </c>
      <c r="M70" s="17">
        <v>3.3</v>
      </c>
      <c r="N70" s="17">
        <v>0.438</v>
      </c>
      <c r="O70" s="17">
        <v>5.0999999999999996</v>
      </c>
      <c r="P70" s="17">
        <v>9.1999999999999993</v>
      </c>
      <c r="Q70" s="17">
        <v>0.55600000000000005</v>
      </c>
      <c r="R70" s="17">
        <v>0.58299999999999996</v>
      </c>
      <c r="S70" s="17">
        <v>3.4</v>
      </c>
      <c r="T70" s="17">
        <v>3.9</v>
      </c>
      <c r="U70" s="17">
        <v>0.86699999999999999</v>
      </c>
      <c r="V70" s="17">
        <v>2.2999999999999998</v>
      </c>
      <c r="W70" s="17">
        <v>5.9</v>
      </c>
      <c r="X70" s="17">
        <v>8.3000000000000007</v>
      </c>
      <c r="Y70" s="17">
        <v>2.5</v>
      </c>
      <c r="Z70" s="17">
        <v>1.1000000000000001</v>
      </c>
      <c r="AA70" s="17">
        <v>0.9</v>
      </c>
      <c r="AB70" s="17">
        <v>2.5</v>
      </c>
      <c r="AC70" s="17">
        <v>2.9</v>
      </c>
      <c r="AD70" s="17">
        <v>17.899999999999999</v>
      </c>
      <c r="AE70" s="17"/>
      <c r="AG70" s="8" t="str">
        <v>John Collins</v>
      </c>
      <c r="AH70" s="8" t="str">
        <v>UTA</v>
      </c>
    </row>
    <row r="71" spans="1:34" ht="17" x14ac:dyDescent="0.2">
      <c r="A71" s="1">
        <v>69</v>
      </c>
      <c r="B71" s="18" t="s">
        <v>107</v>
      </c>
      <c r="C71" s="17">
        <v>35</v>
      </c>
      <c r="D71" s="18" t="s">
        <v>33</v>
      </c>
      <c r="E71" s="17" t="s">
        <v>27</v>
      </c>
      <c r="F71" s="17">
        <v>22</v>
      </c>
      <c r="G71" s="17">
        <v>22</v>
      </c>
      <c r="H71" s="17">
        <v>30.8</v>
      </c>
      <c r="I71" s="17">
        <v>5.8</v>
      </c>
      <c r="J71" s="17">
        <v>10.5</v>
      </c>
      <c r="K71" s="17">
        <v>0.55200000000000005</v>
      </c>
      <c r="L71" s="17">
        <v>0.5</v>
      </c>
      <c r="M71" s="17">
        <v>1.5</v>
      </c>
      <c r="N71" s="17">
        <v>0.375</v>
      </c>
      <c r="O71" s="17">
        <v>5.3</v>
      </c>
      <c r="P71" s="17">
        <v>9.1</v>
      </c>
      <c r="Q71" s="17">
        <v>0.57999999999999996</v>
      </c>
      <c r="R71" s="17">
        <v>0.57799999999999996</v>
      </c>
      <c r="S71" s="17">
        <v>5.4</v>
      </c>
      <c r="T71" s="17">
        <v>6.9</v>
      </c>
      <c r="U71" s="17">
        <v>0.78800000000000003</v>
      </c>
      <c r="V71" s="17">
        <v>2.2999999999999998</v>
      </c>
      <c r="W71" s="17">
        <v>3.2</v>
      </c>
      <c r="X71" s="17">
        <v>5.5</v>
      </c>
      <c r="Y71" s="17">
        <v>4.7</v>
      </c>
      <c r="Z71" s="17">
        <v>1.2</v>
      </c>
      <c r="AA71" s="17">
        <v>0.4</v>
      </c>
      <c r="AB71" s="17">
        <v>1.2</v>
      </c>
      <c r="AC71" s="17">
        <v>1</v>
      </c>
      <c r="AD71" s="17">
        <v>17.600000000000001</v>
      </c>
      <c r="AE71" s="17"/>
      <c r="AG71" s="8" t="str">
        <v>Jimmy Butler</v>
      </c>
      <c r="AH71" s="8" t="str">
        <v>MIA</v>
      </c>
    </row>
    <row r="72" spans="1:34" ht="17" x14ac:dyDescent="0.2">
      <c r="A72" s="1">
        <v>70</v>
      </c>
      <c r="B72" s="18" t="s">
        <v>217</v>
      </c>
      <c r="C72" s="17">
        <v>22</v>
      </c>
      <c r="D72" s="18" t="s">
        <v>60</v>
      </c>
      <c r="E72" s="17" t="s">
        <v>35</v>
      </c>
      <c r="F72" s="17">
        <v>30</v>
      </c>
      <c r="G72" s="17">
        <v>30</v>
      </c>
      <c r="H72" s="17">
        <v>29.9</v>
      </c>
      <c r="I72" s="17">
        <v>6.3</v>
      </c>
      <c r="J72" s="17">
        <v>13.8</v>
      </c>
      <c r="K72" s="17">
        <v>0.46</v>
      </c>
      <c r="L72" s="17">
        <v>2.1</v>
      </c>
      <c r="M72" s="17">
        <v>5.0999999999999996</v>
      </c>
      <c r="N72" s="17">
        <v>0.40899999999999997</v>
      </c>
      <c r="O72" s="17">
        <v>4.2</v>
      </c>
      <c r="P72" s="17">
        <v>8.6</v>
      </c>
      <c r="Q72" s="17">
        <v>0.49</v>
      </c>
      <c r="R72" s="17">
        <v>0.53600000000000003</v>
      </c>
      <c r="S72" s="17">
        <v>2.8</v>
      </c>
      <c r="T72" s="17">
        <v>3.9</v>
      </c>
      <c r="U72" s="17">
        <v>0.73299999999999998</v>
      </c>
      <c r="V72" s="17">
        <v>1.3</v>
      </c>
      <c r="W72" s="17">
        <v>2.8</v>
      </c>
      <c r="X72" s="17">
        <v>4.0999999999999996</v>
      </c>
      <c r="Y72" s="17">
        <v>4</v>
      </c>
      <c r="Z72" s="17">
        <v>0.9</v>
      </c>
      <c r="AA72" s="17">
        <v>0.4</v>
      </c>
      <c r="AB72" s="17">
        <v>3</v>
      </c>
      <c r="AC72" s="17">
        <v>2.2000000000000002</v>
      </c>
      <c r="AD72" s="17">
        <v>17.600000000000001</v>
      </c>
      <c r="AE72" s="17"/>
      <c r="AG72" s="8" t="str">
        <v>Jaden Ivey</v>
      </c>
      <c r="AH72" s="8" t="str">
        <v>DET</v>
      </c>
    </row>
    <row r="73" spans="1:34" ht="17" x14ac:dyDescent="0.2">
      <c r="A73" s="1">
        <v>71</v>
      </c>
      <c r="B73" s="18" t="s">
        <v>420</v>
      </c>
      <c r="C73" s="17">
        <v>30</v>
      </c>
      <c r="D73" s="18" t="s">
        <v>68</v>
      </c>
      <c r="E73" s="17" t="s">
        <v>35</v>
      </c>
      <c r="F73" s="17">
        <v>35</v>
      </c>
      <c r="G73" s="17">
        <v>35</v>
      </c>
      <c r="H73" s="17">
        <v>34.299999999999997</v>
      </c>
      <c r="I73" s="17">
        <v>5.9</v>
      </c>
      <c r="J73" s="17">
        <v>13.1</v>
      </c>
      <c r="K73" s="17">
        <v>0.45200000000000001</v>
      </c>
      <c r="L73" s="17">
        <v>3.6</v>
      </c>
      <c r="M73" s="17">
        <v>9.1</v>
      </c>
      <c r="N73" s="17">
        <v>0.39200000000000002</v>
      </c>
      <c r="O73" s="17">
        <v>2.2999999999999998</v>
      </c>
      <c r="P73" s="17">
        <v>4</v>
      </c>
      <c r="Q73" s="17">
        <v>0.59</v>
      </c>
      <c r="R73" s="17">
        <v>0.58799999999999997</v>
      </c>
      <c r="S73" s="17">
        <v>1.7</v>
      </c>
      <c r="T73" s="17">
        <v>2.1</v>
      </c>
      <c r="U73" s="17">
        <v>0.82199999999999995</v>
      </c>
      <c r="V73" s="17">
        <v>0.9</v>
      </c>
      <c r="W73" s="17">
        <v>3.6</v>
      </c>
      <c r="X73" s="17">
        <v>4.5</v>
      </c>
      <c r="Y73" s="17">
        <v>4.4000000000000004</v>
      </c>
      <c r="Z73" s="17">
        <v>0.9</v>
      </c>
      <c r="AA73" s="17">
        <v>1.3</v>
      </c>
      <c r="AB73" s="17">
        <v>1.7</v>
      </c>
      <c r="AC73" s="17">
        <v>2.1</v>
      </c>
      <c r="AD73" s="17">
        <v>17.100000000000001</v>
      </c>
      <c r="AE73" s="17"/>
      <c r="AG73" s="8" t="str">
        <v>Derrick White</v>
      </c>
      <c r="AH73" s="8" t="str">
        <v>BOS</v>
      </c>
    </row>
    <row r="74" spans="1:34" ht="17" x14ac:dyDescent="0.2">
      <c r="A74" s="1">
        <v>72</v>
      </c>
      <c r="B74" s="18" t="s">
        <v>295</v>
      </c>
      <c r="C74" s="17">
        <v>26</v>
      </c>
      <c r="D74" s="18" t="s">
        <v>72</v>
      </c>
      <c r="E74" s="17" t="s">
        <v>35</v>
      </c>
      <c r="F74" s="17">
        <v>30</v>
      </c>
      <c r="G74" s="17">
        <v>17</v>
      </c>
      <c r="H74" s="17">
        <v>30.8</v>
      </c>
      <c r="I74" s="17">
        <v>6</v>
      </c>
      <c r="J74" s="17">
        <v>13.7</v>
      </c>
      <c r="K74" s="17">
        <v>0.439</v>
      </c>
      <c r="L74" s="17">
        <v>2.4</v>
      </c>
      <c r="M74" s="17">
        <v>7</v>
      </c>
      <c r="N74" s="17">
        <v>0.34899999999999998</v>
      </c>
      <c r="O74" s="17">
        <v>3.6</v>
      </c>
      <c r="P74" s="17">
        <v>6.7</v>
      </c>
      <c r="Q74" s="17">
        <v>0.53200000000000003</v>
      </c>
      <c r="R74" s="17">
        <v>0.52800000000000002</v>
      </c>
      <c r="S74" s="17">
        <v>2.6</v>
      </c>
      <c r="T74" s="17">
        <v>2.9</v>
      </c>
      <c r="U74" s="17">
        <v>0.88500000000000001</v>
      </c>
      <c r="V74" s="17">
        <v>0.3</v>
      </c>
      <c r="W74" s="17">
        <v>3.3</v>
      </c>
      <c r="X74" s="17">
        <v>3.6</v>
      </c>
      <c r="Y74" s="17">
        <v>5.2</v>
      </c>
      <c r="Z74" s="17">
        <v>0.9</v>
      </c>
      <c r="AA74" s="17">
        <v>0.5</v>
      </c>
      <c r="AB74" s="17">
        <v>2</v>
      </c>
      <c r="AC74" s="17">
        <v>2.5</v>
      </c>
      <c r="AD74" s="17">
        <v>17</v>
      </c>
      <c r="AE74" s="17"/>
      <c r="AG74" s="8" t="str">
        <v>Malik Monk</v>
      </c>
      <c r="AH74" s="8" t="str">
        <v>SAC</v>
      </c>
    </row>
    <row r="75" spans="1:34" ht="17" x14ac:dyDescent="0.2">
      <c r="A75" s="1">
        <v>73</v>
      </c>
      <c r="B75" s="18" t="s">
        <v>249</v>
      </c>
      <c r="C75" s="17">
        <v>22</v>
      </c>
      <c r="D75" s="18" t="s">
        <v>134</v>
      </c>
      <c r="E75" s="17" t="s">
        <v>27</v>
      </c>
      <c r="F75" s="17">
        <v>32</v>
      </c>
      <c r="G75" s="17">
        <v>10</v>
      </c>
      <c r="H75" s="17">
        <v>26</v>
      </c>
      <c r="I75" s="17">
        <v>6.1</v>
      </c>
      <c r="J75" s="17">
        <v>13.2</v>
      </c>
      <c r="K75" s="17">
        <v>0.45900000000000002</v>
      </c>
      <c r="L75" s="17">
        <v>1.3</v>
      </c>
      <c r="M75" s="17">
        <v>3.6</v>
      </c>
      <c r="N75" s="17">
        <v>0.34499999999999997</v>
      </c>
      <c r="O75" s="17">
        <v>4.8</v>
      </c>
      <c r="P75" s="17">
        <v>9.6</v>
      </c>
      <c r="Q75" s="17">
        <v>0.502</v>
      </c>
      <c r="R75" s="17">
        <v>0.50600000000000001</v>
      </c>
      <c r="S75" s="17">
        <v>3.4</v>
      </c>
      <c r="T75" s="17">
        <v>5.3</v>
      </c>
      <c r="U75" s="17">
        <v>0.63900000000000001</v>
      </c>
      <c r="V75" s="17">
        <v>1.4</v>
      </c>
      <c r="W75" s="17">
        <v>3.6</v>
      </c>
      <c r="X75" s="17">
        <v>5</v>
      </c>
      <c r="Y75" s="17">
        <v>2.2000000000000002</v>
      </c>
      <c r="Z75" s="17">
        <v>0.9</v>
      </c>
      <c r="AA75" s="17">
        <v>0.6</v>
      </c>
      <c r="AB75" s="17">
        <v>1.6</v>
      </c>
      <c r="AC75" s="17">
        <v>1.9</v>
      </c>
      <c r="AD75" s="17">
        <v>16.8</v>
      </c>
      <c r="AE75" s="17"/>
      <c r="AG75" s="8" t="str">
        <v>Jonathan Kuminga</v>
      </c>
      <c r="AH75" s="8" t="str">
        <v>GSW</v>
      </c>
    </row>
    <row r="76" spans="1:34" ht="17" x14ac:dyDescent="0.2">
      <c r="A76" s="1">
        <v>74</v>
      </c>
      <c r="B76" s="18" t="s">
        <v>66</v>
      </c>
      <c r="C76" s="17">
        <v>26</v>
      </c>
      <c r="D76" s="18" t="s">
        <v>38</v>
      </c>
      <c r="E76" s="17" t="s">
        <v>35</v>
      </c>
      <c r="F76" s="17">
        <v>29</v>
      </c>
      <c r="G76" s="17">
        <v>28</v>
      </c>
      <c r="H76" s="17">
        <v>28.9</v>
      </c>
      <c r="I76" s="17">
        <v>6.2</v>
      </c>
      <c r="J76" s="17">
        <v>13.1</v>
      </c>
      <c r="K76" s="17">
        <v>0.47099999999999997</v>
      </c>
      <c r="L76" s="17">
        <v>2</v>
      </c>
      <c r="M76" s="17">
        <v>5.8</v>
      </c>
      <c r="N76" s="17">
        <v>0.34899999999999998</v>
      </c>
      <c r="O76" s="17">
        <v>4.0999999999999996</v>
      </c>
      <c r="P76" s="17">
        <v>7.3</v>
      </c>
      <c r="Q76" s="17">
        <v>0.56899999999999995</v>
      </c>
      <c r="R76" s="17">
        <v>0.54900000000000004</v>
      </c>
      <c r="S76" s="17">
        <v>2.2999999999999998</v>
      </c>
      <c r="T76" s="17">
        <v>2.7</v>
      </c>
      <c r="U76" s="17">
        <v>0.84599999999999997</v>
      </c>
      <c r="V76" s="17">
        <v>0.8</v>
      </c>
      <c r="W76" s="17">
        <v>5</v>
      </c>
      <c r="X76" s="17">
        <v>5.8</v>
      </c>
      <c r="Y76" s="17">
        <v>5.0999999999999996</v>
      </c>
      <c r="Z76" s="17">
        <v>1.2</v>
      </c>
      <c r="AA76" s="17">
        <v>0.5</v>
      </c>
      <c r="AB76" s="17">
        <v>2.6</v>
      </c>
      <c r="AC76" s="17">
        <v>2.6</v>
      </c>
      <c r="AD76" s="17">
        <v>16.7</v>
      </c>
      <c r="AE76" s="17"/>
      <c r="AG76" s="8" t="str">
        <v>Desmond Bane</v>
      </c>
      <c r="AH76" s="8" t="str">
        <v>MEM</v>
      </c>
    </row>
    <row r="77" spans="1:34" ht="17" x14ac:dyDescent="0.2">
      <c r="A77" s="1">
        <v>75</v>
      </c>
      <c r="B77" s="18" t="s">
        <v>53</v>
      </c>
      <c r="C77" s="17">
        <v>27</v>
      </c>
      <c r="D77" s="18" t="s">
        <v>31</v>
      </c>
      <c r="E77" s="17" t="s">
        <v>27</v>
      </c>
      <c r="F77" s="19">
        <v>38</v>
      </c>
      <c r="G77" s="17">
        <v>38</v>
      </c>
      <c r="H77" s="17">
        <v>36.5</v>
      </c>
      <c r="I77" s="17">
        <v>6.3</v>
      </c>
      <c r="J77" s="17">
        <v>13.1</v>
      </c>
      <c r="K77" s="17">
        <v>0.47799999999999998</v>
      </c>
      <c r="L77" s="17">
        <v>2.1</v>
      </c>
      <c r="M77" s="17">
        <v>5.9</v>
      </c>
      <c r="N77" s="17">
        <v>0.35699999999999998</v>
      </c>
      <c r="O77" s="17">
        <v>4.2</v>
      </c>
      <c r="P77" s="17">
        <v>7.2</v>
      </c>
      <c r="Q77" s="17">
        <v>0.57699999999999996</v>
      </c>
      <c r="R77" s="17">
        <v>0.55800000000000005</v>
      </c>
      <c r="S77" s="17">
        <v>1.9</v>
      </c>
      <c r="T77" s="17">
        <v>2.4</v>
      </c>
      <c r="U77" s="17">
        <v>0.79600000000000004</v>
      </c>
      <c r="V77" s="17">
        <v>1.2</v>
      </c>
      <c r="W77" s="17">
        <v>3.6</v>
      </c>
      <c r="X77" s="17">
        <v>4.8</v>
      </c>
      <c r="Y77" s="17">
        <v>1.9</v>
      </c>
      <c r="Z77" s="17">
        <v>1.4</v>
      </c>
      <c r="AA77" s="17">
        <v>0.9</v>
      </c>
      <c r="AB77" s="17">
        <v>1.3</v>
      </c>
      <c r="AC77" s="17">
        <v>2.4</v>
      </c>
      <c r="AD77" s="17">
        <v>16.600000000000001</v>
      </c>
      <c r="AE77" s="17"/>
      <c r="AG77" s="8" t="str">
        <v>OG Anunoby</v>
      </c>
      <c r="AH77" s="8" t="str">
        <v>NYK</v>
      </c>
    </row>
    <row r="78" spans="1:34" ht="17" x14ac:dyDescent="0.2">
      <c r="A78" s="1">
        <v>76</v>
      </c>
      <c r="B78" s="18" t="s">
        <v>141</v>
      </c>
      <c r="C78" s="17">
        <v>21</v>
      </c>
      <c r="D78" s="18" t="s">
        <v>30</v>
      </c>
      <c r="E78" s="17" t="s">
        <v>35</v>
      </c>
      <c r="F78" s="17">
        <v>32</v>
      </c>
      <c r="G78" s="17">
        <v>32</v>
      </c>
      <c r="H78" s="17">
        <v>31</v>
      </c>
      <c r="I78" s="17">
        <v>5.7</v>
      </c>
      <c r="J78" s="17">
        <v>13.8</v>
      </c>
      <c r="K78" s="17">
        <v>0.41</v>
      </c>
      <c r="L78" s="17">
        <v>2.4</v>
      </c>
      <c r="M78" s="17">
        <v>6.8</v>
      </c>
      <c r="N78" s="17">
        <v>0.34899999999999998</v>
      </c>
      <c r="O78" s="17">
        <v>3.3</v>
      </c>
      <c r="P78" s="17">
        <v>7</v>
      </c>
      <c r="Q78" s="17">
        <v>0.46899999999999997</v>
      </c>
      <c r="R78" s="17">
        <v>0.495</v>
      </c>
      <c r="S78" s="17">
        <v>2.9</v>
      </c>
      <c r="T78" s="17">
        <v>3.2</v>
      </c>
      <c r="U78" s="17">
        <v>0.89300000000000002</v>
      </c>
      <c r="V78" s="17">
        <v>0.8</v>
      </c>
      <c r="W78" s="17">
        <v>2.7</v>
      </c>
      <c r="X78" s="17">
        <v>3.5</v>
      </c>
      <c r="Y78" s="17">
        <v>2.1</v>
      </c>
      <c r="Z78" s="17">
        <v>0.9</v>
      </c>
      <c r="AA78" s="17">
        <v>0.2</v>
      </c>
      <c r="AB78" s="17">
        <v>1.8</v>
      </c>
      <c r="AC78" s="17">
        <v>2.2999999999999998</v>
      </c>
      <c r="AD78" s="17">
        <v>16.600000000000001</v>
      </c>
      <c r="AE78" s="17"/>
      <c r="AG78" s="8" t="str">
        <v>Gradey Dick</v>
      </c>
      <c r="AH78" s="8" t="str">
        <v>TOR</v>
      </c>
    </row>
    <row r="79" spans="1:34" ht="17" x14ac:dyDescent="0.2">
      <c r="A79" s="1">
        <v>77</v>
      </c>
      <c r="B79" s="18" t="s">
        <v>203</v>
      </c>
      <c r="C79" s="17">
        <v>22</v>
      </c>
      <c r="D79" s="18" t="s">
        <v>81</v>
      </c>
      <c r="E79" s="17" t="s">
        <v>29</v>
      </c>
      <c r="F79" s="17">
        <v>10</v>
      </c>
      <c r="G79" s="17">
        <v>10</v>
      </c>
      <c r="H79" s="17">
        <v>26.5</v>
      </c>
      <c r="I79" s="17">
        <v>5.6</v>
      </c>
      <c r="J79" s="17">
        <v>11.1</v>
      </c>
      <c r="K79" s="17">
        <v>0.505</v>
      </c>
      <c r="L79" s="17">
        <v>1.4</v>
      </c>
      <c r="M79" s="17">
        <v>3.7</v>
      </c>
      <c r="N79" s="17">
        <v>0.378</v>
      </c>
      <c r="O79" s="17">
        <v>4.2</v>
      </c>
      <c r="P79" s="17">
        <v>7.4</v>
      </c>
      <c r="Q79" s="17">
        <v>0.56799999999999995</v>
      </c>
      <c r="R79" s="17">
        <v>0.56799999999999995</v>
      </c>
      <c r="S79" s="17">
        <v>3.8</v>
      </c>
      <c r="T79" s="17">
        <v>4.9000000000000004</v>
      </c>
      <c r="U79" s="17">
        <v>0.77600000000000002</v>
      </c>
      <c r="V79" s="17">
        <v>1.6</v>
      </c>
      <c r="W79" s="17">
        <v>7.1</v>
      </c>
      <c r="X79" s="17">
        <v>8.6999999999999993</v>
      </c>
      <c r="Y79" s="17">
        <v>2</v>
      </c>
      <c r="Z79" s="17">
        <v>0.8</v>
      </c>
      <c r="AA79" s="17">
        <v>2.6</v>
      </c>
      <c r="AB79" s="17">
        <v>2.2999999999999998</v>
      </c>
      <c r="AC79" s="17">
        <v>1.8</v>
      </c>
      <c r="AD79" s="17">
        <v>16.399999999999999</v>
      </c>
      <c r="AE79" s="17"/>
      <c r="AG79" s="8" t="str">
        <v>Chet Holmgren</v>
      </c>
      <c r="AH79" s="8" t="str">
        <v>OKC</v>
      </c>
    </row>
    <row r="80" spans="1:34" ht="17" x14ac:dyDescent="0.2">
      <c r="A80" s="1">
        <v>78</v>
      </c>
      <c r="B80" s="18" t="s">
        <v>275</v>
      </c>
      <c r="C80" s="17">
        <v>22</v>
      </c>
      <c r="D80" s="18" t="s">
        <v>99</v>
      </c>
      <c r="E80" s="17" t="s">
        <v>35</v>
      </c>
      <c r="F80" s="19">
        <v>38</v>
      </c>
      <c r="G80" s="17">
        <v>33</v>
      </c>
      <c r="H80" s="17">
        <v>32.700000000000003</v>
      </c>
      <c r="I80" s="17">
        <v>5.7</v>
      </c>
      <c r="J80" s="17">
        <v>12.3</v>
      </c>
      <c r="K80" s="17">
        <v>0.46100000000000002</v>
      </c>
      <c r="L80" s="17">
        <v>1.4</v>
      </c>
      <c r="M80" s="17">
        <v>4</v>
      </c>
      <c r="N80" s="17">
        <v>0.36199999999999999</v>
      </c>
      <c r="O80" s="17">
        <v>4.2</v>
      </c>
      <c r="P80" s="17">
        <v>8.3000000000000007</v>
      </c>
      <c r="Q80" s="17">
        <v>0.50800000000000001</v>
      </c>
      <c r="R80" s="17">
        <v>0.51900000000000002</v>
      </c>
      <c r="S80" s="17">
        <v>3.6</v>
      </c>
      <c r="T80" s="17">
        <v>4.4000000000000004</v>
      </c>
      <c r="U80" s="17">
        <v>0.83099999999999996</v>
      </c>
      <c r="V80" s="17">
        <v>1.3</v>
      </c>
      <c r="W80" s="17">
        <v>4.8</v>
      </c>
      <c r="X80" s="17">
        <v>6.1</v>
      </c>
      <c r="Y80" s="17">
        <v>1.9</v>
      </c>
      <c r="Z80" s="17">
        <v>0.6</v>
      </c>
      <c r="AA80" s="17">
        <v>0.3</v>
      </c>
      <c r="AB80" s="17">
        <v>2.1</v>
      </c>
      <c r="AC80" s="17">
        <v>2.7</v>
      </c>
      <c r="AD80" s="17">
        <v>16.399999999999999</v>
      </c>
      <c r="AE80" s="17"/>
      <c r="AG80" s="8" t="str">
        <v>Bennedict Mathurin</v>
      </c>
      <c r="AH80" s="8" t="str">
        <v>IND</v>
      </c>
    </row>
    <row r="81" spans="1:34" ht="17" x14ac:dyDescent="0.2">
      <c r="A81" s="1">
        <v>79</v>
      </c>
      <c r="B81" s="18" t="s">
        <v>382</v>
      </c>
      <c r="C81" s="17">
        <v>23</v>
      </c>
      <c r="D81" s="18" t="s">
        <v>52</v>
      </c>
      <c r="E81" s="17" t="s">
        <v>46</v>
      </c>
      <c r="F81" s="17">
        <v>34</v>
      </c>
      <c r="G81" s="17">
        <v>34</v>
      </c>
      <c r="H81" s="17">
        <v>29</v>
      </c>
      <c r="I81" s="17">
        <v>5.7</v>
      </c>
      <c r="J81" s="17">
        <v>13.9</v>
      </c>
      <c r="K81" s="17">
        <v>0.41</v>
      </c>
      <c r="L81" s="17">
        <v>2.2000000000000002</v>
      </c>
      <c r="M81" s="17">
        <v>7</v>
      </c>
      <c r="N81" s="17">
        <v>0.312</v>
      </c>
      <c r="O81" s="17">
        <v>3.5</v>
      </c>
      <c r="P81" s="17">
        <v>6.9</v>
      </c>
      <c r="Q81" s="17">
        <v>0.50800000000000001</v>
      </c>
      <c r="R81" s="17">
        <v>0.48799999999999999</v>
      </c>
      <c r="S81" s="17">
        <v>2.9</v>
      </c>
      <c r="T81" s="17">
        <v>3.1</v>
      </c>
      <c r="U81" s="17">
        <v>0.90700000000000003</v>
      </c>
      <c r="V81" s="17">
        <v>0.7</v>
      </c>
      <c r="W81" s="17">
        <v>3.4</v>
      </c>
      <c r="X81" s="17">
        <v>4.0999999999999996</v>
      </c>
      <c r="Y81" s="17">
        <v>3.7</v>
      </c>
      <c r="Z81" s="17">
        <v>1.5</v>
      </c>
      <c r="AA81" s="17">
        <v>1</v>
      </c>
      <c r="AB81" s="17">
        <v>2.9</v>
      </c>
      <c r="AC81" s="17">
        <v>2.7</v>
      </c>
      <c r="AD81" s="17">
        <v>16.399999999999999</v>
      </c>
      <c r="AE81" s="17"/>
      <c r="AG81" s="8" t="str">
        <v>Jalen Suggs</v>
      </c>
      <c r="AH81" s="8" t="str">
        <v>ORL</v>
      </c>
    </row>
    <row r="82" spans="1:34" ht="17" x14ac:dyDescent="0.2">
      <c r="A82" s="1">
        <v>80</v>
      </c>
      <c r="B82" s="18" t="s">
        <v>423</v>
      </c>
      <c r="C82" s="17">
        <v>29</v>
      </c>
      <c r="D82" s="18" t="s">
        <v>134</v>
      </c>
      <c r="E82" s="17" t="s">
        <v>54</v>
      </c>
      <c r="F82" s="17">
        <v>32</v>
      </c>
      <c r="G82" s="17">
        <v>32</v>
      </c>
      <c r="H82" s="17">
        <v>29</v>
      </c>
      <c r="I82" s="17">
        <v>5.8</v>
      </c>
      <c r="J82" s="17">
        <v>12.9</v>
      </c>
      <c r="K82" s="17">
        <v>0.45400000000000001</v>
      </c>
      <c r="L82" s="17">
        <v>2.1</v>
      </c>
      <c r="M82" s="17">
        <v>5.3</v>
      </c>
      <c r="N82" s="17">
        <v>0.39400000000000002</v>
      </c>
      <c r="O82" s="17">
        <v>3.8</v>
      </c>
      <c r="P82" s="17">
        <v>7.6</v>
      </c>
      <c r="Q82" s="17">
        <v>0.496</v>
      </c>
      <c r="R82" s="17">
        <v>0.53500000000000003</v>
      </c>
      <c r="S82" s="17">
        <v>2.7</v>
      </c>
      <c r="T82" s="17">
        <v>3.3</v>
      </c>
      <c r="U82" s="17">
        <v>0.79400000000000004</v>
      </c>
      <c r="V82" s="17">
        <v>1.5</v>
      </c>
      <c r="W82" s="17">
        <v>2.9</v>
      </c>
      <c r="X82" s="17">
        <v>4.4000000000000004</v>
      </c>
      <c r="Y82" s="17">
        <v>2.2999999999999998</v>
      </c>
      <c r="Z82" s="17">
        <v>0.9</v>
      </c>
      <c r="AA82" s="17">
        <v>0.8</v>
      </c>
      <c r="AB82" s="17">
        <v>1.2</v>
      </c>
      <c r="AC82" s="17">
        <v>1.8</v>
      </c>
      <c r="AD82" s="17">
        <v>16.399999999999999</v>
      </c>
      <c r="AE82" s="17"/>
      <c r="AG82" s="8" t="str">
        <v>Andrew Wiggins</v>
      </c>
      <c r="AH82" s="8" t="str">
        <v>GSW</v>
      </c>
    </row>
    <row r="83" spans="1:34" ht="17" x14ac:dyDescent="0.2">
      <c r="A83" s="1">
        <v>81</v>
      </c>
      <c r="B83" s="18" t="s">
        <v>79</v>
      </c>
      <c r="C83" s="17">
        <v>28</v>
      </c>
      <c r="D83" s="18" t="s">
        <v>60</v>
      </c>
      <c r="E83" s="17" t="s">
        <v>35</v>
      </c>
      <c r="F83" s="19">
        <v>38</v>
      </c>
      <c r="G83" s="17">
        <v>11</v>
      </c>
      <c r="H83" s="17">
        <v>28.6</v>
      </c>
      <c r="I83" s="17">
        <v>5.7</v>
      </c>
      <c r="J83" s="17">
        <v>13.7</v>
      </c>
      <c r="K83" s="17">
        <v>0.42</v>
      </c>
      <c r="L83" s="17">
        <v>3.7</v>
      </c>
      <c r="M83" s="17">
        <v>9.5</v>
      </c>
      <c r="N83" s="17">
        <v>0.39100000000000001</v>
      </c>
      <c r="O83" s="17">
        <v>2</v>
      </c>
      <c r="P83" s="17">
        <v>4.2</v>
      </c>
      <c r="Q83" s="17">
        <v>0.48699999999999999</v>
      </c>
      <c r="R83" s="17">
        <v>0.55600000000000005</v>
      </c>
      <c r="S83" s="17">
        <v>1.1000000000000001</v>
      </c>
      <c r="T83" s="17">
        <v>1.6</v>
      </c>
      <c r="U83" s="17">
        <v>0.71199999999999997</v>
      </c>
      <c r="V83" s="17">
        <v>0.6</v>
      </c>
      <c r="W83" s="17">
        <v>2.5</v>
      </c>
      <c r="X83" s="17">
        <v>3.1</v>
      </c>
      <c r="Y83" s="17">
        <v>1.9</v>
      </c>
      <c r="Z83" s="17">
        <v>0.9</v>
      </c>
      <c r="AA83" s="17">
        <v>0.1</v>
      </c>
      <c r="AB83" s="17">
        <v>1.1000000000000001</v>
      </c>
      <c r="AC83" s="17">
        <v>1.4</v>
      </c>
      <c r="AD83" s="17">
        <v>16.3</v>
      </c>
      <c r="AE83" s="17"/>
      <c r="AG83" s="8" t="str">
        <v>Malik Beasley</v>
      </c>
      <c r="AH83" s="8" t="str">
        <v>DET</v>
      </c>
    </row>
    <row r="84" spans="1:34" ht="17" x14ac:dyDescent="0.2">
      <c r="A84" s="1">
        <v>82</v>
      </c>
      <c r="B84" s="18" t="s">
        <v>302</v>
      </c>
      <c r="C84" s="17">
        <v>28</v>
      </c>
      <c r="D84" s="18" t="s">
        <v>47</v>
      </c>
      <c r="E84" s="17" t="s">
        <v>46</v>
      </c>
      <c r="F84" s="17">
        <v>21</v>
      </c>
      <c r="G84" s="17">
        <v>21</v>
      </c>
      <c r="H84" s="17">
        <v>33.299999999999997</v>
      </c>
      <c r="I84" s="17">
        <v>6.1</v>
      </c>
      <c r="J84" s="17">
        <v>15.9</v>
      </c>
      <c r="K84" s="17">
        <v>0.38700000000000001</v>
      </c>
      <c r="L84" s="17">
        <v>1.3</v>
      </c>
      <c r="M84" s="17">
        <v>5.2</v>
      </c>
      <c r="N84" s="17">
        <v>0.255</v>
      </c>
      <c r="O84" s="17">
        <v>4.8</v>
      </c>
      <c r="P84" s="17">
        <v>10.6</v>
      </c>
      <c r="Q84" s="17">
        <v>0.45300000000000001</v>
      </c>
      <c r="R84" s="17">
        <v>0.42899999999999999</v>
      </c>
      <c r="S84" s="17">
        <v>2.7</v>
      </c>
      <c r="T84" s="17">
        <v>3.3</v>
      </c>
      <c r="U84" s="17">
        <v>0.81200000000000006</v>
      </c>
      <c r="V84" s="17">
        <v>0.5</v>
      </c>
      <c r="W84" s="17">
        <v>5.7</v>
      </c>
      <c r="X84" s="17">
        <v>6.2</v>
      </c>
      <c r="Y84" s="17">
        <v>7.7</v>
      </c>
      <c r="Z84" s="17">
        <v>2.5</v>
      </c>
      <c r="AA84" s="17">
        <v>0.5</v>
      </c>
      <c r="AB84" s="17">
        <v>3.8</v>
      </c>
      <c r="AC84" s="17">
        <v>2.2000000000000002</v>
      </c>
      <c r="AD84" s="17">
        <v>16.3</v>
      </c>
      <c r="AE84" s="17"/>
      <c r="AG84" s="8" t="str">
        <v>Dejounte Murray</v>
      </c>
      <c r="AH84" s="8" t="str">
        <v>NOP</v>
      </c>
    </row>
    <row r="85" spans="1:34" ht="17" x14ac:dyDescent="0.2">
      <c r="A85" s="1">
        <v>83</v>
      </c>
      <c r="B85" s="18" t="s">
        <v>32</v>
      </c>
      <c r="C85" s="17">
        <v>27</v>
      </c>
      <c r="D85" s="18" t="s">
        <v>33</v>
      </c>
      <c r="E85" s="17" t="s">
        <v>29</v>
      </c>
      <c r="F85" s="17">
        <v>36</v>
      </c>
      <c r="G85" s="17">
        <v>36</v>
      </c>
      <c r="H85" s="17">
        <v>34.200000000000003</v>
      </c>
      <c r="I85" s="17">
        <v>6.2</v>
      </c>
      <c r="J85" s="17">
        <v>13.6</v>
      </c>
      <c r="K85" s="17">
        <v>0.45600000000000002</v>
      </c>
      <c r="L85" s="17">
        <v>0.7</v>
      </c>
      <c r="M85" s="17">
        <v>2.6</v>
      </c>
      <c r="N85" s="17">
        <v>0.28299999999999997</v>
      </c>
      <c r="O85" s="17">
        <v>5.5</v>
      </c>
      <c r="P85" s="17">
        <v>11</v>
      </c>
      <c r="Q85" s="17">
        <v>0.496</v>
      </c>
      <c r="R85" s="17">
        <v>0.48299999999999998</v>
      </c>
      <c r="S85" s="17">
        <v>3.1</v>
      </c>
      <c r="T85" s="17">
        <v>4.3</v>
      </c>
      <c r="U85" s="17">
        <v>0.71599999999999997</v>
      </c>
      <c r="V85" s="17">
        <v>2.4</v>
      </c>
      <c r="W85" s="17">
        <v>7.4</v>
      </c>
      <c r="X85" s="17">
        <v>9.8000000000000007</v>
      </c>
      <c r="Y85" s="17">
        <v>4.5999999999999996</v>
      </c>
      <c r="Z85" s="17">
        <v>1.6</v>
      </c>
      <c r="AA85" s="17">
        <v>0.9</v>
      </c>
      <c r="AB85" s="17">
        <v>2.1</v>
      </c>
      <c r="AC85" s="17">
        <v>2</v>
      </c>
      <c r="AD85" s="17">
        <v>16.2</v>
      </c>
      <c r="AE85" s="17"/>
      <c r="AG85" s="8" t="str">
        <v>Bam Adebayo</v>
      </c>
      <c r="AH85" s="8" t="str">
        <v>MIA</v>
      </c>
    </row>
    <row r="86" spans="1:34" ht="17" x14ac:dyDescent="0.2">
      <c r="A86" s="1">
        <v>84</v>
      </c>
      <c r="B86" s="18" t="s">
        <v>167</v>
      </c>
      <c r="C86" s="17">
        <v>34</v>
      </c>
      <c r="D86" s="18" t="s">
        <v>64</v>
      </c>
      <c r="E86" s="17" t="s">
        <v>27</v>
      </c>
      <c r="F86" s="17">
        <v>24</v>
      </c>
      <c r="G86" s="17">
        <v>24</v>
      </c>
      <c r="H86" s="17">
        <v>32</v>
      </c>
      <c r="I86" s="17">
        <v>5.8</v>
      </c>
      <c r="J86" s="17">
        <v>14.1</v>
      </c>
      <c r="K86" s="17">
        <v>0.41399999999999998</v>
      </c>
      <c r="L86" s="17">
        <v>2.2000000000000002</v>
      </c>
      <c r="M86" s="17">
        <v>6.5</v>
      </c>
      <c r="N86" s="17">
        <v>0.33500000000000002</v>
      </c>
      <c r="O86" s="17">
        <v>3.7</v>
      </c>
      <c r="P86" s="17">
        <v>7.6</v>
      </c>
      <c r="Q86" s="17">
        <v>0.48099999999999998</v>
      </c>
      <c r="R86" s="17">
        <v>0.49099999999999999</v>
      </c>
      <c r="S86" s="17">
        <v>2.2999999999999998</v>
      </c>
      <c r="T86" s="17">
        <v>2.9</v>
      </c>
      <c r="U86" s="17">
        <v>0.81200000000000006</v>
      </c>
      <c r="V86" s="17">
        <v>0.7</v>
      </c>
      <c r="W86" s="17">
        <v>4.9000000000000004</v>
      </c>
      <c r="X86" s="17">
        <v>5.6</v>
      </c>
      <c r="Y86" s="17">
        <v>4.5999999999999996</v>
      </c>
      <c r="Z86" s="17">
        <v>1.8</v>
      </c>
      <c r="AA86" s="17">
        <v>0.4</v>
      </c>
      <c r="AB86" s="17">
        <v>2.6</v>
      </c>
      <c r="AC86" s="17">
        <v>2.5</v>
      </c>
      <c r="AD86" s="17">
        <v>16.2</v>
      </c>
      <c r="AE86" s="17"/>
      <c r="AG86" s="8" t="str">
        <v>Paul George</v>
      </c>
      <c r="AH86" s="8" t="str">
        <v>PHI</v>
      </c>
    </row>
    <row r="87" spans="1:34" ht="17" x14ac:dyDescent="0.2">
      <c r="A87" s="1">
        <v>85</v>
      </c>
      <c r="B87" s="18" t="s">
        <v>120</v>
      </c>
      <c r="C87" s="17">
        <v>32</v>
      </c>
      <c r="D87" s="18" t="s">
        <v>36</v>
      </c>
      <c r="E87" s="17" t="s">
        <v>35</v>
      </c>
      <c r="F87" s="17">
        <v>22</v>
      </c>
      <c r="G87" s="17">
        <v>3</v>
      </c>
      <c r="H87" s="17">
        <v>25.5</v>
      </c>
      <c r="I87" s="17">
        <v>5.4</v>
      </c>
      <c r="J87" s="17">
        <v>13.1</v>
      </c>
      <c r="K87" s="17">
        <v>0.41299999999999998</v>
      </c>
      <c r="L87" s="17">
        <v>1.9</v>
      </c>
      <c r="M87" s="17">
        <v>5.5</v>
      </c>
      <c r="N87" s="17">
        <v>0.33900000000000002</v>
      </c>
      <c r="O87" s="17">
        <v>3.5</v>
      </c>
      <c r="P87" s="17">
        <v>7.6</v>
      </c>
      <c r="Q87" s="17">
        <v>0.46700000000000003</v>
      </c>
      <c r="R87" s="17">
        <v>0.48399999999999999</v>
      </c>
      <c r="S87" s="17">
        <v>3.3</v>
      </c>
      <c r="T87" s="17">
        <v>4.0999999999999996</v>
      </c>
      <c r="U87" s="17">
        <v>0.81100000000000005</v>
      </c>
      <c r="V87" s="17">
        <v>0.6</v>
      </c>
      <c r="W87" s="17">
        <v>2.7</v>
      </c>
      <c r="X87" s="17">
        <v>3.4</v>
      </c>
      <c r="Y87" s="17">
        <v>3.8</v>
      </c>
      <c r="Z87" s="17">
        <v>0.9</v>
      </c>
      <c r="AA87" s="17">
        <v>0.3</v>
      </c>
      <c r="AB87" s="17">
        <v>2.5</v>
      </c>
      <c r="AC87" s="17">
        <v>1.5</v>
      </c>
      <c r="AD87" s="17">
        <v>16</v>
      </c>
      <c r="AE87" s="17"/>
      <c r="AG87" s="8" t="str">
        <v>Jordan Clarkson</v>
      </c>
      <c r="AH87" s="8" t="str">
        <v>UTA</v>
      </c>
    </row>
    <row r="88" spans="1:34" ht="17" x14ac:dyDescent="0.2">
      <c r="A88" s="1">
        <v>86</v>
      </c>
      <c r="B88" s="18" t="s">
        <v>166</v>
      </c>
      <c r="C88" s="17">
        <v>21</v>
      </c>
      <c r="D88" s="18" t="s">
        <v>36</v>
      </c>
      <c r="E88" s="17" t="s">
        <v>46</v>
      </c>
      <c r="F88" s="17">
        <v>28</v>
      </c>
      <c r="G88" s="17">
        <v>28</v>
      </c>
      <c r="H88" s="17">
        <v>31.5</v>
      </c>
      <c r="I88" s="17">
        <v>5.3</v>
      </c>
      <c r="J88" s="17">
        <v>13.4</v>
      </c>
      <c r="K88" s="17">
        <v>0.39500000000000002</v>
      </c>
      <c r="L88" s="17">
        <v>2.7</v>
      </c>
      <c r="M88" s="17">
        <v>7.6</v>
      </c>
      <c r="N88" s="17">
        <v>0.35</v>
      </c>
      <c r="O88" s="17">
        <v>2.6</v>
      </c>
      <c r="P88" s="17">
        <v>5.8</v>
      </c>
      <c r="Q88" s="17">
        <v>0.45300000000000001</v>
      </c>
      <c r="R88" s="17">
        <v>0.495</v>
      </c>
      <c r="S88" s="17">
        <v>2.4</v>
      </c>
      <c r="T88" s="17">
        <v>3</v>
      </c>
      <c r="U88" s="17">
        <v>0.79800000000000004</v>
      </c>
      <c r="V88" s="17">
        <v>0.4</v>
      </c>
      <c r="W88" s="17">
        <v>2.9</v>
      </c>
      <c r="X88" s="17">
        <v>3.4</v>
      </c>
      <c r="Y88" s="17">
        <v>5.7</v>
      </c>
      <c r="Z88" s="17">
        <v>0.8</v>
      </c>
      <c r="AA88" s="17">
        <v>0.2</v>
      </c>
      <c r="AB88" s="17">
        <v>3.3</v>
      </c>
      <c r="AC88" s="17">
        <v>1.8</v>
      </c>
      <c r="AD88" s="17">
        <v>15.6</v>
      </c>
      <c r="AE88" s="17"/>
      <c r="AG88" s="8" t="str">
        <v>Keyonte George</v>
      </c>
      <c r="AH88" s="8" t="str">
        <v>UTA</v>
      </c>
    </row>
    <row r="89" spans="1:34" ht="17" x14ac:dyDescent="0.2">
      <c r="A89" s="1">
        <v>87</v>
      </c>
      <c r="B89" s="18" t="s">
        <v>364</v>
      </c>
      <c r="C89" s="17">
        <v>31</v>
      </c>
      <c r="D89" s="17" t="s">
        <v>610</v>
      </c>
      <c r="E89" s="17" t="s">
        <v>46</v>
      </c>
      <c r="F89" s="17">
        <v>35</v>
      </c>
      <c r="G89" s="17">
        <v>35</v>
      </c>
      <c r="H89" s="17">
        <v>31.8</v>
      </c>
      <c r="I89" s="17">
        <v>5.4</v>
      </c>
      <c r="J89" s="17">
        <v>12.9</v>
      </c>
      <c r="K89" s="17">
        <v>0.41699999999999998</v>
      </c>
      <c r="L89" s="17">
        <v>2.1</v>
      </c>
      <c r="M89" s="17">
        <v>5.9</v>
      </c>
      <c r="N89" s="17">
        <v>0.35099999999999998</v>
      </c>
      <c r="O89" s="17">
        <v>3.3</v>
      </c>
      <c r="P89" s="17">
        <v>6.9</v>
      </c>
      <c r="Q89" s="17">
        <v>0.47299999999999998</v>
      </c>
      <c r="R89" s="17">
        <v>0.498</v>
      </c>
      <c r="S89" s="17">
        <v>2.6</v>
      </c>
      <c r="T89" s="17">
        <v>3.1</v>
      </c>
      <c r="U89" s="17">
        <v>0.86</v>
      </c>
      <c r="V89" s="17">
        <v>0.3</v>
      </c>
      <c r="W89" s="17">
        <v>2.4</v>
      </c>
      <c r="X89" s="17">
        <v>2.7</v>
      </c>
      <c r="Y89" s="17">
        <v>6</v>
      </c>
      <c r="Z89" s="17">
        <v>0.9</v>
      </c>
      <c r="AA89" s="17">
        <v>0.2</v>
      </c>
      <c r="AB89" s="17">
        <v>2.4</v>
      </c>
      <c r="AC89" s="17">
        <v>2.5</v>
      </c>
      <c r="AD89" s="17">
        <v>15.5</v>
      </c>
      <c r="AE89" s="17"/>
      <c r="AG89" s="8" t="str">
        <v>Dennis Schröder</v>
      </c>
      <c r="AH89" s="8" t="str">
        <v>GSW</v>
      </c>
    </row>
    <row r="90" spans="1:34" ht="17" x14ac:dyDescent="0.2">
      <c r="A90" s="20">
        <v>87</v>
      </c>
      <c r="B90" s="18" t="s">
        <v>364</v>
      </c>
      <c r="C90" s="21">
        <v>31</v>
      </c>
      <c r="D90" s="18" t="s">
        <v>95</v>
      </c>
      <c r="E90" s="21" t="s">
        <v>46</v>
      </c>
      <c r="F90" s="21">
        <v>23</v>
      </c>
      <c r="G90" s="21">
        <v>23</v>
      </c>
      <c r="H90" s="21">
        <v>33.6</v>
      </c>
      <c r="I90" s="21">
        <v>6.4</v>
      </c>
      <c r="J90" s="21">
        <v>14.1</v>
      </c>
      <c r="K90" s="21">
        <v>0.45200000000000001</v>
      </c>
      <c r="L90" s="21">
        <v>2.5</v>
      </c>
      <c r="M90" s="21">
        <v>6.5</v>
      </c>
      <c r="N90" s="21">
        <v>0.38700000000000001</v>
      </c>
      <c r="O90" s="21">
        <v>3.9</v>
      </c>
      <c r="P90" s="21">
        <v>7.6</v>
      </c>
      <c r="Q90" s="21">
        <v>0.50900000000000001</v>
      </c>
      <c r="R90" s="21">
        <v>0.54200000000000004</v>
      </c>
      <c r="S90" s="21">
        <v>3.1</v>
      </c>
      <c r="T90" s="21">
        <v>3.5</v>
      </c>
      <c r="U90" s="21">
        <v>0.88900000000000001</v>
      </c>
      <c r="V90" s="21">
        <v>0.2</v>
      </c>
      <c r="W90" s="21">
        <v>2.8</v>
      </c>
      <c r="X90" s="21">
        <v>3</v>
      </c>
      <c r="Y90" s="21">
        <v>6.6</v>
      </c>
      <c r="Z90" s="21">
        <v>1.1000000000000001</v>
      </c>
      <c r="AA90" s="21">
        <v>0.2</v>
      </c>
      <c r="AB90" s="21">
        <v>2.6</v>
      </c>
      <c r="AC90" s="21">
        <v>2.4</v>
      </c>
      <c r="AD90" s="21">
        <v>18.399999999999999</v>
      </c>
      <c r="AE90" s="21"/>
      <c r="AG90" s="8" t="str">
        <v>Jared McCain</v>
      </c>
      <c r="AH90" s="8" t="str">
        <v>PHI</v>
      </c>
    </row>
    <row r="91" spans="1:34" ht="17" x14ac:dyDescent="0.2">
      <c r="A91" s="20">
        <v>87</v>
      </c>
      <c r="B91" s="18" t="s">
        <v>364</v>
      </c>
      <c r="C91" s="21">
        <v>31</v>
      </c>
      <c r="D91" s="18" t="s">
        <v>134</v>
      </c>
      <c r="E91" s="21" t="s">
        <v>46</v>
      </c>
      <c r="F91" s="21">
        <v>12</v>
      </c>
      <c r="G91" s="21">
        <v>12</v>
      </c>
      <c r="H91" s="21">
        <v>28.4</v>
      </c>
      <c r="I91" s="21">
        <v>3.4</v>
      </c>
      <c r="J91" s="21">
        <v>10.5</v>
      </c>
      <c r="K91" s="21">
        <v>0.32500000000000001</v>
      </c>
      <c r="L91" s="21">
        <v>1.3</v>
      </c>
      <c r="M91" s="21">
        <v>4.8</v>
      </c>
      <c r="N91" s="21">
        <v>0.25900000000000001</v>
      </c>
      <c r="O91" s="21">
        <v>2.2000000000000002</v>
      </c>
      <c r="P91" s="21">
        <v>5.7</v>
      </c>
      <c r="Q91" s="21">
        <v>0.38200000000000001</v>
      </c>
      <c r="R91" s="21">
        <v>0.38500000000000001</v>
      </c>
      <c r="S91" s="21">
        <v>1.7</v>
      </c>
      <c r="T91" s="21">
        <v>2.2000000000000002</v>
      </c>
      <c r="U91" s="21">
        <v>0.76900000000000002</v>
      </c>
      <c r="V91" s="21">
        <v>0.5</v>
      </c>
      <c r="W91" s="21">
        <v>1.7</v>
      </c>
      <c r="X91" s="21">
        <v>2.2000000000000002</v>
      </c>
      <c r="Y91" s="21">
        <v>4.8</v>
      </c>
      <c r="Z91" s="21">
        <v>0.6</v>
      </c>
      <c r="AA91" s="21">
        <v>0.2</v>
      </c>
      <c r="AB91" s="21">
        <v>2</v>
      </c>
      <c r="AC91" s="21">
        <v>2.6</v>
      </c>
      <c r="AD91" s="21">
        <v>9.8000000000000007</v>
      </c>
      <c r="AE91" s="21"/>
      <c r="AG91" s="8" t="str">
        <v>Devin Vassell</v>
      </c>
      <c r="AH91" s="8" t="str">
        <v>SAS</v>
      </c>
    </row>
    <row r="92" spans="1:34" ht="17" x14ac:dyDescent="0.2">
      <c r="A92" s="1">
        <v>88</v>
      </c>
      <c r="B92" s="18" t="s">
        <v>533</v>
      </c>
      <c r="C92" s="17">
        <v>20</v>
      </c>
      <c r="D92" s="18" t="s">
        <v>64</v>
      </c>
      <c r="E92" s="17" t="s">
        <v>35</v>
      </c>
      <c r="F92" s="17">
        <v>23</v>
      </c>
      <c r="G92" s="17">
        <v>8</v>
      </c>
      <c r="H92" s="17">
        <v>25.7</v>
      </c>
      <c r="I92" s="17">
        <v>5.5</v>
      </c>
      <c r="J92" s="17">
        <v>11.9</v>
      </c>
      <c r="K92" s="17">
        <v>0.46</v>
      </c>
      <c r="L92" s="17">
        <v>2.2000000000000002</v>
      </c>
      <c r="M92" s="17">
        <v>5.8</v>
      </c>
      <c r="N92" s="17">
        <v>0.38300000000000001</v>
      </c>
      <c r="O92" s="17">
        <v>3.3</v>
      </c>
      <c r="P92" s="17">
        <v>6.1</v>
      </c>
      <c r="Q92" s="17">
        <v>0.53200000000000003</v>
      </c>
      <c r="R92" s="17">
        <v>0.55300000000000005</v>
      </c>
      <c r="S92" s="17">
        <v>2.1</v>
      </c>
      <c r="T92" s="17">
        <v>2.4</v>
      </c>
      <c r="U92" s="17">
        <v>0.875</v>
      </c>
      <c r="V92" s="17">
        <v>0.6</v>
      </c>
      <c r="W92" s="17">
        <v>1.9</v>
      </c>
      <c r="X92" s="17">
        <v>2.4</v>
      </c>
      <c r="Y92" s="17">
        <v>2.6</v>
      </c>
      <c r="Z92" s="17">
        <v>0.7</v>
      </c>
      <c r="AA92" s="17">
        <v>0</v>
      </c>
      <c r="AB92" s="17">
        <v>1.6</v>
      </c>
      <c r="AC92" s="17">
        <v>1.6</v>
      </c>
      <c r="AD92" s="17">
        <v>15.3</v>
      </c>
      <c r="AE92" s="17"/>
      <c r="AG92" s="8" t="str">
        <v>Kyle Kuzma</v>
      </c>
      <c r="AH92" s="8" t="str">
        <v>WAS</v>
      </c>
    </row>
    <row r="93" spans="1:34" ht="17" x14ac:dyDescent="0.2">
      <c r="A93" s="1">
        <v>89</v>
      </c>
      <c r="B93" s="18" t="s">
        <v>402</v>
      </c>
      <c r="C93" s="17">
        <v>24</v>
      </c>
      <c r="D93" s="18" t="s">
        <v>70</v>
      </c>
      <c r="E93" s="17" t="s">
        <v>35</v>
      </c>
      <c r="F93" s="17">
        <v>22</v>
      </c>
      <c r="G93" s="17">
        <v>11</v>
      </c>
      <c r="H93" s="17">
        <v>29</v>
      </c>
      <c r="I93" s="17">
        <v>5.8</v>
      </c>
      <c r="J93" s="17">
        <v>13.5</v>
      </c>
      <c r="K93" s="17">
        <v>0.42799999999999999</v>
      </c>
      <c r="L93" s="17">
        <v>2</v>
      </c>
      <c r="M93" s="17">
        <v>5.9</v>
      </c>
      <c r="N93" s="17">
        <v>0.34100000000000003</v>
      </c>
      <c r="O93" s="17">
        <v>3.8</v>
      </c>
      <c r="P93" s="17">
        <v>7.6</v>
      </c>
      <c r="Q93" s="17">
        <v>0.49399999999999999</v>
      </c>
      <c r="R93" s="17">
        <v>0.502</v>
      </c>
      <c r="S93" s="17">
        <v>1.7</v>
      </c>
      <c r="T93" s="17">
        <v>2.1</v>
      </c>
      <c r="U93" s="17">
        <v>0.78700000000000003</v>
      </c>
      <c r="V93" s="17">
        <v>0.8</v>
      </c>
      <c r="W93" s="17">
        <v>2.9</v>
      </c>
      <c r="X93" s="17">
        <v>3.7</v>
      </c>
      <c r="Y93" s="17">
        <v>3</v>
      </c>
      <c r="Z93" s="17">
        <v>1.2</v>
      </c>
      <c r="AA93" s="17">
        <v>0.5</v>
      </c>
      <c r="AB93" s="17">
        <v>1.6</v>
      </c>
      <c r="AC93" s="17">
        <v>1.5</v>
      </c>
      <c r="AD93" s="17">
        <v>15.2</v>
      </c>
      <c r="AE93" s="17"/>
      <c r="AG93" s="8" t="str">
        <v>Jakob Poeltl</v>
      </c>
      <c r="AH93" s="8" t="str">
        <v>TOR</v>
      </c>
    </row>
    <row r="94" spans="1:34" ht="17" x14ac:dyDescent="0.2">
      <c r="A94" s="1">
        <v>90</v>
      </c>
      <c r="B94" s="18" t="s">
        <v>250</v>
      </c>
      <c r="C94" s="17">
        <v>29</v>
      </c>
      <c r="D94" s="18" t="s">
        <v>56</v>
      </c>
      <c r="E94" s="17" t="s">
        <v>27</v>
      </c>
      <c r="F94" s="17">
        <v>18</v>
      </c>
      <c r="G94" s="17">
        <v>16</v>
      </c>
      <c r="H94" s="17">
        <v>26.7</v>
      </c>
      <c r="I94" s="17">
        <v>6.3</v>
      </c>
      <c r="J94" s="17">
        <v>14</v>
      </c>
      <c r="K94" s="17">
        <v>0.44800000000000001</v>
      </c>
      <c r="L94" s="17">
        <v>1.2</v>
      </c>
      <c r="M94" s="17">
        <v>4.4000000000000004</v>
      </c>
      <c r="N94" s="17">
        <v>0.26600000000000001</v>
      </c>
      <c r="O94" s="17">
        <v>5.0999999999999996</v>
      </c>
      <c r="P94" s="17">
        <v>9.6</v>
      </c>
      <c r="Q94" s="17">
        <v>0.53200000000000003</v>
      </c>
      <c r="R94" s="17">
        <v>0.49</v>
      </c>
      <c r="S94" s="17">
        <v>1.4</v>
      </c>
      <c r="T94" s="17">
        <v>2.4</v>
      </c>
      <c r="U94" s="17">
        <v>0.58099999999999996</v>
      </c>
      <c r="V94" s="17">
        <v>0.6</v>
      </c>
      <c r="W94" s="17">
        <v>4.8</v>
      </c>
      <c r="X94" s="17">
        <v>5.4</v>
      </c>
      <c r="Y94" s="17">
        <v>2.1</v>
      </c>
      <c r="Z94" s="17">
        <v>0.6</v>
      </c>
      <c r="AA94" s="17">
        <v>0.2</v>
      </c>
      <c r="AB94" s="17">
        <v>2.2999999999999998</v>
      </c>
      <c r="AC94" s="17">
        <v>1.6</v>
      </c>
      <c r="AD94" s="17">
        <v>15.1</v>
      </c>
      <c r="AE94" s="17"/>
      <c r="AG94" s="8" t="str">
        <v>Immanuel Quickley</v>
      </c>
      <c r="AH94" s="8" t="str">
        <v>TOR</v>
      </c>
    </row>
    <row r="95" spans="1:34" ht="17" x14ac:dyDescent="0.2">
      <c r="A95" s="1">
        <v>91</v>
      </c>
      <c r="B95" s="18" t="s">
        <v>328</v>
      </c>
      <c r="C95" s="17">
        <v>29</v>
      </c>
      <c r="D95" s="18" t="s">
        <v>30</v>
      </c>
      <c r="E95" s="17" t="s">
        <v>29</v>
      </c>
      <c r="F95" s="17">
        <v>33</v>
      </c>
      <c r="G95" s="17">
        <v>32</v>
      </c>
      <c r="H95" s="17">
        <v>31.9</v>
      </c>
      <c r="I95" s="17">
        <v>6.5</v>
      </c>
      <c r="J95" s="17">
        <v>10.6</v>
      </c>
      <c r="K95" s="17">
        <v>0.61299999999999999</v>
      </c>
      <c r="L95" s="17">
        <v>0</v>
      </c>
      <c r="M95" s="17">
        <v>0.1</v>
      </c>
      <c r="N95" s="17">
        <v>0</v>
      </c>
      <c r="O95" s="17">
        <v>6.5</v>
      </c>
      <c r="P95" s="17">
        <v>10.6</v>
      </c>
      <c r="Q95" s="17">
        <v>0.61599999999999999</v>
      </c>
      <c r="R95" s="17">
        <v>0.61299999999999999</v>
      </c>
      <c r="S95" s="17">
        <v>2.1</v>
      </c>
      <c r="T95" s="17">
        <v>3.1</v>
      </c>
      <c r="U95" s="17">
        <v>0.66700000000000004</v>
      </c>
      <c r="V95" s="17">
        <v>3.6</v>
      </c>
      <c r="W95" s="17">
        <v>6.8</v>
      </c>
      <c r="X95" s="17">
        <v>10.5</v>
      </c>
      <c r="Y95" s="17">
        <v>2.7</v>
      </c>
      <c r="Z95" s="17">
        <v>1.2</v>
      </c>
      <c r="AA95" s="17">
        <v>1.2</v>
      </c>
      <c r="AB95" s="17">
        <v>2.1</v>
      </c>
      <c r="AC95" s="17">
        <v>3.4</v>
      </c>
      <c r="AD95" s="17">
        <v>15.1</v>
      </c>
      <c r="AE95" s="17"/>
      <c r="AG95" s="8" t="str">
        <v>Myles Turner</v>
      </c>
      <c r="AH95" s="8" t="str">
        <v>IND</v>
      </c>
    </row>
    <row r="96" spans="1:34" ht="17" x14ac:dyDescent="0.2">
      <c r="A96" s="1">
        <v>92</v>
      </c>
      <c r="B96" s="18" t="s">
        <v>340</v>
      </c>
      <c r="C96" s="17">
        <v>25</v>
      </c>
      <c r="D96" s="18" t="s">
        <v>30</v>
      </c>
      <c r="E96" s="17" t="s">
        <v>46</v>
      </c>
      <c r="F96" s="17">
        <v>8</v>
      </c>
      <c r="G96" s="17">
        <v>8</v>
      </c>
      <c r="H96" s="17">
        <v>28.1</v>
      </c>
      <c r="I96" s="17">
        <v>5.0999999999999996</v>
      </c>
      <c r="J96" s="17">
        <v>13.4</v>
      </c>
      <c r="K96" s="17">
        <v>0.38300000000000001</v>
      </c>
      <c r="L96" s="17">
        <v>2</v>
      </c>
      <c r="M96" s="17">
        <v>6.1</v>
      </c>
      <c r="N96" s="17">
        <v>0.32700000000000001</v>
      </c>
      <c r="O96" s="17">
        <v>3.1</v>
      </c>
      <c r="P96" s="17">
        <v>7.3</v>
      </c>
      <c r="Q96" s="17">
        <v>0.43099999999999999</v>
      </c>
      <c r="R96" s="17">
        <v>0.45800000000000002</v>
      </c>
      <c r="S96" s="17">
        <v>2.9</v>
      </c>
      <c r="T96" s="17">
        <v>3.1</v>
      </c>
      <c r="U96" s="17">
        <v>0.92</v>
      </c>
      <c r="V96" s="17">
        <v>0.1</v>
      </c>
      <c r="W96" s="17">
        <v>2.1</v>
      </c>
      <c r="X96" s="17">
        <v>2.2999999999999998</v>
      </c>
      <c r="Y96" s="17">
        <v>6.6</v>
      </c>
      <c r="Z96" s="17">
        <v>0.6</v>
      </c>
      <c r="AA96" s="17">
        <v>0.1</v>
      </c>
      <c r="AB96" s="17">
        <v>1.8</v>
      </c>
      <c r="AC96" s="17">
        <v>2</v>
      </c>
      <c r="AD96" s="17">
        <v>15.1</v>
      </c>
      <c r="AE96" s="17"/>
      <c r="AG96" s="8" t="str">
        <v>Fred VanVleet</v>
      </c>
      <c r="AH96" s="8" t="str">
        <v>HOU</v>
      </c>
    </row>
    <row r="97" spans="1:34" ht="17" x14ac:dyDescent="0.2">
      <c r="A97" s="1">
        <v>93</v>
      </c>
      <c r="B97" s="18" t="s">
        <v>397</v>
      </c>
      <c r="C97" s="17">
        <v>28</v>
      </c>
      <c r="D97" s="18" t="s">
        <v>99</v>
      </c>
      <c r="E97" s="17" t="s">
        <v>29</v>
      </c>
      <c r="F97" s="17">
        <v>35</v>
      </c>
      <c r="G97" s="17">
        <v>35</v>
      </c>
      <c r="H97" s="17">
        <v>31.3</v>
      </c>
      <c r="I97" s="17">
        <v>5.6</v>
      </c>
      <c r="J97" s="17">
        <v>11.3</v>
      </c>
      <c r="K97" s="17">
        <v>0.49199999999999999</v>
      </c>
      <c r="L97" s="17">
        <v>1.9</v>
      </c>
      <c r="M97" s="17">
        <v>4.9000000000000004</v>
      </c>
      <c r="N97" s="17">
        <v>0.39300000000000002</v>
      </c>
      <c r="O97" s="17">
        <v>3.6</v>
      </c>
      <c r="P97" s="17">
        <v>6.4</v>
      </c>
      <c r="Q97" s="17">
        <v>0.56999999999999995</v>
      </c>
      <c r="R97" s="17">
        <v>0.57799999999999996</v>
      </c>
      <c r="S97" s="17">
        <v>2</v>
      </c>
      <c r="T97" s="17">
        <v>2.8</v>
      </c>
      <c r="U97" s="17">
        <v>0.72399999999999998</v>
      </c>
      <c r="V97" s="17">
        <v>1.4</v>
      </c>
      <c r="W97" s="17">
        <v>5.6</v>
      </c>
      <c r="X97" s="17">
        <v>7</v>
      </c>
      <c r="Y97" s="17">
        <v>1.6</v>
      </c>
      <c r="Z97" s="17">
        <v>0.8</v>
      </c>
      <c r="AA97" s="17">
        <v>2.1</v>
      </c>
      <c r="AB97" s="17">
        <v>2.1</v>
      </c>
      <c r="AC97" s="17">
        <v>2.8</v>
      </c>
      <c r="AD97" s="17">
        <v>15.1</v>
      </c>
      <c r="AE97" s="17"/>
      <c r="AG97" s="8" t="str">
        <v>Jerami Grant</v>
      </c>
      <c r="AH97" s="8" t="str">
        <v>POR</v>
      </c>
    </row>
    <row r="98" spans="1:34" ht="17" x14ac:dyDescent="0.2">
      <c r="A98" s="1">
        <v>94</v>
      </c>
      <c r="B98" s="18" t="s">
        <v>401</v>
      </c>
      <c r="C98" s="17">
        <v>30</v>
      </c>
      <c r="D98" s="18" t="s">
        <v>98</v>
      </c>
      <c r="E98" s="17" t="s">
        <v>46</v>
      </c>
      <c r="F98" s="17">
        <v>35</v>
      </c>
      <c r="G98" s="17">
        <v>35</v>
      </c>
      <c r="H98" s="17">
        <v>35.6</v>
      </c>
      <c r="I98" s="17">
        <v>5.3</v>
      </c>
      <c r="J98" s="17">
        <v>13.8</v>
      </c>
      <c r="K98" s="17">
        <v>0.38600000000000001</v>
      </c>
      <c r="L98" s="17">
        <v>2.5</v>
      </c>
      <c r="M98" s="17">
        <v>7.7</v>
      </c>
      <c r="N98" s="17">
        <v>0.32100000000000001</v>
      </c>
      <c r="O98" s="17">
        <v>2.8</v>
      </c>
      <c r="P98" s="17">
        <v>6</v>
      </c>
      <c r="Q98" s="17">
        <v>0.46899999999999997</v>
      </c>
      <c r="R98" s="17">
        <v>0.47599999999999998</v>
      </c>
      <c r="S98" s="17">
        <v>2</v>
      </c>
      <c r="T98" s="17">
        <v>2.5</v>
      </c>
      <c r="U98" s="17">
        <v>0.81599999999999995</v>
      </c>
      <c r="V98" s="17">
        <v>0.7</v>
      </c>
      <c r="W98" s="17">
        <v>3.5</v>
      </c>
      <c r="X98" s="17">
        <v>4.2</v>
      </c>
      <c r="Y98" s="17">
        <v>5.9</v>
      </c>
      <c r="Z98" s="17">
        <v>1.7</v>
      </c>
      <c r="AA98" s="17">
        <v>0.5</v>
      </c>
      <c r="AB98" s="17">
        <v>1.5</v>
      </c>
      <c r="AC98" s="17">
        <v>2.4</v>
      </c>
      <c r="AD98" s="17">
        <v>15.1</v>
      </c>
      <c r="AE98" s="17"/>
      <c r="AG98" s="8" t="str">
        <v>Ivica Zubac</v>
      </c>
      <c r="AH98" s="8" t="str">
        <v>LAC</v>
      </c>
    </row>
    <row r="99" spans="1:34" ht="17" x14ac:dyDescent="0.2">
      <c r="A99" s="1">
        <v>95</v>
      </c>
      <c r="B99" s="18" t="s">
        <v>176</v>
      </c>
      <c r="C99" s="17">
        <v>30</v>
      </c>
      <c r="D99" s="18" t="s">
        <v>58</v>
      </c>
      <c r="E99" s="17" t="s">
        <v>27</v>
      </c>
      <c r="F99" s="17">
        <v>29</v>
      </c>
      <c r="G99" s="17">
        <v>29</v>
      </c>
      <c r="H99" s="17">
        <v>32.700000000000003</v>
      </c>
      <c r="I99" s="17">
        <v>4.9000000000000004</v>
      </c>
      <c r="J99" s="17">
        <v>12.7</v>
      </c>
      <c r="K99" s="17">
        <v>0.38200000000000001</v>
      </c>
      <c r="L99" s="17">
        <v>2.4</v>
      </c>
      <c r="M99" s="17">
        <v>6.4</v>
      </c>
      <c r="N99" s="17">
        <v>0.38200000000000001</v>
      </c>
      <c r="O99" s="17">
        <v>2.4</v>
      </c>
      <c r="P99" s="17">
        <v>6.3</v>
      </c>
      <c r="Q99" s="17">
        <v>0.38300000000000001</v>
      </c>
      <c r="R99" s="17">
        <v>0.47799999999999998</v>
      </c>
      <c r="S99" s="17">
        <v>2.8</v>
      </c>
      <c r="T99" s="17">
        <v>3.4</v>
      </c>
      <c r="U99" s="17">
        <v>0.82</v>
      </c>
      <c r="V99" s="17">
        <v>0.5</v>
      </c>
      <c r="W99" s="17">
        <v>3.1</v>
      </c>
      <c r="X99" s="17">
        <v>3.6</v>
      </c>
      <c r="Y99" s="17">
        <v>2.2999999999999998</v>
      </c>
      <c r="Z99" s="17">
        <v>0.9</v>
      </c>
      <c r="AA99" s="17">
        <v>1</v>
      </c>
      <c r="AB99" s="17">
        <v>1.4</v>
      </c>
      <c r="AC99" s="17">
        <v>2.2999999999999998</v>
      </c>
      <c r="AD99" s="17">
        <v>15</v>
      </c>
      <c r="AE99" s="17"/>
      <c r="AG99" s="8" t="str">
        <v>Payton Pritchard</v>
      </c>
      <c r="AH99" s="8" t="str">
        <v>BOS</v>
      </c>
    </row>
    <row r="100" spans="1:34" ht="17" x14ac:dyDescent="0.2">
      <c r="A100" s="1">
        <v>96</v>
      </c>
      <c r="B100" s="18" t="s">
        <v>438</v>
      </c>
      <c r="C100" s="17">
        <v>27</v>
      </c>
      <c r="D100" s="18" t="s">
        <v>77</v>
      </c>
      <c r="E100" s="17" t="s">
        <v>29</v>
      </c>
      <c r="F100" s="17">
        <v>37</v>
      </c>
      <c r="G100" s="17">
        <v>37</v>
      </c>
      <c r="H100" s="17">
        <v>32.1</v>
      </c>
      <c r="I100" s="17">
        <v>6.7</v>
      </c>
      <c r="J100" s="17">
        <v>10.9</v>
      </c>
      <c r="K100" s="17">
        <v>0.61399999999999999</v>
      </c>
      <c r="L100" s="17">
        <v>0</v>
      </c>
      <c r="M100" s="17">
        <v>0</v>
      </c>
      <c r="N100" s="17"/>
      <c r="O100" s="17">
        <v>6.7</v>
      </c>
      <c r="P100" s="17">
        <v>10.9</v>
      </c>
      <c r="Q100" s="17">
        <v>0.61399999999999999</v>
      </c>
      <c r="R100" s="17">
        <v>0.61399999999999999</v>
      </c>
      <c r="S100" s="17">
        <v>1.6</v>
      </c>
      <c r="T100" s="17">
        <v>2.9</v>
      </c>
      <c r="U100" s="17">
        <v>0.54100000000000004</v>
      </c>
      <c r="V100" s="17">
        <v>3.8</v>
      </c>
      <c r="W100" s="17">
        <v>8.6999999999999993</v>
      </c>
      <c r="X100" s="17">
        <v>12.5</v>
      </c>
      <c r="Y100" s="17">
        <v>2.5</v>
      </c>
      <c r="Z100" s="17">
        <v>0.6</v>
      </c>
      <c r="AA100" s="17">
        <v>1.2</v>
      </c>
      <c r="AB100" s="17">
        <v>1.8</v>
      </c>
      <c r="AC100" s="17">
        <v>2</v>
      </c>
      <c r="AD100" s="17">
        <v>14.9</v>
      </c>
      <c r="AE100" s="17"/>
      <c r="AG100" s="8" t="str">
        <v>Josh Hart</v>
      </c>
      <c r="AH100" s="8" t="str">
        <v>NYK</v>
      </c>
    </row>
    <row r="101" spans="1:34" ht="17" x14ac:dyDescent="0.2">
      <c r="A101" s="1">
        <v>97</v>
      </c>
      <c r="B101" s="18" t="s">
        <v>336</v>
      </c>
      <c r="C101" s="17">
        <v>27</v>
      </c>
      <c r="D101" s="18" t="s">
        <v>68</v>
      </c>
      <c r="E101" s="17" t="s">
        <v>46</v>
      </c>
      <c r="F101" s="17">
        <v>37</v>
      </c>
      <c r="G101" s="17">
        <v>0</v>
      </c>
      <c r="H101" s="17">
        <v>27.9</v>
      </c>
      <c r="I101" s="17">
        <v>5.0999999999999996</v>
      </c>
      <c r="J101" s="17">
        <v>10.9</v>
      </c>
      <c r="K101" s="17">
        <v>0.46700000000000003</v>
      </c>
      <c r="L101" s="17">
        <v>3.5</v>
      </c>
      <c r="M101" s="17">
        <v>8.3000000000000007</v>
      </c>
      <c r="N101" s="17">
        <v>0.42</v>
      </c>
      <c r="O101" s="17">
        <v>1.6</v>
      </c>
      <c r="P101" s="17">
        <v>2.6</v>
      </c>
      <c r="Q101" s="17">
        <v>0.61199999999999999</v>
      </c>
      <c r="R101" s="17">
        <v>0.626</v>
      </c>
      <c r="S101" s="17">
        <v>1.1000000000000001</v>
      </c>
      <c r="T101" s="17">
        <v>1.4</v>
      </c>
      <c r="U101" s="17">
        <v>0.84</v>
      </c>
      <c r="V101" s="17">
        <v>1.4</v>
      </c>
      <c r="W101" s="17">
        <v>2.2999999999999998</v>
      </c>
      <c r="X101" s="17">
        <v>3.7</v>
      </c>
      <c r="Y101" s="17">
        <v>3.4</v>
      </c>
      <c r="Z101" s="17">
        <v>0.9</v>
      </c>
      <c r="AA101" s="17">
        <v>0.1</v>
      </c>
      <c r="AB101" s="17">
        <v>1</v>
      </c>
      <c r="AC101" s="17">
        <v>1.6</v>
      </c>
      <c r="AD101" s="17">
        <v>14.8</v>
      </c>
      <c r="AE101" s="17"/>
      <c r="AG101" s="8" t="str">
        <v>Jarrett Allen</v>
      </c>
      <c r="AH101" s="8" t="str">
        <v>CLE</v>
      </c>
    </row>
    <row r="102" spans="1:34" ht="17" x14ac:dyDescent="0.2">
      <c r="A102" s="1">
        <v>98</v>
      </c>
      <c r="B102" s="18" t="s">
        <v>191</v>
      </c>
      <c r="C102" s="17">
        <v>29</v>
      </c>
      <c r="D102" s="18" t="s">
        <v>31</v>
      </c>
      <c r="E102" s="17" t="s">
        <v>35</v>
      </c>
      <c r="F102" s="17">
        <v>37</v>
      </c>
      <c r="G102" s="17">
        <v>37</v>
      </c>
      <c r="H102" s="17">
        <v>37.700000000000003</v>
      </c>
      <c r="I102" s="17">
        <v>5.5</v>
      </c>
      <c r="J102" s="17">
        <v>9.6</v>
      </c>
      <c r="K102" s="17">
        <v>0.56599999999999995</v>
      </c>
      <c r="L102" s="17">
        <v>1.4</v>
      </c>
      <c r="M102" s="17">
        <v>3.6</v>
      </c>
      <c r="N102" s="17">
        <v>0.373</v>
      </c>
      <c r="O102" s="17">
        <v>4.0999999999999996</v>
      </c>
      <c r="P102" s="17">
        <v>6</v>
      </c>
      <c r="Q102" s="17">
        <v>0.68200000000000005</v>
      </c>
      <c r="R102" s="17">
        <v>0.63600000000000001</v>
      </c>
      <c r="S102" s="17">
        <v>2.2000000000000002</v>
      </c>
      <c r="T102" s="17">
        <v>2.7</v>
      </c>
      <c r="U102" s="17">
        <v>0.80800000000000005</v>
      </c>
      <c r="V102" s="17">
        <v>2</v>
      </c>
      <c r="W102" s="17">
        <v>7.1</v>
      </c>
      <c r="X102" s="17">
        <v>9.1</v>
      </c>
      <c r="Y102" s="17">
        <v>5.6</v>
      </c>
      <c r="Z102" s="17">
        <v>1.4</v>
      </c>
      <c r="AA102" s="17">
        <v>0.4</v>
      </c>
      <c r="AB102" s="17">
        <v>1.9</v>
      </c>
      <c r="AC102" s="17">
        <v>2.6</v>
      </c>
      <c r="AD102" s="17">
        <v>14.4</v>
      </c>
      <c r="AE102" s="17"/>
      <c r="AG102" s="8" t="str">
        <v>Tre Mann</v>
      </c>
      <c r="AH102" s="8" t="str">
        <v>CHO</v>
      </c>
    </row>
    <row r="103" spans="1:34" ht="17" x14ac:dyDescent="0.2">
      <c r="A103" s="1">
        <v>99</v>
      </c>
      <c r="B103" s="18" t="s">
        <v>43</v>
      </c>
      <c r="C103" s="17">
        <v>26</v>
      </c>
      <c r="D103" s="18" t="s">
        <v>44</v>
      </c>
      <c r="E103" s="17" t="s">
        <v>29</v>
      </c>
      <c r="F103" s="17">
        <v>37</v>
      </c>
      <c r="G103" s="17">
        <v>37</v>
      </c>
      <c r="H103" s="17">
        <v>29.1</v>
      </c>
      <c r="I103" s="17">
        <v>5.8</v>
      </c>
      <c r="J103" s="17">
        <v>8.3000000000000007</v>
      </c>
      <c r="K103" s="17">
        <v>0.70599999999999996</v>
      </c>
      <c r="L103" s="17">
        <v>0</v>
      </c>
      <c r="M103" s="17">
        <v>0</v>
      </c>
      <c r="N103" s="17">
        <v>0</v>
      </c>
      <c r="O103" s="17">
        <v>5.8</v>
      </c>
      <c r="P103" s="17">
        <v>8.1999999999999993</v>
      </c>
      <c r="Q103" s="17">
        <v>0.70799999999999996</v>
      </c>
      <c r="R103" s="17">
        <v>0.70599999999999996</v>
      </c>
      <c r="S103" s="17">
        <v>2.5</v>
      </c>
      <c r="T103" s="17">
        <v>3.5</v>
      </c>
      <c r="U103" s="17">
        <v>0.71899999999999997</v>
      </c>
      <c r="V103" s="17">
        <v>2.6</v>
      </c>
      <c r="W103" s="17">
        <v>7.6</v>
      </c>
      <c r="X103" s="17">
        <v>10.199999999999999</v>
      </c>
      <c r="Y103" s="17">
        <v>1.9</v>
      </c>
      <c r="Z103" s="17">
        <v>1</v>
      </c>
      <c r="AA103" s="17">
        <v>0.9</v>
      </c>
      <c r="AB103" s="17">
        <v>1</v>
      </c>
      <c r="AC103" s="17">
        <v>1.3</v>
      </c>
      <c r="AD103" s="17">
        <v>14.2</v>
      </c>
      <c r="AE103" s="17"/>
      <c r="AG103" s="8" t="str">
        <v>Deni Avdija</v>
      </c>
      <c r="AH103" s="8" t="str">
        <v>POR</v>
      </c>
    </row>
    <row r="104" spans="1:34" ht="17" x14ac:dyDescent="0.2">
      <c r="A104" s="1">
        <v>100</v>
      </c>
      <c r="B104" s="18" t="s">
        <v>268</v>
      </c>
      <c r="C104" s="17">
        <v>23</v>
      </c>
      <c r="D104" s="18" t="s">
        <v>61</v>
      </c>
      <c r="E104" s="17" t="s">
        <v>46</v>
      </c>
      <c r="F104" s="17">
        <v>13</v>
      </c>
      <c r="G104" s="17">
        <v>0</v>
      </c>
      <c r="H104" s="17">
        <v>24.5</v>
      </c>
      <c r="I104" s="17">
        <v>5.4</v>
      </c>
      <c r="J104" s="17">
        <v>12.4</v>
      </c>
      <c r="K104" s="17">
        <v>0.435</v>
      </c>
      <c r="L104" s="17">
        <v>1.8</v>
      </c>
      <c r="M104" s="17">
        <v>4.5999999999999996</v>
      </c>
      <c r="N104" s="17">
        <v>0.4</v>
      </c>
      <c r="O104" s="17">
        <v>3.5</v>
      </c>
      <c r="P104" s="17">
        <v>7.8</v>
      </c>
      <c r="Q104" s="17">
        <v>0.45500000000000002</v>
      </c>
      <c r="R104" s="17">
        <v>0.50900000000000001</v>
      </c>
      <c r="S104" s="17">
        <v>1.5</v>
      </c>
      <c r="T104" s="17">
        <v>1.6</v>
      </c>
      <c r="U104" s="17">
        <v>0.90500000000000003</v>
      </c>
      <c r="V104" s="17">
        <v>0.9</v>
      </c>
      <c r="W104" s="17">
        <v>2</v>
      </c>
      <c r="X104" s="17">
        <v>2.9</v>
      </c>
      <c r="Y104" s="17">
        <v>3</v>
      </c>
      <c r="Z104" s="17">
        <v>0.5</v>
      </c>
      <c r="AA104" s="17">
        <v>0.3</v>
      </c>
      <c r="AB104" s="17">
        <v>1.9</v>
      </c>
      <c r="AC104" s="17">
        <v>1.8</v>
      </c>
      <c r="AD104" s="17">
        <v>14.1</v>
      </c>
      <c r="AE104" s="17"/>
      <c r="AG104" s="8" t="str">
        <v>Deandre Ayton</v>
      </c>
      <c r="AH104" s="8" t="str">
        <v>POR</v>
      </c>
    </row>
    <row r="105" spans="1:34" ht="17" x14ac:dyDescent="0.2">
      <c r="A105" s="1">
        <v>101</v>
      </c>
      <c r="B105" s="18" t="s">
        <v>55</v>
      </c>
      <c r="C105" s="17">
        <v>24</v>
      </c>
      <c r="D105" s="18" t="s">
        <v>58</v>
      </c>
      <c r="E105" s="17" t="s">
        <v>54</v>
      </c>
      <c r="F105" s="17">
        <v>37</v>
      </c>
      <c r="G105" s="17">
        <v>19</v>
      </c>
      <c r="H105" s="17">
        <v>27.8</v>
      </c>
      <c r="I105" s="17">
        <v>4.7</v>
      </c>
      <c r="J105" s="17">
        <v>10.199999999999999</v>
      </c>
      <c r="K105" s="17">
        <v>0.46200000000000002</v>
      </c>
      <c r="L105" s="17">
        <v>1.5</v>
      </c>
      <c r="M105" s="17">
        <v>4.2</v>
      </c>
      <c r="N105" s="17">
        <v>0.35899999999999999</v>
      </c>
      <c r="O105" s="17">
        <v>3.2</v>
      </c>
      <c r="P105" s="17">
        <v>6</v>
      </c>
      <c r="Q105" s="17">
        <v>0.53400000000000003</v>
      </c>
      <c r="R105" s="17">
        <v>0.53600000000000003</v>
      </c>
      <c r="S105" s="17">
        <v>3</v>
      </c>
      <c r="T105" s="17">
        <v>3.9</v>
      </c>
      <c r="U105" s="17">
        <v>0.77800000000000002</v>
      </c>
      <c r="V105" s="17">
        <v>1.3</v>
      </c>
      <c r="W105" s="17">
        <v>4.9000000000000004</v>
      </c>
      <c r="X105" s="17">
        <v>6.2</v>
      </c>
      <c r="Y105" s="17">
        <v>3.2</v>
      </c>
      <c r="Z105" s="17">
        <v>0.9</v>
      </c>
      <c r="AA105" s="17">
        <v>0.6</v>
      </c>
      <c r="AB105" s="17">
        <v>2.4</v>
      </c>
      <c r="AC105" s="17">
        <v>2.2000000000000002</v>
      </c>
      <c r="AD105" s="17">
        <v>13.9</v>
      </c>
      <c r="AE105" s="17"/>
      <c r="AG105" s="8" t="str">
        <v>Christian Braun</v>
      </c>
      <c r="AH105" s="8" t="str">
        <v>DEN</v>
      </c>
    </row>
    <row r="106" spans="1:34" ht="17" x14ac:dyDescent="0.2">
      <c r="A106" s="1">
        <v>102</v>
      </c>
      <c r="B106" s="18" t="s">
        <v>57</v>
      </c>
      <c r="C106" s="17">
        <v>26</v>
      </c>
      <c r="D106" s="18" t="s">
        <v>58</v>
      </c>
      <c r="E106" s="17" t="s">
        <v>29</v>
      </c>
      <c r="F106" s="17">
        <v>28</v>
      </c>
      <c r="G106" s="17">
        <v>28</v>
      </c>
      <c r="H106" s="17">
        <v>30</v>
      </c>
      <c r="I106" s="17">
        <v>6.5</v>
      </c>
      <c r="J106" s="17">
        <v>11.4</v>
      </c>
      <c r="K106" s="17">
        <v>0.56899999999999995</v>
      </c>
      <c r="L106" s="17">
        <v>0.2</v>
      </c>
      <c r="M106" s="17">
        <v>1</v>
      </c>
      <c r="N106" s="17">
        <v>0.214</v>
      </c>
      <c r="O106" s="17">
        <v>6.3</v>
      </c>
      <c r="P106" s="17">
        <v>10.4</v>
      </c>
      <c r="Q106" s="17">
        <v>0.60299999999999998</v>
      </c>
      <c r="R106" s="17">
        <v>0.57799999999999996</v>
      </c>
      <c r="S106" s="17">
        <v>0.7</v>
      </c>
      <c r="T106" s="17">
        <v>1.1000000000000001</v>
      </c>
      <c r="U106" s="17">
        <v>0.61299999999999999</v>
      </c>
      <c r="V106" s="17">
        <v>2.9</v>
      </c>
      <c r="W106" s="17">
        <v>7.2</v>
      </c>
      <c r="X106" s="17">
        <v>10.1</v>
      </c>
      <c r="Y106" s="17">
        <v>1.5</v>
      </c>
      <c r="Z106" s="17">
        <v>0.8</v>
      </c>
      <c r="AA106" s="17">
        <v>1</v>
      </c>
      <c r="AB106" s="17">
        <v>1.8</v>
      </c>
      <c r="AC106" s="17">
        <v>2.2000000000000002</v>
      </c>
      <c r="AD106" s="17">
        <v>13.9</v>
      </c>
      <c r="AE106" s="17"/>
      <c r="AG106" s="8" t="str">
        <v>Bobby Portis</v>
      </c>
      <c r="AH106" s="8" t="str">
        <v>MIL</v>
      </c>
    </row>
    <row r="107" spans="1:34" ht="17" x14ac:dyDescent="0.2">
      <c r="A107" s="1">
        <v>103</v>
      </c>
      <c r="B107" s="18" t="s">
        <v>92</v>
      </c>
      <c r="C107" s="17">
        <v>23</v>
      </c>
      <c r="D107" s="18" t="s">
        <v>93</v>
      </c>
      <c r="E107" s="17" t="s">
        <v>35</v>
      </c>
      <c r="F107" s="17">
        <v>35</v>
      </c>
      <c r="G107" s="17">
        <v>35</v>
      </c>
      <c r="H107" s="17">
        <v>33.5</v>
      </c>
      <c r="I107" s="17">
        <v>5.3</v>
      </c>
      <c r="J107" s="17">
        <v>9.6</v>
      </c>
      <c r="K107" s="17">
        <v>0.55800000000000005</v>
      </c>
      <c r="L107" s="17">
        <v>1</v>
      </c>
      <c r="M107" s="17">
        <v>2.6</v>
      </c>
      <c r="N107" s="17">
        <v>0.374</v>
      </c>
      <c r="O107" s="17">
        <v>4.4000000000000004</v>
      </c>
      <c r="P107" s="17">
        <v>7</v>
      </c>
      <c r="Q107" s="17">
        <v>0.627</v>
      </c>
      <c r="R107" s="17">
        <v>0.60899999999999999</v>
      </c>
      <c r="S107" s="17">
        <v>2.2000000000000002</v>
      </c>
      <c r="T107" s="17">
        <v>2.7</v>
      </c>
      <c r="U107" s="17">
        <v>0.80200000000000005</v>
      </c>
      <c r="V107" s="17">
        <v>1.1000000000000001</v>
      </c>
      <c r="W107" s="17">
        <v>3.5</v>
      </c>
      <c r="X107" s="17">
        <v>4.7</v>
      </c>
      <c r="Y107" s="17">
        <v>2.2000000000000002</v>
      </c>
      <c r="Z107" s="17">
        <v>1.2</v>
      </c>
      <c r="AA107" s="17">
        <v>0.6</v>
      </c>
      <c r="AB107" s="17">
        <v>1.1000000000000001</v>
      </c>
      <c r="AC107" s="17">
        <v>2.2999999999999998</v>
      </c>
      <c r="AD107" s="17">
        <v>13.9</v>
      </c>
      <c r="AE107" s="17"/>
      <c r="AG107" s="8" t="str">
        <v>Malcolm Brogdon</v>
      </c>
      <c r="AH107" s="8" t="str">
        <v>WAS</v>
      </c>
    </row>
    <row r="108" spans="1:34" ht="17" x14ac:dyDescent="0.2">
      <c r="A108" s="1">
        <v>104</v>
      </c>
      <c r="B108" s="18" t="s">
        <v>332</v>
      </c>
      <c r="C108" s="17">
        <v>29</v>
      </c>
      <c r="D108" s="18" t="s">
        <v>50</v>
      </c>
      <c r="E108" s="17" t="s">
        <v>27</v>
      </c>
      <c r="F108" s="17">
        <v>34</v>
      </c>
      <c r="G108" s="17">
        <v>5</v>
      </c>
      <c r="H108" s="17">
        <v>25.3</v>
      </c>
      <c r="I108" s="17">
        <v>5.7</v>
      </c>
      <c r="J108" s="17">
        <v>12.2</v>
      </c>
      <c r="K108" s="17">
        <v>0.46500000000000002</v>
      </c>
      <c r="L108" s="17">
        <v>1.4</v>
      </c>
      <c r="M108" s="17">
        <v>3.7</v>
      </c>
      <c r="N108" s="17">
        <v>0.38100000000000001</v>
      </c>
      <c r="O108" s="17">
        <v>4.3</v>
      </c>
      <c r="P108" s="17">
        <v>8.5</v>
      </c>
      <c r="Q108" s="17">
        <v>0.502</v>
      </c>
      <c r="R108" s="17">
        <v>0.52300000000000002</v>
      </c>
      <c r="S108" s="17">
        <v>1.1000000000000001</v>
      </c>
      <c r="T108" s="17">
        <v>1.4</v>
      </c>
      <c r="U108" s="17">
        <v>0.78700000000000003</v>
      </c>
      <c r="V108" s="17">
        <v>1.8</v>
      </c>
      <c r="W108" s="17">
        <v>6.3</v>
      </c>
      <c r="X108" s="17">
        <v>8.1</v>
      </c>
      <c r="Y108" s="17">
        <v>2.1</v>
      </c>
      <c r="Z108" s="17">
        <v>0.8</v>
      </c>
      <c r="AA108" s="17">
        <v>0.6</v>
      </c>
      <c r="AB108" s="17">
        <v>1.3</v>
      </c>
      <c r="AC108" s="17">
        <v>1.7</v>
      </c>
      <c r="AD108" s="17">
        <v>13.9</v>
      </c>
      <c r="AE108" s="17"/>
      <c r="AG108" s="8" t="str">
        <v>Klay Thompson</v>
      </c>
      <c r="AH108" s="8" t="str">
        <v>DAL</v>
      </c>
    </row>
    <row r="109" spans="1:34" ht="17" x14ac:dyDescent="0.2">
      <c r="A109" s="1">
        <v>105</v>
      </c>
      <c r="B109" s="18" t="s">
        <v>611</v>
      </c>
      <c r="C109" s="17">
        <v>32</v>
      </c>
      <c r="D109" s="18" t="s">
        <v>56</v>
      </c>
      <c r="E109" s="17" t="s">
        <v>46</v>
      </c>
      <c r="F109" s="17">
        <v>18</v>
      </c>
      <c r="G109" s="17">
        <v>13</v>
      </c>
      <c r="H109" s="17">
        <v>24.8</v>
      </c>
      <c r="I109" s="17">
        <v>4.8</v>
      </c>
      <c r="J109" s="17">
        <v>10.8</v>
      </c>
      <c r="K109" s="17">
        <v>0.443</v>
      </c>
      <c r="L109" s="17">
        <v>0.8</v>
      </c>
      <c r="M109" s="17">
        <v>2.7</v>
      </c>
      <c r="N109" s="17">
        <v>0.313</v>
      </c>
      <c r="O109" s="17">
        <v>3.9</v>
      </c>
      <c r="P109" s="17">
        <v>8.1</v>
      </c>
      <c r="Q109" s="17">
        <v>0.48599999999999999</v>
      </c>
      <c r="R109" s="17">
        <v>0.48199999999999998</v>
      </c>
      <c r="S109" s="17">
        <v>3.4</v>
      </c>
      <c r="T109" s="17">
        <v>3.9</v>
      </c>
      <c r="U109" s="17">
        <v>0.88600000000000001</v>
      </c>
      <c r="V109" s="17">
        <v>0.9</v>
      </c>
      <c r="W109" s="17">
        <v>3.1</v>
      </c>
      <c r="X109" s="17">
        <v>4.0999999999999996</v>
      </c>
      <c r="Y109" s="17">
        <v>3.9</v>
      </c>
      <c r="Z109" s="17">
        <v>0.6</v>
      </c>
      <c r="AA109" s="17">
        <v>0.3</v>
      </c>
      <c r="AB109" s="17">
        <v>1.7</v>
      </c>
      <c r="AC109" s="17">
        <v>1.4</v>
      </c>
      <c r="AD109" s="17">
        <v>13.8</v>
      </c>
      <c r="AE109" s="17"/>
      <c r="AG109" s="8" t="str">
        <v>Aaron Gordon</v>
      </c>
      <c r="AH109" s="8" t="str">
        <v>DEN</v>
      </c>
    </row>
    <row r="110" spans="1:34" ht="17" x14ac:dyDescent="0.2">
      <c r="A110" s="1">
        <v>106</v>
      </c>
      <c r="B110" s="18" t="s">
        <v>390</v>
      </c>
      <c r="C110" s="17">
        <v>34</v>
      </c>
      <c r="D110" s="18" t="s">
        <v>100</v>
      </c>
      <c r="E110" s="17" t="s">
        <v>54</v>
      </c>
      <c r="F110" s="17">
        <v>33</v>
      </c>
      <c r="G110" s="17">
        <v>33</v>
      </c>
      <c r="H110" s="17">
        <v>27.6</v>
      </c>
      <c r="I110" s="17">
        <v>4.9000000000000004</v>
      </c>
      <c r="J110" s="17">
        <v>12</v>
      </c>
      <c r="K110" s="17">
        <v>0.41099999999999998</v>
      </c>
      <c r="L110" s="17">
        <v>3</v>
      </c>
      <c r="M110" s="17">
        <v>7.8</v>
      </c>
      <c r="N110" s="17">
        <v>0.38100000000000001</v>
      </c>
      <c r="O110" s="17">
        <v>2</v>
      </c>
      <c r="P110" s="17">
        <v>4.2</v>
      </c>
      <c r="Q110" s="17">
        <v>0.46400000000000002</v>
      </c>
      <c r="R110" s="17">
        <v>0.53400000000000003</v>
      </c>
      <c r="S110" s="17">
        <v>1</v>
      </c>
      <c r="T110" s="17">
        <v>1.1000000000000001</v>
      </c>
      <c r="U110" s="17">
        <v>0.91700000000000004</v>
      </c>
      <c r="V110" s="17">
        <v>0.6</v>
      </c>
      <c r="W110" s="17">
        <v>2.7</v>
      </c>
      <c r="X110" s="17">
        <v>3.4</v>
      </c>
      <c r="Y110" s="17">
        <v>2</v>
      </c>
      <c r="Z110" s="17">
        <v>0.9</v>
      </c>
      <c r="AA110" s="17">
        <v>0.4</v>
      </c>
      <c r="AB110" s="17">
        <v>1.3</v>
      </c>
      <c r="AC110" s="17">
        <v>1.3</v>
      </c>
      <c r="AD110" s="17">
        <v>13.8</v>
      </c>
      <c r="AE110" s="17"/>
      <c r="AG110" s="8" t="str">
        <v>Dillon Brooks</v>
      </c>
      <c r="AH110" s="8" t="str">
        <v>HOU</v>
      </c>
    </row>
    <row r="111" spans="1:34" ht="17" x14ac:dyDescent="0.2">
      <c r="A111" s="1">
        <v>107</v>
      </c>
      <c r="B111" s="18" t="s">
        <v>174</v>
      </c>
      <c r="C111" s="17">
        <v>29</v>
      </c>
      <c r="D111" s="18" t="s">
        <v>93</v>
      </c>
      <c r="E111" s="17" t="s">
        <v>27</v>
      </c>
      <c r="F111" s="17">
        <v>17</v>
      </c>
      <c r="G111" s="17">
        <v>16</v>
      </c>
      <c r="H111" s="17">
        <v>28.8</v>
      </c>
      <c r="I111" s="17">
        <v>4.8</v>
      </c>
      <c r="J111" s="17">
        <v>9.1</v>
      </c>
      <c r="K111" s="17">
        <v>0.52300000000000002</v>
      </c>
      <c r="L111" s="17">
        <v>1.3</v>
      </c>
      <c r="M111" s="17">
        <v>2.9</v>
      </c>
      <c r="N111" s="17">
        <v>0.44</v>
      </c>
      <c r="O111" s="17">
        <v>3.5</v>
      </c>
      <c r="P111" s="17">
        <v>6.2</v>
      </c>
      <c r="Q111" s="17">
        <v>0.56200000000000006</v>
      </c>
      <c r="R111" s="17">
        <v>0.59399999999999997</v>
      </c>
      <c r="S111" s="17">
        <v>2.9</v>
      </c>
      <c r="T111" s="17">
        <v>3.8</v>
      </c>
      <c r="U111" s="17">
        <v>0.754</v>
      </c>
      <c r="V111" s="17">
        <v>1.9</v>
      </c>
      <c r="W111" s="17">
        <v>3.9</v>
      </c>
      <c r="X111" s="17">
        <v>5.8</v>
      </c>
      <c r="Y111" s="17">
        <v>3.1</v>
      </c>
      <c r="Z111" s="17">
        <v>0.5</v>
      </c>
      <c r="AA111" s="17">
        <v>0.2</v>
      </c>
      <c r="AB111" s="17">
        <v>1.4</v>
      </c>
      <c r="AC111" s="17">
        <v>1.8</v>
      </c>
      <c r="AD111" s="17">
        <v>13.7</v>
      </c>
      <c r="AE111" s="17"/>
      <c r="AG111" s="8" t="str">
        <v>Jeremy Sochan</v>
      </c>
      <c r="AH111" s="8" t="str">
        <v>SAS</v>
      </c>
    </row>
    <row r="112" spans="1:34" ht="17" x14ac:dyDescent="0.2">
      <c r="A112" s="1">
        <v>108</v>
      </c>
      <c r="B112" s="18" t="s">
        <v>97</v>
      </c>
      <c r="C112" s="17">
        <v>29</v>
      </c>
      <c r="D112" s="18" t="s">
        <v>98</v>
      </c>
      <c r="E112" s="17" t="s">
        <v>54</v>
      </c>
      <c r="F112" s="17">
        <v>34</v>
      </c>
      <c r="G112" s="17">
        <v>34</v>
      </c>
      <c r="H112" s="17">
        <v>31.8</v>
      </c>
      <c r="I112" s="17">
        <v>4.8</v>
      </c>
      <c r="J112" s="17">
        <v>11.8</v>
      </c>
      <c r="K112" s="17">
        <v>0.41</v>
      </c>
      <c r="L112" s="17">
        <v>2.2999999999999998</v>
      </c>
      <c r="M112" s="17">
        <v>6.1</v>
      </c>
      <c r="N112" s="17">
        <v>0.379</v>
      </c>
      <c r="O112" s="17">
        <v>2.5</v>
      </c>
      <c r="P112" s="17">
        <v>5.7</v>
      </c>
      <c r="Q112" s="17">
        <v>0.443</v>
      </c>
      <c r="R112" s="17">
        <v>0.50800000000000001</v>
      </c>
      <c r="S112" s="17">
        <v>1.4</v>
      </c>
      <c r="T112" s="17">
        <v>1.6</v>
      </c>
      <c r="U112" s="17">
        <v>0.873</v>
      </c>
      <c r="V112" s="17">
        <v>1.3</v>
      </c>
      <c r="W112" s="17">
        <v>2.6</v>
      </c>
      <c r="X112" s="17">
        <v>3.9</v>
      </c>
      <c r="Y112" s="17">
        <v>1.6</v>
      </c>
      <c r="Z112" s="17">
        <v>0.7</v>
      </c>
      <c r="AA112" s="17">
        <v>0.3</v>
      </c>
      <c r="AB112" s="17">
        <v>1</v>
      </c>
      <c r="AC112" s="17">
        <v>3.4</v>
      </c>
      <c r="AD112" s="17">
        <v>13.4</v>
      </c>
      <c r="AE112" s="17"/>
      <c r="AG112" s="8" t="str">
        <v>P.J. Washington</v>
      </c>
      <c r="AH112" s="8" t="str">
        <v>DAL</v>
      </c>
    </row>
    <row r="113" spans="1:34" ht="17" x14ac:dyDescent="0.2">
      <c r="A113" s="1">
        <v>109</v>
      </c>
      <c r="B113" s="18" t="s">
        <v>378</v>
      </c>
      <c r="C113" s="17">
        <v>21</v>
      </c>
      <c r="D113" s="18" t="s">
        <v>70</v>
      </c>
      <c r="E113" s="17" t="s">
        <v>27</v>
      </c>
      <c r="F113" s="17">
        <v>22</v>
      </c>
      <c r="G113" s="17">
        <v>19</v>
      </c>
      <c r="H113" s="17">
        <v>29</v>
      </c>
      <c r="I113" s="17">
        <v>5.3</v>
      </c>
      <c r="J113" s="17">
        <v>10</v>
      </c>
      <c r="K113" s="17">
        <v>0.53</v>
      </c>
      <c r="L113" s="17">
        <v>0.5</v>
      </c>
      <c r="M113" s="17">
        <v>1.8</v>
      </c>
      <c r="N113" s="17">
        <v>0.28199999999999997</v>
      </c>
      <c r="O113" s="17">
        <v>4.8</v>
      </c>
      <c r="P113" s="17">
        <v>8.1999999999999993</v>
      </c>
      <c r="Q113" s="17">
        <v>0.58299999999999996</v>
      </c>
      <c r="R113" s="17">
        <v>0.55500000000000005</v>
      </c>
      <c r="S113" s="17">
        <v>2.2999999999999998</v>
      </c>
      <c r="T113" s="17">
        <v>3.2</v>
      </c>
      <c r="U113" s="17">
        <v>0.72899999999999998</v>
      </c>
      <c r="V113" s="17">
        <v>2.7</v>
      </c>
      <c r="W113" s="17">
        <v>5.4</v>
      </c>
      <c r="X113" s="17">
        <v>8</v>
      </c>
      <c r="Y113" s="17">
        <v>2.6</v>
      </c>
      <c r="Z113" s="17">
        <v>0.9</v>
      </c>
      <c r="AA113" s="17">
        <v>0.6</v>
      </c>
      <c r="AB113" s="17">
        <v>1.8</v>
      </c>
      <c r="AC113" s="17">
        <v>2.4</v>
      </c>
      <c r="AD113" s="17">
        <v>13.4</v>
      </c>
      <c r="AE113" s="17"/>
      <c r="AG113" s="8" t="str">
        <v>Tobias Harris</v>
      </c>
      <c r="AH113" s="8" t="str">
        <v>DET</v>
      </c>
    </row>
    <row r="114" spans="1:34" ht="17" x14ac:dyDescent="0.2">
      <c r="A114" s="1">
        <v>110</v>
      </c>
      <c r="B114" s="18" t="s">
        <v>412</v>
      </c>
      <c r="C114" s="17">
        <v>26</v>
      </c>
      <c r="D114" s="18" t="s">
        <v>100</v>
      </c>
      <c r="E114" s="17" t="s">
        <v>27</v>
      </c>
      <c r="F114" s="17">
        <v>31</v>
      </c>
      <c r="G114" s="17">
        <v>30</v>
      </c>
      <c r="H114" s="17">
        <v>32.299999999999997</v>
      </c>
      <c r="I114" s="17">
        <v>4.8</v>
      </c>
      <c r="J114" s="17">
        <v>11</v>
      </c>
      <c r="K114" s="17">
        <v>0.436</v>
      </c>
      <c r="L114" s="17">
        <v>1.6</v>
      </c>
      <c r="M114" s="17">
        <v>4.3</v>
      </c>
      <c r="N114" s="17">
        <v>0.38600000000000001</v>
      </c>
      <c r="O114" s="17">
        <v>3.2</v>
      </c>
      <c r="P114" s="17">
        <v>6.8</v>
      </c>
      <c r="Q114" s="17">
        <v>0.46700000000000003</v>
      </c>
      <c r="R114" s="17">
        <v>0.51</v>
      </c>
      <c r="S114" s="17">
        <v>2.1</v>
      </c>
      <c r="T114" s="17">
        <v>2.7</v>
      </c>
      <c r="U114" s="17">
        <v>0.77600000000000002</v>
      </c>
      <c r="V114" s="17">
        <v>1.4</v>
      </c>
      <c r="W114" s="17">
        <v>6.3</v>
      </c>
      <c r="X114" s="17">
        <v>7.7</v>
      </c>
      <c r="Y114" s="17">
        <v>2.1</v>
      </c>
      <c r="Z114" s="17">
        <v>1.3</v>
      </c>
      <c r="AA114" s="17">
        <v>1</v>
      </c>
      <c r="AB114" s="17">
        <v>1.7</v>
      </c>
      <c r="AC114" s="17">
        <v>2.2000000000000002</v>
      </c>
      <c r="AD114" s="17">
        <v>13.4</v>
      </c>
      <c r="AE114" s="17"/>
      <c r="AG114" s="8" t="str">
        <v>Kelly Oubre Jr.</v>
      </c>
      <c r="AH114" s="8" t="str">
        <v>PHI</v>
      </c>
    </row>
    <row r="115" spans="1:34" ht="17" x14ac:dyDescent="0.2">
      <c r="A115" s="1">
        <v>111</v>
      </c>
      <c r="B115" s="18" t="s">
        <v>190</v>
      </c>
      <c r="C115" s="17">
        <v>32</v>
      </c>
      <c r="D115" s="18" t="s">
        <v>60</v>
      </c>
      <c r="E115" s="17" t="s">
        <v>27</v>
      </c>
      <c r="F115" s="17">
        <v>36</v>
      </c>
      <c r="G115" s="17">
        <v>36</v>
      </c>
      <c r="H115" s="17">
        <v>31.8</v>
      </c>
      <c r="I115" s="17">
        <v>5</v>
      </c>
      <c r="J115" s="17">
        <v>11</v>
      </c>
      <c r="K115" s="17">
        <v>0.45200000000000001</v>
      </c>
      <c r="L115" s="17">
        <v>1.4</v>
      </c>
      <c r="M115" s="17">
        <v>4.0999999999999996</v>
      </c>
      <c r="N115" s="17">
        <v>0.35099999999999998</v>
      </c>
      <c r="O115" s="17">
        <v>3.5</v>
      </c>
      <c r="P115" s="17">
        <v>6.9</v>
      </c>
      <c r="Q115" s="17">
        <v>0.51200000000000001</v>
      </c>
      <c r="R115" s="17">
        <v>0.51800000000000002</v>
      </c>
      <c r="S115" s="17">
        <v>1.9</v>
      </c>
      <c r="T115" s="17">
        <v>2.2000000000000002</v>
      </c>
      <c r="U115" s="17">
        <v>0.86099999999999999</v>
      </c>
      <c r="V115" s="17">
        <v>1</v>
      </c>
      <c r="W115" s="17">
        <v>5.4</v>
      </c>
      <c r="X115" s="17">
        <v>6.4</v>
      </c>
      <c r="Y115" s="17">
        <v>2.5</v>
      </c>
      <c r="Z115" s="17">
        <v>0.8</v>
      </c>
      <c r="AA115" s="17">
        <v>0.9</v>
      </c>
      <c r="AB115" s="17">
        <v>1.2</v>
      </c>
      <c r="AC115" s="17">
        <v>2</v>
      </c>
      <c r="AD115" s="17">
        <v>13.3</v>
      </c>
      <c r="AE115" s="17"/>
      <c r="AG115" s="8" t="str">
        <v>Santi Aldama</v>
      </c>
      <c r="AH115" s="8" t="str">
        <v>MEM</v>
      </c>
    </row>
    <row r="116" spans="1:34" ht="17" x14ac:dyDescent="0.2">
      <c r="A116" s="1">
        <v>112</v>
      </c>
      <c r="B116" s="18" t="s">
        <v>318</v>
      </c>
      <c r="C116" s="17">
        <v>29</v>
      </c>
      <c r="D116" s="18" t="s">
        <v>64</v>
      </c>
      <c r="E116" s="17" t="s">
        <v>54</v>
      </c>
      <c r="F116" s="17">
        <v>32</v>
      </c>
      <c r="G116" s="17">
        <v>29</v>
      </c>
      <c r="H116" s="17">
        <v>32.799999999999997</v>
      </c>
      <c r="I116" s="17">
        <v>5.0999999999999996</v>
      </c>
      <c r="J116" s="17">
        <v>11.1</v>
      </c>
      <c r="K116" s="17">
        <v>0.45900000000000002</v>
      </c>
      <c r="L116" s="17">
        <v>1.2</v>
      </c>
      <c r="M116" s="17">
        <v>4.3</v>
      </c>
      <c r="N116" s="17">
        <v>0.28100000000000003</v>
      </c>
      <c r="O116" s="17">
        <v>3.9</v>
      </c>
      <c r="P116" s="17">
        <v>6.8</v>
      </c>
      <c r="Q116" s="17">
        <v>0.57399999999999995</v>
      </c>
      <c r="R116" s="17">
        <v>0.51400000000000001</v>
      </c>
      <c r="S116" s="17">
        <v>1.8</v>
      </c>
      <c r="T116" s="17">
        <v>2.5</v>
      </c>
      <c r="U116" s="17">
        <v>0.72799999999999998</v>
      </c>
      <c r="V116" s="17">
        <v>1.6</v>
      </c>
      <c r="W116" s="17">
        <v>4.2</v>
      </c>
      <c r="X116" s="17">
        <v>5.8</v>
      </c>
      <c r="Y116" s="17">
        <v>1.6</v>
      </c>
      <c r="Z116" s="17">
        <v>1.4</v>
      </c>
      <c r="AA116" s="17">
        <v>0.6</v>
      </c>
      <c r="AB116" s="17">
        <v>1.3</v>
      </c>
      <c r="AC116" s="17">
        <v>2.8</v>
      </c>
      <c r="AD116" s="17">
        <v>13.3</v>
      </c>
      <c r="AE116" s="17"/>
      <c r="AG116" s="8" t="str">
        <v>Dyson Daniels</v>
      </c>
      <c r="AH116" s="8" t="str">
        <v>ATL</v>
      </c>
    </row>
    <row r="117" spans="1:34" ht="17" x14ac:dyDescent="0.2">
      <c r="A117" s="1">
        <v>113</v>
      </c>
      <c r="B117" s="18" t="s">
        <v>37</v>
      </c>
      <c r="C117" s="17">
        <v>24</v>
      </c>
      <c r="D117" s="18" t="s">
        <v>38</v>
      </c>
      <c r="E117" s="17" t="s">
        <v>27</v>
      </c>
      <c r="F117" s="17">
        <v>32</v>
      </c>
      <c r="G117" s="17">
        <v>11</v>
      </c>
      <c r="H117" s="17">
        <v>25.6</v>
      </c>
      <c r="I117" s="17">
        <v>5.0999999999999996</v>
      </c>
      <c r="J117" s="17">
        <v>10.1</v>
      </c>
      <c r="K117" s="17">
        <v>0.502</v>
      </c>
      <c r="L117" s="17">
        <v>1.8</v>
      </c>
      <c r="M117" s="17">
        <v>4.5</v>
      </c>
      <c r="N117" s="17">
        <v>0.38600000000000001</v>
      </c>
      <c r="O117" s="17">
        <v>3.3</v>
      </c>
      <c r="P117" s="17">
        <v>5.6</v>
      </c>
      <c r="Q117" s="17">
        <v>0.59599999999999997</v>
      </c>
      <c r="R117" s="17">
        <v>0.58799999999999997</v>
      </c>
      <c r="S117" s="17">
        <v>1.1000000000000001</v>
      </c>
      <c r="T117" s="17">
        <v>1.5</v>
      </c>
      <c r="U117" s="17">
        <v>0.72899999999999998</v>
      </c>
      <c r="V117" s="17">
        <v>1.6</v>
      </c>
      <c r="W117" s="17">
        <v>5.8</v>
      </c>
      <c r="X117" s="17">
        <v>7.3</v>
      </c>
      <c r="Y117" s="17">
        <v>2.9</v>
      </c>
      <c r="Z117" s="17">
        <v>0.9</v>
      </c>
      <c r="AA117" s="17">
        <v>0.5</v>
      </c>
      <c r="AB117" s="17">
        <v>1.3</v>
      </c>
      <c r="AC117" s="17">
        <v>1</v>
      </c>
      <c r="AD117" s="17">
        <v>13</v>
      </c>
      <c r="AE117" s="17"/>
      <c r="AG117" s="8" t="str">
        <v>Moritz Wagner</v>
      </c>
      <c r="AH117" s="8" t="str">
        <v>ORL</v>
      </c>
    </row>
    <row r="118" spans="1:34" ht="17" x14ac:dyDescent="0.2">
      <c r="A118" s="1">
        <v>114</v>
      </c>
      <c r="B118" s="18" t="s">
        <v>135</v>
      </c>
      <c r="C118" s="17">
        <v>21</v>
      </c>
      <c r="D118" s="18" t="s">
        <v>82</v>
      </c>
      <c r="E118" s="17" t="s">
        <v>35</v>
      </c>
      <c r="F118" s="17">
        <v>34</v>
      </c>
      <c r="G118" s="17">
        <v>34</v>
      </c>
      <c r="H118" s="17">
        <v>33.4</v>
      </c>
      <c r="I118" s="17">
        <v>5.5</v>
      </c>
      <c r="J118" s="17">
        <v>12.1</v>
      </c>
      <c r="K118" s="17">
        <v>0.45300000000000001</v>
      </c>
      <c r="L118" s="17">
        <v>1.2</v>
      </c>
      <c r="M118" s="17">
        <v>3.8</v>
      </c>
      <c r="N118" s="17">
        <v>0.318</v>
      </c>
      <c r="O118" s="17">
        <v>4.3</v>
      </c>
      <c r="P118" s="17">
        <v>8.3000000000000007</v>
      </c>
      <c r="Q118" s="17">
        <v>0.51400000000000001</v>
      </c>
      <c r="R118" s="17">
        <v>0.502</v>
      </c>
      <c r="S118" s="17">
        <v>0.8</v>
      </c>
      <c r="T118" s="17">
        <v>1.4</v>
      </c>
      <c r="U118" s="17">
        <v>0.58699999999999997</v>
      </c>
      <c r="V118" s="17">
        <v>1.6</v>
      </c>
      <c r="W118" s="17">
        <v>3.4</v>
      </c>
      <c r="X118" s="17">
        <v>4.9000000000000004</v>
      </c>
      <c r="Y118" s="17">
        <v>3.6</v>
      </c>
      <c r="Z118" s="19">
        <v>3.1</v>
      </c>
      <c r="AA118" s="17">
        <v>0.9</v>
      </c>
      <c r="AB118" s="17">
        <v>1.7</v>
      </c>
      <c r="AC118" s="17">
        <v>2.4</v>
      </c>
      <c r="AD118" s="17">
        <v>12.9</v>
      </c>
      <c r="AE118" s="17"/>
      <c r="AG118" s="8" t="str">
        <v>Naz Reid</v>
      </c>
      <c r="AH118" s="8" t="str">
        <v>MIN</v>
      </c>
    </row>
    <row r="119" spans="1:34" ht="17" x14ac:dyDescent="0.2">
      <c r="A119" s="1">
        <v>115</v>
      </c>
      <c r="B119" s="18" t="s">
        <v>407</v>
      </c>
      <c r="C119" s="17">
        <v>27</v>
      </c>
      <c r="D119" s="18" t="s">
        <v>52</v>
      </c>
      <c r="E119" s="17" t="s">
        <v>29</v>
      </c>
      <c r="F119" s="17">
        <v>30</v>
      </c>
      <c r="G119" s="17">
        <v>1</v>
      </c>
      <c r="H119" s="17">
        <v>18.8</v>
      </c>
      <c r="I119" s="17">
        <v>4.7</v>
      </c>
      <c r="J119" s="17">
        <v>8.3000000000000007</v>
      </c>
      <c r="K119" s="17">
        <v>0.56200000000000006</v>
      </c>
      <c r="L119" s="17">
        <v>0.9</v>
      </c>
      <c r="M119" s="17">
        <v>2.5</v>
      </c>
      <c r="N119" s="17">
        <v>0.36</v>
      </c>
      <c r="O119" s="17">
        <v>3.8</v>
      </c>
      <c r="P119" s="17">
        <v>5.8</v>
      </c>
      <c r="Q119" s="17">
        <v>0.64900000000000002</v>
      </c>
      <c r="R119" s="17">
        <v>0.61599999999999999</v>
      </c>
      <c r="S119" s="17">
        <v>2.6</v>
      </c>
      <c r="T119" s="17">
        <v>3.7</v>
      </c>
      <c r="U119" s="17">
        <v>0.71799999999999997</v>
      </c>
      <c r="V119" s="17">
        <v>1.3</v>
      </c>
      <c r="W119" s="17">
        <v>3.6</v>
      </c>
      <c r="X119" s="17">
        <v>4.9000000000000004</v>
      </c>
      <c r="Y119" s="17">
        <v>1.4</v>
      </c>
      <c r="Z119" s="17">
        <v>0.8</v>
      </c>
      <c r="AA119" s="17">
        <v>0.4</v>
      </c>
      <c r="AB119" s="17">
        <v>1.6</v>
      </c>
      <c r="AC119" s="17">
        <v>1.8</v>
      </c>
      <c r="AD119" s="17">
        <v>12.9</v>
      </c>
      <c r="AE119" s="17"/>
      <c r="AG119" s="8" t="str">
        <v>Ayo Dosunmu</v>
      </c>
      <c r="AH119" s="8" t="str">
        <v>CHI</v>
      </c>
    </row>
    <row r="120" spans="1:34" ht="17" x14ac:dyDescent="0.2">
      <c r="A120" s="1">
        <v>116</v>
      </c>
      <c r="B120" s="18" t="s">
        <v>346</v>
      </c>
      <c r="C120" s="17">
        <v>25</v>
      </c>
      <c r="D120" s="18" t="s">
        <v>40</v>
      </c>
      <c r="E120" s="17" t="s">
        <v>29</v>
      </c>
      <c r="F120" s="17">
        <v>37</v>
      </c>
      <c r="G120" s="17">
        <v>0</v>
      </c>
      <c r="H120" s="17">
        <v>24.8</v>
      </c>
      <c r="I120" s="17">
        <v>4.8</v>
      </c>
      <c r="J120" s="17">
        <v>10.3</v>
      </c>
      <c r="K120" s="17">
        <v>0.46200000000000002</v>
      </c>
      <c r="L120" s="17">
        <v>1.7</v>
      </c>
      <c r="M120" s="17">
        <v>4.9000000000000004</v>
      </c>
      <c r="N120" s="17">
        <v>0.35399999999999998</v>
      </c>
      <c r="O120" s="17">
        <v>3</v>
      </c>
      <c r="P120" s="17">
        <v>5.4</v>
      </c>
      <c r="Q120" s="17">
        <v>0.56000000000000005</v>
      </c>
      <c r="R120" s="17">
        <v>0.54600000000000004</v>
      </c>
      <c r="S120" s="17">
        <v>1.5</v>
      </c>
      <c r="T120" s="17">
        <v>2</v>
      </c>
      <c r="U120" s="17">
        <v>0.78100000000000003</v>
      </c>
      <c r="V120" s="17">
        <v>0.9</v>
      </c>
      <c r="W120" s="17">
        <v>4.2</v>
      </c>
      <c r="X120" s="17">
        <v>5.0999999999999996</v>
      </c>
      <c r="Y120" s="17">
        <v>1.7</v>
      </c>
      <c r="Z120" s="17">
        <v>0.7</v>
      </c>
      <c r="AA120" s="17">
        <v>0.8</v>
      </c>
      <c r="AB120" s="17">
        <v>1.3</v>
      </c>
      <c r="AC120" s="17">
        <v>2.4</v>
      </c>
      <c r="AD120" s="17">
        <v>12.8</v>
      </c>
      <c r="AE120" s="17"/>
      <c r="AG120" s="8" t="str">
        <v>Russell Westbrook</v>
      </c>
      <c r="AH120" s="8" t="str">
        <v>DEN</v>
      </c>
    </row>
    <row r="121" spans="1:34" ht="17" x14ac:dyDescent="0.2">
      <c r="A121" s="1">
        <v>117</v>
      </c>
      <c r="B121" s="18" t="s">
        <v>147</v>
      </c>
      <c r="C121" s="17">
        <v>25</v>
      </c>
      <c r="D121" s="18" t="s">
        <v>84</v>
      </c>
      <c r="E121" s="17" t="s">
        <v>35</v>
      </c>
      <c r="F121" s="17">
        <v>30</v>
      </c>
      <c r="G121" s="17">
        <v>17</v>
      </c>
      <c r="H121" s="17">
        <v>30.8</v>
      </c>
      <c r="I121" s="17">
        <v>4.9000000000000004</v>
      </c>
      <c r="J121" s="17">
        <v>10</v>
      </c>
      <c r="K121" s="17">
        <v>0.49</v>
      </c>
      <c r="L121" s="17">
        <v>1.3</v>
      </c>
      <c r="M121" s="17">
        <v>4.2</v>
      </c>
      <c r="N121" s="17">
        <v>0.32</v>
      </c>
      <c r="O121" s="17">
        <v>3.6</v>
      </c>
      <c r="P121" s="17">
        <v>5.8</v>
      </c>
      <c r="Q121" s="17">
        <v>0.61099999999999999</v>
      </c>
      <c r="R121" s="17">
        <v>0.55700000000000005</v>
      </c>
      <c r="S121" s="17">
        <v>1.4</v>
      </c>
      <c r="T121" s="17">
        <v>1.8</v>
      </c>
      <c r="U121" s="17">
        <v>0.79600000000000004</v>
      </c>
      <c r="V121" s="17">
        <v>0.6</v>
      </c>
      <c r="W121" s="17">
        <v>3.3</v>
      </c>
      <c r="X121" s="17">
        <v>3.9</v>
      </c>
      <c r="Y121" s="17">
        <v>4.8</v>
      </c>
      <c r="Z121" s="17">
        <v>0.8</v>
      </c>
      <c r="AA121" s="17">
        <v>0.5</v>
      </c>
      <c r="AB121" s="17">
        <v>1.3</v>
      </c>
      <c r="AC121" s="17">
        <v>2.2999999999999998</v>
      </c>
      <c r="AD121" s="17">
        <v>12.6</v>
      </c>
      <c r="AE121" s="17"/>
      <c r="AG121" s="8" t="str">
        <v>Bilal Coulibaly</v>
      </c>
      <c r="AH121" s="8" t="str">
        <v>WAS</v>
      </c>
    </row>
    <row r="122" spans="1:34" ht="17" x14ac:dyDescent="0.2">
      <c r="A122" s="1">
        <v>118</v>
      </c>
      <c r="B122" s="18" t="s">
        <v>418</v>
      </c>
      <c r="C122" s="17">
        <v>36</v>
      </c>
      <c r="D122" s="18" t="s">
        <v>93</v>
      </c>
      <c r="E122" s="17" t="s">
        <v>46</v>
      </c>
      <c r="F122" s="17">
        <v>36</v>
      </c>
      <c r="G122" s="17">
        <v>15</v>
      </c>
      <c r="H122" s="17">
        <v>27.1</v>
      </c>
      <c r="I122" s="17">
        <v>4.7</v>
      </c>
      <c r="J122" s="17">
        <v>10.3</v>
      </c>
      <c r="K122" s="17">
        <v>0.45800000000000002</v>
      </c>
      <c r="L122" s="17">
        <v>1.2</v>
      </c>
      <c r="M122" s="17">
        <v>3.6</v>
      </c>
      <c r="N122" s="17">
        <v>0.32100000000000001</v>
      </c>
      <c r="O122" s="17">
        <v>3.5</v>
      </c>
      <c r="P122" s="17">
        <v>6.6</v>
      </c>
      <c r="Q122" s="17">
        <v>0.53400000000000003</v>
      </c>
      <c r="R122" s="17">
        <v>0.51500000000000001</v>
      </c>
      <c r="S122" s="17">
        <v>2.1</v>
      </c>
      <c r="T122" s="17">
        <v>3.3</v>
      </c>
      <c r="U122" s="17">
        <v>0.627</v>
      </c>
      <c r="V122" s="17">
        <v>1.2</v>
      </c>
      <c r="W122" s="17">
        <v>3.6</v>
      </c>
      <c r="X122" s="17">
        <v>4.8</v>
      </c>
      <c r="Y122" s="17">
        <v>6.7</v>
      </c>
      <c r="Z122" s="17">
        <v>1.7</v>
      </c>
      <c r="AA122" s="17">
        <v>0.5</v>
      </c>
      <c r="AB122" s="17">
        <v>2.8</v>
      </c>
      <c r="AC122" s="17">
        <v>2.6</v>
      </c>
      <c r="AD122" s="17">
        <v>12.6</v>
      </c>
      <c r="AE122" s="17"/>
      <c r="AG122" s="8" t="str">
        <v>Keldon Johnson</v>
      </c>
      <c r="AH122" s="8" t="str">
        <v>SAS</v>
      </c>
    </row>
    <row r="123" spans="1:34" ht="17" x14ac:dyDescent="0.2">
      <c r="A123" s="1">
        <v>119</v>
      </c>
      <c r="B123" s="18" t="s">
        <v>128</v>
      </c>
      <c r="C123" s="17">
        <v>20</v>
      </c>
      <c r="D123" s="18" t="s">
        <v>56</v>
      </c>
      <c r="E123" s="17" t="s">
        <v>54</v>
      </c>
      <c r="F123" s="17">
        <v>31</v>
      </c>
      <c r="G123" s="17">
        <v>31</v>
      </c>
      <c r="H123" s="17">
        <v>33.6</v>
      </c>
      <c r="I123" s="17">
        <v>4.5</v>
      </c>
      <c r="J123" s="17">
        <v>10.6</v>
      </c>
      <c r="K123" s="17">
        <v>0.42399999999999999</v>
      </c>
      <c r="L123" s="17">
        <v>1.1000000000000001</v>
      </c>
      <c r="M123" s="17">
        <v>3.7</v>
      </c>
      <c r="N123" s="17">
        <v>0.29599999999999999</v>
      </c>
      <c r="O123" s="17">
        <v>3.4</v>
      </c>
      <c r="P123" s="17">
        <v>6.9</v>
      </c>
      <c r="Q123" s="17">
        <v>0.49299999999999999</v>
      </c>
      <c r="R123" s="17">
        <v>0.47599999999999998</v>
      </c>
      <c r="S123" s="17">
        <v>2.4</v>
      </c>
      <c r="T123" s="17">
        <v>3.1</v>
      </c>
      <c r="U123" s="17">
        <v>0.77300000000000002</v>
      </c>
      <c r="V123" s="17">
        <v>1.5</v>
      </c>
      <c r="W123" s="17">
        <v>4</v>
      </c>
      <c r="X123" s="17">
        <v>5.4</v>
      </c>
      <c r="Y123" s="17">
        <v>3.5</v>
      </c>
      <c r="Z123" s="17">
        <v>1.3</v>
      </c>
      <c r="AA123" s="17">
        <v>0.8</v>
      </c>
      <c r="AB123" s="17">
        <v>2.1</v>
      </c>
      <c r="AC123" s="17">
        <v>2.5</v>
      </c>
      <c r="AD123" s="17">
        <v>12.5</v>
      </c>
      <c r="AE123" s="17"/>
      <c r="AG123" s="8" t="str">
        <v>D'Angelo Russell</v>
      </c>
      <c r="AH123" s="8" t="str">
        <v>BRK</v>
      </c>
    </row>
    <row r="124" spans="1:34" ht="17" x14ac:dyDescent="0.2">
      <c r="A124" s="1">
        <v>120</v>
      </c>
      <c r="B124" s="18" t="s">
        <v>231</v>
      </c>
      <c r="C124" s="17">
        <v>25</v>
      </c>
      <c r="D124" s="18" t="s">
        <v>70</v>
      </c>
      <c r="E124" s="17" t="s">
        <v>54</v>
      </c>
      <c r="F124" s="17">
        <v>34</v>
      </c>
      <c r="G124" s="17">
        <v>0</v>
      </c>
      <c r="H124" s="17">
        <v>24.6</v>
      </c>
      <c r="I124" s="17">
        <v>4.5999999999999996</v>
      </c>
      <c r="J124" s="17">
        <v>10.199999999999999</v>
      </c>
      <c r="K124" s="17">
        <v>0.45400000000000001</v>
      </c>
      <c r="L124" s="17">
        <v>1.1000000000000001</v>
      </c>
      <c r="M124" s="17">
        <v>3.9</v>
      </c>
      <c r="N124" s="17">
        <v>0.28000000000000003</v>
      </c>
      <c r="O124" s="17">
        <v>3.6</v>
      </c>
      <c r="P124" s="17">
        <v>6.4</v>
      </c>
      <c r="Q124" s="17">
        <v>0.56000000000000005</v>
      </c>
      <c r="R124" s="17">
        <v>0.50700000000000001</v>
      </c>
      <c r="S124" s="17">
        <v>2.1</v>
      </c>
      <c r="T124" s="17">
        <v>2.8</v>
      </c>
      <c r="U124" s="17">
        <v>0.75800000000000001</v>
      </c>
      <c r="V124" s="17">
        <v>1.3</v>
      </c>
      <c r="W124" s="17">
        <v>3.9</v>
      </c>
      <c r="X124" s="17">
        <v>5.2</v>
      </c>
      <c r="Y124" s="17">
        <v>1.5</v>
      </c>
      <c r="Z124" s="17">
        <v>0.7</v>
      </c>
      <c r="AA124" s="17">
        <v>0.2</v>
      </c>
      <c r="AB124" s="17">
        <v>0.8</v>
      </c>
      <c r="AC124" s="17">
        <v>1.4</v>
      </c>
      <c r="AD124" s="17">
        <v>12.5</v>
      </c>
      <c r="AE124" s="17"/>
      <c r="AG124" s="8" t="str">
        <v>Brook Lopez</v>
      </c>
      <c r="AH124" s="8" t="str">
        <v>MIL</v>
      </c>
    </row>
    <row r="125" spans="1:34" ht="17" x14ac:dyDescent="0.2">
      <c r="A125" s="1">
        <v>121</v>
      </c>
      <c r="B125" s="18" t="s">
        <v>357</v>
      </c>
      <c r="C125" s="17">
        <v>28</v>
      </c>
      <c r="D125" s="17" t="s">
        <v>610</v>
      </c>
      <c r="E125" s="17" t="s">
        <v>46</v>
      </c>
      <c r="F125" s="17">
        <v>32</v>
      </c>
      <c r="G125" s="17">
        <v>12</v>
      </c>
      <c r="H125" s="17">
        <v>26</v>
      </c>
      <c r="I125" s="17">
        <v>4.4000000000000004</v>
      </c>
      <c r="J125" s="17">
        <v>10.6</v>
      </c>
      <c r="K125" s="17">
        <v>0.41899999999999998</v>
      </c>
      <c r="L125" s="17">
        <v>1.8</v>
      </c>
      <c r="M125" s="17">
        <v>5.6</v>
      </c>
      <c r="N125" s="17">
        <v>0.32800000000000001</v>
      </c>
      <c r="O125" s="17">
        <v>2.6</v>
      </c>
      <c r="P125" s="17">
        <v>5</v>
      </c>
      <c r="Q125" s="17">
        <v>0.52200000000000002</v>
      </c>
      <c r="R125" s="17">
        <v>0.50600000000000001</v>
      </c>
      <c r="S125" s="17">
        <v>1.7</v>
      </c>
      <c r="T125" s="17">
        <v>2</v>
      </c>
      <c r="U125" s="17">
        <v>0.85699999999999998</v>
      </c>
      <c r="V125" s="17">
        <v>0.3</v>
      </c>
      <c r="W125" s="17">
        <v>2.4</v>
      </c>
      <c r="X125" s="17">
        <v>2.7</v>
      </c>
      <c r="Y125" s="17">
        <v>5</v>
      </c>
      <c r="Z125" s="17">
        <v>0.9</v>
      </c>
      <c r="AA125" s="17">
        <v>0.2</v>
      </c>
      <c r="AB125" s="17">
        <v>1.8</v>
      </c>
      <c r="AC125" s="17">
        <v>1.8</v>
      </c>
      <c r="AD125" s="17">
        <v>12.4</v>
      </c>
      <c r="AE125" s="17"/>
      <c r="AG125" s="8" t="str">
        <v>Amen Thompson</v>
      </c>
      <c r="AH125" s="8" t="str">
        <v>HOU</v>
      </c>
    </row>
    <row r="126" spans="1:34" ht="17" x14ac:dyDescent="0.2">
      <c r="A126" s="20">
        <v>121</v>
      </c>
      <c r="B126" s="18" t="s">
        <v>357</v>
      </c>
      <c r="C126" s="21">
        <v>28</v>
      </c>
      <c r="D126" s="18" t="s">
        <v>116</v>
      </c>
      <c r="E126" s="21" t="s">
        <v>46</v>
      </c>
      <c r="F126" s="21">
        <v>29</v>
      </c>
      <c r="G126" s="21">
        <v>10</v>
      </c>
      <c r="H126" s="21">
        <v>26.3</v>
      </c>
      <c r="I126" s="21">
        <v>4.4000000000000004</v>
      </c>
      <c r="J126" s="21">
        <v>10.7</v>
      </c>
      <c r="K126" s="21">
        <v>0.41499999999999998</v>
      </c>
      <c r="L126" s="21">
        <v>1.9</v>
      </c>
      <c r="M126" s="21">
        <v>5.8</v>
      </c>
      <c r="N126" s="21">
        <v>0.33300000000000002</v>
      </c>
      <c r="O126" s="21">
        <v>2.5</v>
      </c>
      <c r="P126" s="21">
        <v>4.9000000000000004</v>
      </c>
      <c r="Q126" s="21">
        <v>0.51</v>
      </c>
      <c r="R126" s="21">
        <v>0.505</v>
      </c>
      <c r="S126" s="21">
        <v>1.6</v>
      </c>
      <c r="T126" s="21">
        <v>1.8</v>
      </c>
      <c r="U126" s="21">
        <v>0.84899999999999998</v>
      </c>
      <c r="V126" s="21">
        <v>0.3</v>
      </c>
      <c r="W126" s="21">
        <v>2.5</v>
      </c>
      <c r="X126" s="21">
        <v>2.8</v>
      </c>
      <c r="Y126" s="21">
        <v>4.7</v>
      </c>
      <c r="Z126" s="21">
        <v>0.8</v>
      </c>
      <c r="AA126" s="21">
        <v>0.1</v>
      </c>
      <c r="AB126" s="21">
        <v>1.7</v>
      </c>
      <c r="AC126" s="21">
        <v>1.8</v>
      </c>
      <c r="AD126" s="21">
        <v>12.4</v>
      </c>
      <c r="AE126" s="21"/>
      <c r="AG126" s="8" t="str">
        <v>Buddy Hield</v>
      </c>
      <c r="AH126" s="8" t="str">
        <v>GSW</v>
      </c>
    </row>
    <row r="127" spans="1:34" ht="17" x14ac:dyDescent="0.2">
      <c r="A127" s="20">
        <v>121</v>
      </c>
      <c r="B127" s="18" t="s">
        <v>357</v>
      </c>
      <c r="C127" s="21">
        <v>28</v>
      </c>
      <c r="D127" s="18" t="s">
        <v>95</v>
      </c>
      <c r="E127" s="21" t="s">
        <v>46</v>
      </c>
      <c r="F127" s="21">
        <v>3</v>
      </c>
      <c r="G127" s="21">
        <v>2</v>
      </c>
      <c r="H127" s="21">
        <v>22.7</v>
      </c>
      <c r="I127" s="21">
        <v>4.3</v>
      </c>
      <c r="J127" s="21">
        <v>9.3000000000000007</v>
      </c>
      <c r="K127" s="21">
        <v>0.46400000000000002</v>
      </c>
      <c r="L127" s="21">
        <v>1</v>
      </c>
      <c r="M127" s="21">
        <v>4</v>
      </c>
      <c r="N127" s="21">
        <v>0.25</v>
      </c>
      <c r="O127" s="21">
        <v>3.3</v>
      </c>
      <c r="P127" s="21">
        <v>5.3</v>
      </c>
      <c r="Q127" s="21">
        <v>0.625</v>
      </c>
      <c r="R127" s="21">
        <v>0.51800000000000002</v>
      </c>
      <c r="S127" s="21">
        <v>3</v>
      </c>
      <c r="T127" s="21">
        <v>3.3</v>
      </c>
      <c r="U127" s="21">
        <v>0.9</v>
      </c>
      <c r="V127" s="21">
        <v>0</v>
      </c>
      <c r="W127" s="21">
        <v>2</v>
      </c>
      <c r="X127" s="21">
        <v>2</v>
      </c>
      <c r="Y127" s="21">
        <v>8</v>
      </c>
      <c r="Z127" s="21">
        <v>1.7</v>
      </c>
      <c r="AA127" s="21">
        <v>0.7</v>
      </c>
      <c r="AB127" s="21">
        <v>2.2999999999999998</v>
      </c>
      <c r="AC127" s="21">
        <v>1.7</v>
      </c>
      <c r="AD127" s="21">
        <v>12.7</v>
      </c>
      <c r="AE127" s="21"/>
      <c r="AG127" s="8" t="str">
        <v>Khris Middleton</v>
      </c>
      <c r="AH127" s="8" t="str">
        <v>MIL</v>
      </c>
    </row>
    <row r="128" spans="1:34" ht="17" x14ac:dyDescent="0.2">
      <c r="A128" s="1">
        <v>122</v>
      </c>
      <c r="B128" s="18" t="s">
        <v>262</v>
      </c>
      <c r="C128" s="17">
        <v>36</v>
      </c>
      <c r="D128" s="18" t="s">
        <v>50</v>
      </c>
      <c r="E128" s="17" t="s">
        <v>29</v>
      </c>
      <c r="F128" s="17">
        <v>35</v>
      </c>
      <c r="G128" s="17">
        <v>35</v>
      </c>
      <c r="H128" s="17">
        <v>31.9</v>
      </c>
      <c r="I128" s="17">
        <v>4.7</v>
      </c>
      <c r="J128" s="17">
        <v>9.6999999999999993</v>
      </c>
      <c r="K128" s="17">
        <v>0.48799999999999999</v>
      </c>
      <c r="L128" s="17">
        <v>2</v>
      </c>
      <c r="M128" s="17">
        <v>5.3</v>
      </c>
      <c r="N128" s="17">
        <v>0.373</v>
      </c>
      <c r="O128" s="17">
        <v>2.8</v>
      </c>
      <c r="P128" s="17">
        <v>4.4000000000000004</v>
      </c>
      <c r="Q128" s="17">
        <v>0.626</v>
      </c>
      <c r="R128" s="17">
        <v>0.59</v>
      </c>
      <c r="S128" s="17">
        <v>0.9</v>
      </c>
      <c r="T128" s="17">
        <v>1.3</v>
      </c>
      <c r="U128" s="17">
        <v>0.75</v>
      </c>
      <c r="V128" s="17">
        <v>1.2</v>
      </c>
      <c r="W128" s="17">
        <v>3.7</v>
      </c>
      <c r="X128" s="17">
        <v>4.9000000000000004</v>
      </c>
      <c r="Y128" s="17">
        <v>1.6</v>
      </c>
      <c r="Z128" s="17">
        <v>0.9</v>
      </c>
      <c r="AA128" s="17">
        <v>1.9</v>
      </c>
      <c r="AB128" s="17">
        <v>1.1000000000000001</v>
      </c>
      <c r="AC128" s="17">
        <v>2.1</v>
      </c>
      <c r="AD128" s="17">
        <v>12.4</v>
      </c>
      <c r="AE128" s="17"/>
      <c r="AG128" s="8" t="str">
        <v>Isaiah Hartenstein</v>
      </c>
      <c r="AH128" s="8" t="str">
        <v>OKC</v>
      </c>
    </row>
    <row r="129" spans="1:34" ht="17" x14ac:dyDescent="0.2">
      <c r="A129" s="1">
        <v>123</v>
      </c>
      <c r="B129" s="18" t="s">
        <v>389</v>
      </c>
      <c r="C129" s="17">
        <v>22</v>
      </c>
      <c r="D129" s="18" t="s">
        <v>98</v>
      </c>
      <c r="E129" s="17" t="s">
        <v>54</v>
      </c>
      <c r="F129" s="17">
        <v>35</v>
      </c>
      <c r="G129" s="17">
        <v>8</v>
      </c>
      <c r="H129" s="17">
        <v>28.8</v>
      </c>
      <c r="I129" s="17">
        <v>4.8</v>
      </c>
      <c r="J129" s="17">
        <v>8.5</v>
      </c>
      <c r="K129" s="17">
        <v>0.56200000000000006</v>
      </c>
      <c r="L129" s="17">
        <v>0.3</v>
      </c>
      <c r="M129" s="17">
        <v>1.3</v>
      </c>
      <c r="N129" s="17">
        <v>0.24399999999999999</v>
      </c>
      <c r="O129" s="17">
        <v>4.5</v>
      </c>
      <c r="P129" s="17">
        <v>7.3</v>
      </c>
      <c r="Q129" s="17">
        <v>0.61799999999999999</v>
      </c>
      <c r="R129" s="17">
        <v>0.57999999999999996</v>
      </c>
      <c r="S129" s="17">
        <v>2.5</v>
      </c>
      <c r="T129" s="17">
        <v>3.6</v>
      </c>
      <c r="U129" s="17">
        <v>0.70399999999999996</v>
      </c>
      <c r="V129" s="17">
        <v>2.5</v>
      </c>
      <c r="W129" s="17">
        <v>5</v>
      </c>
      <c r="X129" s="17">
        <v>7.6</v>
      </c>
      <c r="Y129" s="17">
        <v>2.4</v>
      </c>
      <c r="Z129" s="17">
        <v>1.1000000000000001</v>
      </c>
      <c r="AA129" s="17">
        <v>1</v>
      </c>
      <c r="AB129" s="17">
        <v>1.8</v>
      </c>
      <c r="AC129" s="17">
        <v>2.2999999999999998</v>
      </c>
      <c r="AD129" s="17">
        <v>12.4</v>
      </c>
      <c r="AE129" s="17"/>
      <c r="AG129" s="8" t="str">
        <v>Jrue Holiday</v>
      </c>
      <c r="AH129" s="8" t="str">
        <v>BOS</v>
      </c>
    </row>
    <row r="130" spans="1:34" ht="17" x14ac:dyDescent="0.2">
      <c r="A130" s="1">
        <v>124</v>
      </c>
      <c r="B130" s="18" t="s">
        <v>198</v>
      </c>
      <c r="C130" s="17">
        <v>32</v>
      </c>
      <c r="D130" s="18" t="s">
        <v>134</v>
      </c>
      <c r="E130" s="17" t="s">
        <v>35</v>
      </c>
      <c r="F130" s="17">
        <v>37</v>
      </c>
      <c r="G130" s="17">
        <v>8</v>
      </c>
      <c r="H130" s="17">
        <v>22.9</v>
      </c>
      <c r="I130" s="17">
        <v>4.4000000000000004</v>
      </c>
      <c r="J130" s="17">
        <v>10.4</v>
      </c>
      <c r="K130" s="17">
        <v>0.42699999999999999</v>
      </c>
      <c r="L130" s="17">
        <v>2.8</v>
      </c>
      <c r="M130" s="17">
        <v>7.2</v>
      </c>
      <c r="N130" s="17">
        <v>0.38700000000000001</v>
      </c>
      <c r="O130" s="17">
        <v>1.6</v>
      </c>
      <c r="P130" s="17">
        <v>3.2</v>
      </c>
      <c r="Q130" s="17">
        <v>0.51700000000000002</v>
      </c>
      <c r="R130" s="17">
        <v>0.56100000000000005</v>
      </c>
      <c r="S130" s="17">
        <v>0.7</v>
      </c>
      <c r="T130" s="17">
        <v>0.8</v>
      </c>
      <c r="U130" s="17">
        <v>0.89300000000000002</v>
      </c>
      <c r="V130" s="17">
        <v>0.6</v>
      </c>
      <c r="W130" s="17">
        <v>2.8</v>
      </c>
      <c r="X130" s="17">
        <v>3.4</v>
      </c>
      <c r="Y130" s="17">
        <v>1.5</v>
      </c>
      <c r="Z130" s="17">
        <v>0.8</v>
      </c>
      <c r="AA130" s="17">
        <v>0.2</v>
      </c>
      <c r="AB130" s="17">
        <v>1.2</v>
      </c>
      <c r="AC130" s="17">
        <v>1.9</v>
      </c>
      <c r="AD130" s="17">
        <v>12.3</v>
      </c>
      <c r="AE130" s="17"/>
      <c r="AG130" s="8" t="str">
        <v>Tyus Jones</v>
      </c>
      <c r="AH130" s="8" t="str">
        <v>PHO</v>
      </c>
    </row>
    <row r="131" spans="1:34" ht="17" x14ac:dyDescent="0.2">
      <c r="A131" s="1">
        <v>125</v>
      </c>
      <c r="B131" s="18" t="s">
        <v>612</v>
      </c>
      <c r="C131" s="17">
        <v>33</v>
      </c>
      <c r="D131" s="18" t="s">
        <v>50</v>
      </c>
      <c r="E131" s="17" t="s">
        <v>54</v>
      </c>
      <c r="F131" s="17">
        <v>13</v>
      </c>
      <c r="G131" s="17">
        <v>7</v>
      </c>
      <c r="H131" s="17">
        <v>23.5</v>
      </c>
      <c r="I131" s="17">
        <v>4.4000000000000004</v>
      </c>
      <c r="J131" s="17">
        <v>10</v>
      </c>
      <c r="K131" s="17">
        <v>0.438</v>
      </c>
      <c r="L131" s="17">
        <v>1.5</v>
      </c>
      <c r="M131" s="17">
        <v>4</v>
      </c>
      <c r="N131" s="17">
        <v>0.38500000000000001</v>
      </c>
      <c r="O131" s="17">
        <v>2.8</v>
      </c>
      <c r="P131" s="17">
        <v>6</v>
      </c>
      <c r="Q131" s="17">
        <v>0.47399999999999998</v>
      </c>
      <c r="R131" s="17">
        <v>0.51500000000000001</v>
      </c>
      <c r="S131" s="17">
        <v>2</v>
      </c>
      <c r="T131" s="17">
        <v>2.4</v>
      </c>
      <c r="U131" s="17">
        <v>0.83899999999999997</v>
      </c>
      <c r="V131" s="17">
        <v>0.3</v>
      </c>
      <c r="W131" s="17">
        <v>4.2</v>
      </c>
      <c r="X131" s="17">
        <v>4.5</v>
      </c>
      <c r="Y131" s="17">
        <v>4.8</v>
      </c>
      <c r="Z131" s="17">
        <v>0.8</v>
      </c>
      <c r="AA131" s="17">
        <v>0.2</v>
      </c>
      <c r="AB131" s="17">
        <v>2.1</v>
      </c>
      <c r="AC131" s="17">
        <v>2.5</v>
      </c>
      <c r="AD131" s="17">
        <v>12.3</v>
      </c>
      <c r="AE131" s="17"/>
      <c r="AG131" s="8" t="str">
        <v>Mark Williams</v>
      </c>
      <c r="AH131" s="8" t="str">
        <v>CHO</v>
      </c>
    </row>
    <row r="132" spans="1:34" ht="17" x14ac:dyDescent="0.2">
      <c r="A132" s="1">
        <v>126</v>
      </c>
      <c r="B132" s="18" t="s">
        <v>613</v>
      </c>
      <c r="C132" s="17">
        <v>26</v>
      </c>
      <c r="D132" s="18" t="s">
        <v>81</v>
      </c>
      <c r="E132" s="17" t="s">
        <v>29</v>
      </c>
      <c r="F132" s="17">
        <v>21</v>
      </c>
      <c r="G132" s="17">
        <v>20</v>
      </c>
      <c r="H132" s="17">
        <v>30.1</v>
      </c>
      <c r="I132" s="17">
        <v>5.2</v>
      </c>
      <c r="J132" s="17">
        <v>9.1999999999999993</v>
      </c>
      <c r="K132" s="17">
        <v>0.56699999999999995</v>
      </c>
      <c r="L132" s="17">
        <v>0</v>
      </c>
      <c r="M132" s="17">
        <v>0.5</v>
      </c>
      <c r="N132" s="17">
        <v>0</v>
      </c>
      <c r="O132" s="17">
        <v>5.2</v>
      </c>
      <c r="P132" s="17">
        <v>8.8000000000000007</v>
      </c>
      <c r="Q132" s="17">
        <v>0.59799999999999998</v>
      </c>
      <c r="R132" s="17">
        <v>0.56699999999999995</v>
      </c>
      <c r="S132" s="17">
        <v>1.8</v>
      </c>
      <c r="T132" s="17">
        <v>2.7</v>
      </c>
      <c r="U132" s="17">
        <v>0.66100000000000003</v>
      </c>
      <c r="V132" s="17">
        <v>2.8</v>
      </c>
      <c r="W132" s="17">
        <v>9.4</v>
      </c>
      <c r="X132" s="17">
        <v>12.1</v>
      </c>
      <c r="Y132" s="17">
        <v>4.2</v>
      </c>
      <c r="Z132" s="17">
        <v>0.9</v>
      </c>
      <c r="AA132" s="17">
        <v>1.3</v>
      </c>
      <c r="AB132" s="17">
        <v>1.9</v>
      </c>
      <c r="AC132" s="17">
        <v>3</v>
      </c>
      <c r="AD132" s="17">
        <v>12.2</v>
      </c>
      <c r="AE132" s="17"/>
      <c r="AG132" s="8" t="str">
        <v>Julian Champagnie</v>
      </c>
      <c r="AH132" s="8" t="str">
        <v>SAS</v>
      </c>
    </row>
    <row r="133" spans="1:34" ht="17" x14ac:dyDescent="0.2">
      <c r="A133" s="1">
        <v>127</v>
      </c>
      <c r="B133" s="18" t="s">
        <v>201</v>
      </c>
      <c r="C133" s="17">
        <v>34</v>
      </c>
      <c r="D133" s="18" t="s">
        <v>68</v>
      </c>
      <c r="E133" s="17" t="s">
        <v>46</v>
      </c>
      <c r="F133" s="17">
        <v>31</v>
      </c>
      <c r="G133" s="17">
        <v>31</v>
      </c>
      <c r="H133" s="17">
        <v>30.8</v>
      </c>
      <c r="I133" s="17">
        <v>4.4000000000000004</v>
      </c>
      <c r="J133" s="17">
        <v>9.8000000000000007</v>
      </c>
      <c r="K133" s="17">
        <v>0.45200000000000001</v>
      </c>
      <c r="L133" s="17">
        <v>1.9</v>
      </c>
      <c r="M133" s="17">
        <v>5.5</v>
      </c>
      <c r="N133" s="17">
        <v>0.34300000000000003</v>
      </c>
      <c r="O133" s="17">
        <v>2.5</v>
      </c>
      <c r="P133" s="17">
        <v>4.3</v>
      </c>
      <c r="Q133" s="17">
        <v>0.59</v>
      </c>
      <c r="R133" s="17">
        <v>0.54800000000000004</v>
      </c>
      <c r="S133" s="17">
        <v>1.5</v>
      </c>
      <c r="T133" s="17">
        <v>1.6</v>
      </c>
      <c r="U133" s="17">
        <v>0.90200000000000002</v>
      </c>
      <c r="V133" s="17">
        <v>1.1000000000000001</v>
      </c>
      <c r="W133" s="17">
        <v>3.1</v>
      </c>
      <c r="X133" s="17">
        <v>4.2</v>
      </c>
      <c r="Y133" s="17">
        <v>4</v>
      </c>
      <c r="Z133" s="17">
        <v>1</v>
      </c>
      <c r="AA133" s="17">
        <v>0.4</v>
      </c>
      <c r="AB133" s="17">
        <v>1.4</v>
      </c>
      <c r="AC133" s="17">
        <v>1.5</v>
      </c>
      <c r="AD133" s="17">
        <v>12.2</v>
      </c>
      <c r="AE133" s="17"/>
      <c r="AG133" s="8" t="str">
        <v>Terry Rozier</v>
      </c>
      <c r="AH133" s="8" t="str">
        <v>MIA</v>
      </c>
    </row>
    <row r="134" spans="1:34" ht="17" x14ac:dyDescent="0.2">
      <c r="A134" s="1">
        <v>128</v>
      </c>
      <c r="B134" s="18" t="s">
        <v>238</v>
      </c>
      <c r="C134" s="17">
        <v>28</v>
      </c>
      <c r="D134" s="18" t="s">
        <v>42</v>
      </c>
      <c r="E134" s="17" t="s">
        <v>46</v>
      </c>
      <c r="F134" s="17">
        <v>35</v>
      </c>
      <c r="G134" s="17">
        <v>35</v>
      </c>
      <c r="H134" s="17">
        <v>30.7</v>
      </c>
      <c r="I134" s="17">
        <v>4.7</v>
      </c>
      <c r="J134" s="17">
        <v>9.6</v>
      </c>
      <c r="K134" s="17">
        <v>0.48499999999999999</v>
      </c>
      <c r="L134" s="17">
        <v>2.2000000000000002</v>
      </c>
      <c r="M134" s="17">
        <v>5.2</v>
      </c>
      <c r="N134" s="17">
        <v>0.42899999999999999</v>
      </c>
      <c r="O134" s="17">
        <v>2.4</v>
      </c>
      <c r="P134" s="17">
        <v>4.4000000000000004</v>
      </c>
      <c r="Q134" s="17">
        <v>0.55200000000000005</v>
      </c>
      <c r="R134" s="17">
        <v>0.60099999999999998</v>
      </c>
      <c r="S134" s="17">
        <v>0.7</v>
      </c>
      <c r="T134" s="17">
        <v>0.8</v>
      </c>
      <c r="U134" s="17">
        <v>0.85699999999999998</v>
      </c>
      <c r="V134" s="17">
        <v>0.6</v>
      </c>
      <c r="W134" s="17">
        <v>2</v>
      </c>
      <c r="X134" s="17">
        <v>2.6</v>
      </c>
      <c r="Y134" s="17">
        <v>6</v>
      </c>
      <c r="Z134" s="17">
        <v>1</v>
      </c>
      <c r="AA134" s="17">
        <v>0.1</v>
      </c>
      <c r="AB134" s="17">
        <v>1.3</v>
      </c>
      <c r="AC134" s="17">
        <v>1.1000000000000001</v>
      </c>
      <c r="AD134" s="17">
        <v>12.2</v>
      </c>
      <c r="AE134" s="17"/>
      <c r="AG134" s="8" t="str">
        <v>Josh Giddey</v>
      </c>
      <c r="AH134" s="8" t="str">
        <v>CHI</v>
      </c>
    </row>
    <row r="135" spans="1:34" ht="17" x14ac:dyDescent="0.2">
      <c r="A135" s="1">
        <v>129</v>
      </c>
      <c r="B135" s="18" t="s">
        <v>614</v>
      </c>
      <c r="C135" s="17">
        <v>23</v>
      </c>
      <c r="D135" s="18" t="s">
        <v>61</v>
      </c>
      <c r="E135" s="17" t="s">
        <v>29</v>
      </c>
      <c r="F135" s="17">
        <v>13</v>
      </c>
      <c r="G135" s="17">
        <v>10</v>
      </c>
      <c r="H135" s="17">
        <v>20.100000000000001</v>
      </c>
      <c r="I135" s="17">
        <v>4.8</v>
      </c>
      <c r="J135" s="17">
        <v>7.8</v>
      </c>
      <c r="K135" s="17">
        <v>0.61799999999999999</v>
      </c>
      <c r="L135" s="17">
        <v>0</v>
      </c>
      <c r="M135" s="17">
        <v>0.1</v>
      </c>
      <c r="N135" s="17">
        <v>0</v>
      </c>
      <c r="O135" s="17">
        <v>4.8</v>
      </c>
      <c r="P135" s="17">
        <v>7.8</v>
      </c>
      <c r="Q135" s="17">
        <v>0.624</v>
      </c>
      <c r="R135" s="17">
        <v>0.61799999999999999</v>
      </c>
      <c r="S135" s="17">
        <v>2.5</v>
      </c>
      <c r="T135" s="17">
        <v>3</v>
      </c>
      <c r="U135" s="17">
        <v>0.82099999999999995</v>
      </c>
      <c r="V135" s="17">
        <v>2.4</v>
      </c>
      <c r="W135" s="17">
        <v>5.3</v>
      </c>
      <c r="X135" s="17">
        <v>7.7</v>
      </c>
      <c r="Y135" s="17">
        <v>2</v>
      </c>
      <c r="Z135" s="17">
        <v>0.5</v>
      </c>
      <c r="AA135" s="17">
        <v>0.9</v>
      </c>
      <c r="AB135" s="17">
        <v>1.1000000000000001</v>
      </c>
      <c r="AC135" s="17">
        <v>2.2000000000000002</v>
      </c>
      <c r="AD135" s="17">
        <v>12.2</v>
      </c>
      <c r="AE135" s="17"/>
      <c r="AG135" s="8" t="str">
        <v>Rui Hachimura</v>
      </c>
      <c r="AH135" s="8" t="str">
        <v>LAL</v>
      </c>
    </row>
    <row r="136" spans="1:34" ht="17" x14ac:dyDescent="0.2">
      <c r="A136" s="1">
        <v>130</v>
      </c>
      <c r="B136" s="18" t="s">
        <v>117</v>
      </c>
      <c r="C136" s="17">
        <v>23</v>
      </c>
      <c r="D136" s="18" t="s">
        <v>70</v>
      </c>
      <c r="E136" s="17" t="s">
        <v>54</v>
      </c>
      <c r="F136" s="17">
        <v>37</v>
      </c>
      <c r="G136" s="17">
        <v>26</v>
      </c>
      <c r="H136" s="17">
        <v>27.4</v>
      </c>
      <c r="I136" s="17">
        <v>4.0999999999999996</v>
      </c>
      <c r="J136" s="17">
        <v>9.6</v>
      </c>
      <c r="K136" s="17">
        <v>0.42799999999999999</v>
      </c>
      <c r="L136" s="17">
        <v>2.6</v>
      </c>
      <c r="M136" s="17">
        <v>7</v>
      </c>
      <c r="N136" s="17">
        <v>0.377</v>
      </c>
      <c r="O136" s="17">
        <v>1.5</v>
      </c>
      <c r="P136" s="17">
        <v>2.6</v>
      </c>
      <c r="Q136" s="17">
        <v>0.56799999999999995</v>
      </c>
      <c r="R136" s="17">
        <v>0.56599999999999995</v>
      </c>
      <c r="S136" s="17">
        <v>1.1000000000000001</v>
      </c>
      <c r="T136" s="17">
        <v>1.3</v>
      </c>
      <c r="U136" s="17">
        <v>0.89400000000000002</v>
      </c>
      <c r="V136" s="17">
        <v>0.8</v>
      </c>
      <c r="W136" s="17">
        <v>3.8</v>
      </c>
      <c r="X136" s="17">
        <v>4.5999999999999996</v>
      </c>
      <c r="Y136" s="17">
        <v>1.3</v>
      </c>
      <c r="Z136" s="17">
        <v>0.8</v>
      </c>
      <c r="AA136" s="17">
        <v>0.5</v>
      </c>
      <c r="AB136" s="17">
        <v>1.1000000000000001</v>
      </c>
      <c r="AC136" s="17">
        <v>1.5</v>
      </c>
      <c r="AD136" s="17">
        <v>12</v>
      </c>
      <c r="AE136" s="17"/>
      <c r="AG136" s="8" t="str">
        <v>Corey Kispert</v>
      </c>
      <c r="AH136" s="8" t="str">
        <v>WAS</v>
      </c>
    </row>
    <row r="137" spans="1:34" ht="17" x14ac:dyDescent="0.2">
      <c r="A137" s="1">
        <v>131</v>
      </c>
      <c r="B137" s="18" t="s">
        <v>355</v>
      </c>
      <c r="C137" s="17">
        <v>30</v>
      </c>
      <c r="D137" s="18" t="s">
        <v>33</v>
      </c>
      <c r="E137" s="17" t="s">
        <v>46</v>
      </c>
      <c r="F137" s="17">
        <v>32</v>
      </c>
      <c r="G137" s="17">
        <v>17</v>
      </c>
      <c r="H137" s="17">
        <v>29</v>
      </c>
      <c r="I137" s="17">
        <v>4.4000000000000004</v>
      </c>
      <c r="J137" s="17">
        <v>11</v>
      </c>
      <c r="K137" s="17">
        <v>0.39700000000000002</v>
      </c>
      <c r="L137" s="17">
        <v>1.6</v>
      </c>
      <c r="M137" s="17">
        <v>5.3</v>
      </c>
      <c r="N137" s="17">
        <v>0.29199999999999998</v>
      </c>
      <c r="O137" s="17">
        <v>2.8</v>
      </c>
      <c r="P137" s="17">
        <v>5.7</v>
      </c>
      <c r="Q137" s="17">
        <v>0.495</v>
      </c>
      <c r="R137" s="17">
        <v>0.46700000000000003</v>
      </c>
      <c r="S137" s="17">
        <v>1.7</v>
      </c>
      <c r="T137" s="17">
        <v>1.9</v>
      </c>
      <c r="U137" s="17">
        <v>0.90200000000000002</v>
      </c>
      <c r="V137" s="17">
        <v>0.7</v>
      </c>
      <c r="W137" s="17">
        <v>3.3</v>
      </c>
      <c r="X137" s="17">
        <v>4.0999999999999996</v>
      </c>
      <c r="Y137" s="17">
        <v>2.8</v>
      </c>
      <c r="Z137" s="17">
        <v>0.6</v>
      </c>
      <c r="AA137" s="17">
        <v>0.4</v>
      </c>
      <c r="AB137" s="17">
        <v>1.5</v>
      </c>
      <c r="AC137" s="17">
        <v>1.5</v>
      </c>
      <c r="AD137" s="17">
        <v>12</v>
      </c>
      <c r="AE137" s="17"/>
      <c r="AG137" s="8" t="str">
        <v>Jabari Smith Jr.</v>
      </c>
      <c r="AH137" s="8" t="str">
        <v>HOU</v>
      </c>
    </row>
    <row r="138" spans="1:34" ht="17" x14ac:dyDescent="0.2">
      <c r="A138" s="1">
        <v>132</v>
      </c>
      <c r="B138" s="18" t="s">
        <v>169</v>
      </c>
      <c r="C138" s="17">
        <v>22</v>
      </c>
      <c r="D138" s="18" t="s">
        <v>84</v>
      </c>
      <c r="E138" s="17" t="s">
        <v>46</v>
      </c>
      <c r="F138" s="17">
        <v>33</v>
      </c>
      <c r="G138" s="17">
        <v>33</v>
      </c>
      <c r="H138" s="17">
        <v>27.3</v>
      </c>
      <c r="I138" s="17">
        <v>4.5</v>
      </c>
      <c r="J138" s="17">
        <v>10.199999999999999</v>
      </c>
      <c r="K138" s="17">
        <v>0.44400000000000001</v>
      </c>
      <c r="L138" s="17">
        <v>1.2</v>
      </c>
      <c r="M138" s="17">
        <v>3.8</v>
      </c>
      <c r="N138" s="17">
        <v>0.32300000000000001</v>
      </c>
      <c r="O138" s="17">
        <v>3.3</v>
      </c>
      <c r="P138" s="17">
        <v>6.5</v>
      </c>
      <c r="Q138" s="17">
        <v>0.51400000000000001</v>
      </c>
      <c r="R138" s="17">
        <v>0.503</v>
      </c>
      <c r="S138" s="17">
        <v>1.6</v>
      </c>
      <c r="T138" s="17">
        <v>2.2000000000000002</v>
      </c>
      <c r="U138" s="17">
        <v>0.73599999999999999</v>
      </c>
      <c r="V138" s="17">
        <v>1.4</v>
      </c>
      <c r="W138" s="17">
        <v>5.5</v>
      </c>
      <c r="X138" s="17">
        <v>6.9</v>
      </c>
      <c r="Y138" s="17">
        <v>6.7</v>
      </c>
      <c r="Z138" s="17">
        <v>1</v>
      </c>
      <c r="AA138" s="17">
        <v>0.5</v>
      </c>
      <c r="AB138" s="17">
        <v>2.8</v>
      </c>
      <c r="AC138" s="17">
        <v>1.4</v>
      </c>
      <c r="AD138" s="17">
        <v>11.9</v>
      </c>
      <c r="AE138" s="17"/>
      <c r="AG138" s="8" t="str">
        <v>Jonas Valančiūnas</v>
      </c>
      <c r="AH138" s="8" t="str">
        <v>WAS</v>
      </c>
    </row>
    <row r="139" spans="1:34" ht="17" x14ac:dyDescent="0.2">
      <c r="A139" s="1">
        <v>133</v>
      </c>
      <c r="B139" s="18" t="s">
        <v>184</v>
      </c>
      <c r="C139" s="17">
        <v>26</v>
      </c>
      <c r="D139" s="18" t="s">
        <v>116</v>
      </c>
      <c r="E139" s="17" t="s">
        <v>27</v>
      </c>
      <c r="F139" s="17">
        <v>31</v>
      </c>
      <c r="G139" s="17">
        <v>31</v>
      </c>
      <c r="H139" s="17">
        <v>32.299999999999997</v>
      </c>
      <c r="I139" s="17">
        <v>4.5</v>
      </c>
      <c r="J139" s="17">
        <v>9.1999999999999993</v>
      </c>
      <c r="K139" s="17">
        <v>0.48399999999999999</v>
      </c>
      <c r="L139" s="17">
        <v>1.5</v>
      </c>
      <c r="M139" s="17">
        <v>3.6</v>
      </c>
      <c r="N139" s="17">
        <v>0.41399999999999998</v>
      </c>
      <c r="O139" s="17">
        <v>3</v>
      </c>
      <c r="P139" s="17">
        <v>5.6</v>
      </c>
      <c r="Q139" s="17">
        <v>0.52900000000000003</v>
      </c>
      <c r="R139" s="17">
        <v>0.56499999999999995</v>
      </c>
      <c r="S139" s="17">
        <v>1.5</v>
      </c>
      <c r="T139" s="17">
        <v>2</v>
      </c>
      <c r="U139" s="17">
        <v>0.78700000000000003</v>
      </c>
      <c r="V139" s="17">
        <v>1.7</v>
      </c>
      <c r="W139" s="17">
        <v>3.5</v>
      </c>
      <c r="X139" s="17">
        <v>5.0999999999999996</v>
      </c>
      <c r="Y139" s="17">
        <v>1.5</v>
      </c>
      <c r="Z139" s="17">
        <v>0.9</v>
      </c>
      <c r="AA139" s="17">
        <v>0.6</v>
      </c>
      <c r="AB139" s="17">
        <v>1</v>
      </c>
      <c r="AC139" s="17">
        <v>2</v>
      </c>
      <c r="AD139" s="17">
        <v>11.9</v>
      </c>
      <c r="AE139" s="17"/>
      <c r="AG139" s="8" t="str">
        <v>Keegan Murray</v>
      </c>
      <c r="AH139" s="8" t="str">
        <v>SAC</v>
      </c>
    </row>
    <row r="140" spans="1:34" ht="17" x14ac:dyDescent="0.2">
      <c r="A140" s="1">
        <v>134</v>
      </c>
      <c r="B140" s="18" t="s">
        <v>245</v>
      </c>
      <c r="C140" s="17">
        <v>25</v>
      </c>
      <c r="D140" s="18" t="s">
        <v>56</v>
      </c>
      <c r="E140" s="17" t="s">
        <v>54</v>
      </c>
      <c r="F140" s="17">
        <v>30</v>
      </c>
      <c r="G140" s="17">
        <v>0</v>
      </c>
      <c r="H140" s="17">
        <v>27.2</v>
      </c>
      <c r="I140" s="17">
        <v>4.3</v>
      </c>
      <c r="J140" s="17">
        <v>9.6</v>
      </c>
      <c r="K140" s="17">
        <v>0.44400000000000001</v>
      </c>
      <c r="L140" s="17">
        <v>2.1</v>
      </c>
      <c r="M140" s="17">
        <v>5.9</v>
      </c>
      <c r="N140" s="17">
        <v>0.35599999999999998</v>
      </c>
      <c r="O140" s="17">
        <v>2.2000000000000002</v>
      </c>
      <c r="P140" s="17">
        <v>3.7</v>
      </c>
      <c r="Q140" s="17">
        <v>0.58599999999999997</v>
      </c>
      <c r="R140" s="17">
        <v>0.55400000000000005</v>
      </c>
      <c r="S140" s="17">
        <v>1.2</v>
      </c>
      <c r="T140" s="17">
        <v>1.4</v>
      </c>
      <c r="U140" s="17">
        <v>0.86</v>
      </c>
      <c r="V140" s="17">
        <v>0.5</v>
      </c>
      <c r="W140" s="17">
        <v>2.7</v>
      </c>
      <c r="X140" s="17">
        <v>3.2</v>
      </c>
      <c r="Y140" s="17">
        <v>1.7</v>
      </c>
      <c r="Z140" s="17">
        <v>0.5</v>
      </c>
      <c r="AA140" s="17">
        <v>0.2</v>
      </c>
      <c r="AB140" s="17">
        <v>1.1000000000000001</v>
      </c>
      <c r="AC140" s="17">
        <v>1.7</v>
      </c>
      <c r="AD140" s="17">
        <v>11.9</v>
      </c>
      <c r="AE140" s="17"/>
      <c r="AG140" s="8" t="str">
        <v>Alex Sarr</v>
      </c>
      <c r="AH140" s="8" t="str">
        <v>WAS</v>
      </c>
    </row>
    <row r="141" spans="1:34" ht="17" x14ac:dyDescent="0.2">
      <c r="A141" s="1">
        <v>135</v>
      </c>
      <c r="B141" s="18" t="s">
        <v>375</v>
      </c>
      <c r="C141" s="17">
        <v>21</v>
      </c>
      <c r="D141" s="18" t="s">
        <v>98</v>
      </c>
      <c r="E141" s="17" t="s">
        <v>27</v>
      </c>
      <c r="F141" s="17">
        <v>33</v>
      </c>
      <c r="G141" s="17">
        <v>33</v>
      </c>
      <c r="H141" s="17">
        <v>30.9</v>
      </c>
      <c r="I141" s="17">
        <v>4.0999999999999996</v>
      </c>
      <c r="J141" s="17">
        <v>9.5</v>
      </c>
      <c r="K141" s="17">
        <v>0.435</v>
      </c>
      <c r="L141" s="17">
        <v>1.7</v>
      </c>
      <c r="M141" s="17">
        <v>4.8</v>
      </c>
      <c r="N141" s="17">
        <v>0.35399999999999998</v>
      </c>
      <c r="O141" s="17">
        <v>2.4</v>
      </c>
      <c r="P141" s="17">
        <v>4.7</v>
      </c>
      <c r="Q141" s="17">
        <v>0.51600000000000001</v>
      </c>
      <c r="R141" s="17">
        <v>0.52400000000000002</v>
      </c>
      <c r="S141" s="17">
        <v>2</v>
      </c>
      <c r="T141" s="17">
        <v>2.2999999999999998</v>
      </c>
      <c r="U141" s="17">
        <v>0.86699999999999999</v>
      </c>
      <c r="V141" s="17">
        <v>1.8</v>
      </c>
      <c r="W141" s="17">
        <v>4.7</v>
      </c>
      <c r="X141" s="17">
        <v>6.5</v>
      </c>
      <c r="Y141" s="17">
        <v>1</v>
      </c>
      <c r="Z141" s="17">
        <v>0.4</v>
      </c>
      <c r="AA141" s="17">
        <v>1</v>
      </c>
      <c r="AB141" s="17">
        <v>0.9</v>
      </c>
      <c r="AC141" s="17">
        <v>2.2999999999999998</v>
      </c>
      <c r="AD141" s="17">
        <v>11.9</v>
      </c>
      <c r="AE141" s="17"/>
      <c r="AG141" s="8" t="str">
        <v>Jaylen Wells</v>
      </c>
      <c r="AH141" s="8" t="str">
        <v>MEM</v>
      </c>
    </row>
    <row r="142" spans="1:34" ht="17" x14ac:dyDescent="0.2">
      <c r="A142" s="1">
        <v>136</v>
      </c>
      <c r="B142" s="18" t="s">
        <v>400</v>
      </c>
      <c r="C142" s="17">
        <v>32</v>
      </c>
      <c r="D142" s="18" t="s">
        <v>56</v>
      </c>
      <c r="E142" s="17" t="s">
        <v>29</v>
      </c>
      <c r="F142" s="17">
        <v>35</v>
      </c>
      <c r="G142" s="17">
        <v>8</v>
      </c>
      <c r="H142" s="17">
        <v>20.100000000000001</v>
      </c>
      <c r="I142" s="17">
        <v>4.9000000000000004</v>
      </c>
      <c r="J142" s="17">
        <v>8.9</v>
      </c>
      <c r="K142" s="17">
        <v>0.55300000000000005</v>
      </c>
      <c r="L142" s="17">
        <v>0.1</v>
      </c>
      <c r="M142" s="17">
        <v>0.6</v>
      </c>
      <c r="N142" s="17">
        <v>0.2</v>
      </c>
      <c r="O142" s="17">
        <v>4.8</v>
      </c>
      <c r="P142" s="17">
        <v>8.3000000000000007</v>
      </c>
      <c r="Q142" s="17">
        <v>0.57699999999999996</v>
      </c>
      <c r="R142" s="17">
        <v>0.55900000000000005</v>
      </c>
      <c r="S142" s="17">
        <v>2</v>
      </c>
      <c r="T142" s="17">
        <v>2.2000000000000002</v>
      </c>
      <c r="U142" s="17">
        <v>0.90800000000000003</v>
      </c>
      <c r="V142" s="17">
        <v>2.4</v>
      </c>
      <c r="W142" s="17">
        <v>5.7</v>
      </c>
      <c r="X142" s="17">
        <v>8.1</v>
      </c>
      <c r="Y142" s="17">
        <v>2.2999999999999998</v>
      </c>
      <c r="Z142" s="17">
        <v>0.5</v>
      </c>
      <c r="AA142" s="17">
        <v>0.7</v>
      </c>
      <c r="AB142" s="17">
        <v>2</v>
      </c>
      <c r="AC142" s="17">
        <v>1.8</v>
      </c>
      <c r="AD142" s="17">
        <v>11.9</v>
      </c>
      <c r="AE142" s="17"/>
      <c r="AG142" s="8" t="str">
        <v>Caris LeVert</v>
      </c>
      <c r="AH142" s="8" t="str">
        <v>CLE</v>
      </c>
    </row>
    <row r="143" spans="1:34" ht="17" x14ac:dyDescent="0.2">
      <c r="A143" s="1">
        <v>137</v>
      </c>
      <c r="B143" s="18" t="s">
        <v>304</v>
      </c>
      <c r="C143" s="17">
        <v>24</v>
      </c>
      <c r="D143" s="18" t="s">
        <v>72</v>
      </c>
      <c r="E143" s="17" t="s">
        <v>27</v>
      </c>
      <c r="F143" s="17">
        <v>34</v>
      </c>
      <c r="G143" s="17">
        <v>34</v>
      </c>
      <c r="H143" s="17">
        <v>35.5</v>
      </c>
      <c r="I143" s="17">
        <v>4.5</v>
      </c>
      <c r="J143" s="17">
        <v>10.9</v>
      </c>
      <c r="K143" s="17">
        <v>0.41399999999999998</v>
      </c>
      <c r="L143" s="17">
        <v>1.7</v>
      </c>
      <c r="M143" s="17">
        <v>5.6</v>
      </c>
      <c r="N143" s="17">
        <v>0.30199999999999999</v>
      </c>
      <c r="O143" s="17">
        <v>2.8</v>
      </c>
      <c r="P143" s="17">
        <v>5.3</v>
      </c>
      <c r="Q143" s="17">
        <v>0.53</v>
      </c>
      <c r="R143" s="17">
        <v>0.49099999999999999</v>
      </c>
      <c r="S143" s="17">
        <v>1</v>
      </c>
      <c r="T143" s="17">
        <v>1.1000000000000001</v>
      </c>
      <c r="U143" s="17">
        <v>0.872</v>
      </c>
      <c r="V143" s="17">
        <v>2.2000000000000002</v>
      </c>
      <c r="W143" s="17">
        <v>5.2</v>
      </c>
      <c r="X143" s="17">
        <v>7.4</v>
      </c>
      <c r="Y143" s="17">
        <v>1.4</v>
      </c>
      <c r="Z143" s="17">
        <v>0.7</v>
      </c>
      <c r="AA143" s="17">
        <v>0.8</v>
      </c>
      <c r="AB143" s="17">
        <v>0.9</v>
      </c>
      <c r="AC143" s="17">
        <v>2.9</v>
      </c>
      <c r="AD143" s="17">
        <v>11.7</v>
      </c>
      <c r="AE143" s="17"/>
      <c r="AG143" s="8" t="str">
        <v>Daniel Gafford</v>
      </c>
      <c r="AH143" s="8" t="str">
        <v>DAL</v>
      </c>
    </row>
    <row r="144" spans="1:34" ht="17" x14ac:dyDescent="0.2">
      <c r="A144" s="1">
        <v>138</v>
      </c>
      <c r="B144" s="18" t="s">
        <v>537</v>
      </c>
      <c r="C144" s="17">
        <v>19</v>
      </c>
      <c r="D144" s="18" t="s">
        <v>56</v>
      </c>
      <c r="E144" s="17" t="s">
        <v>29</v>
      </c>
      <c r="F144" s="17">
        <v>31</v>
      </c>
      <c r="G144" s="17">
        <v>31</v>
      </c>
      <c r="H144" s="17">
        <v>27.1</v>
      </c>
      <c r="I144" s="17">
        <v>4.4000000000000004</v>
      </c>
      <c r="J144" s="17">
        <v>10.8</v>
      </c>
      <c r="K144" s="17">
        <v>0.40799999999999997</v>
      </c>
      <c r="L144" s="17">
        <v>1.4</v>
      </c>
      <c r="M144" s="17">
        <v>4.5</v>
      </c>
      <c r="N144" s="17">
        <v>0.312</v>
      </c>
      <c r="O144" s="17">
        <v>3</v>
      </c>
      <c r="P144" s="17">
        <v>6.3</v>
      </c>
      <c r="Q144" s="17">
        <v>0.47699999999999998</v>
      </c>
      <c r="R144" s="17">
        <v>0.47299999999999998</v>
      </c>
      <c r="S144" s="17">
        <v>1.5</v>
      </c>
      <c r="T144" s="17">
        <v>2.2999999999999998</v>
      </c>
      <c r="U144" s="17">
        <v>0.64800000000000002</v>
      </c>
      <c r="V144" s="17">
        <v>1.9</v>
      </c>
      <c r="W144" s="17">
        <v>4.5999999999999996</v>
      </c>
      <c r="X144" s="17">
        <v>6.5</v>
      </c>
      <c r="Y144" s="17">
        <v>2.2999999999999998</v>
      </c>
      <c r="Z144" s="17">
        <v>0.6</v>
      </c>
      <c r="AA144" s="17">
        <v>1.6</v>
      </c>
      <c r="AB144" s="17">
        <v>1.6</v>
      </c>
      <c r="AC144" s="17">
        <v>2.7</v>
      </c>
      <c r="AD144" s="17">
        <v>11.7</v>
      </c>
      <c r="AE144" s="17"/>
      <c r="AG144" s="8" t="str">
        <v>Tari Eason</v>
      </c>
      <c r="AH144" s="8" t="str">
        <v>HOU</v>
      </c>
    </row>
    <row r="145" spans="1:34" ht="17" x14ac:dyDescent="0.2">
      <c r="A145" s="1">
        <v>139</v>
      </c>
      <c r="B145" s="18" t="s">
        <v>536</v>
      </c>
      <c r="C145" s="17">
        <v>21</v>
      </c>
      <c r="D145" s="18" t="s">
        <v>38</v>
      </c>
      <c r="E145" s="17" t="s">
        <v>35</v>
      </c>
      <c r="F145" s="19">
        <v>38</v>
      </c>
      <c r="G145" s="17">
        <v>33</v>
      </c>
      <c r="H145" s="17">
        <v>25.8</v>
      </c>
      <c r="I145" s="17">
        <v>4.0999999999999996</v>
      </c>
      <c r="J145" s="17">
        <v>9.4</v>
      </c>
      <c r="K145" s="17">
        <v>0.439</v>
      </c>
      <c r="L145" s="17">
        <v>1.8</v>
      </c>
      <c r="M145" s="17">
        <v>4.9000000000000004</v>
      </c>
      <c r="N145" s="17">
        <v>0.372</v>
      </c>
      <c r="O145" s="17">
        <v>2.2999999999999998</v>
      </c>
      <c r="P145" s="17">
        <v>4.5</v>
      </c>
      <c r="Q145" s="17">
        <v>0.51200000000000001</v>
      </c>
      <c r="R145" s="17">
        <v>0.53600000000000003</v>
      </c>
      <c r="S145" s="17">
        <v>1.5</v>
      </c>
      <c r="T145" s="17">
        <v>1.8</v>
      </c>
      <c r="U145" s="17">
        <v>0.82899999999999996</v>
      </c>
      <c r="V145" s="17">
        <v>1.1000000000000001</v>
      </c>
      <c r="W145" s="17">
        <v>2.4</v>
      </c>
      <c r="X145" s="17">
        <v>3.5</v>
      </c>
      <c r="Y145" s="17">
        <v>1.7</v>
      </c>
      <c r="Z145" s="17">
        <v>0.5</v>
      </c>
      <c r="AA145" s="17">
        <v>0.1</v>
      </c>
      <c r="AB145" s="17">
        <v>1.2</v>
      </c>
      <c r="AC145" s="17">
        <v>1.8</v>
      </c>
      <c r="AD145" s="17">
        <v>11.6</v>
      </c>
      <c r="AE145" s="17"/>
      <c r="AG145" s="8" t="str">
        <v>Bogdan Bogdanović</v>
      </c>
      <c r="AH145" s="8" t="str">
        <v>ATL</v>
      </c>
    </row>
    <row r="146" spans="1:34" ht="17" x14ac:dyDescent="0.2">
      <c r="A146" s="1">
        <v>140</v>
      </c>
      <c r="B146" s="18" t="s">
        <v>255</v>
      </c>
      <c r="C146" s="17">
        <v>30</v>
      </c>
      <c r="D146" s="18" t="s">
        <v>44</v>
      </c>
      <c r="E146" s="17" t="s">
        <v>54</v>
      </c>
      <c r="F146" s="17">
        <v>31</v>
      </c>
      <c r="G146" s="17">
        <v>1</v>
      </c>
      <c r="H146" s="17">
        <v>24.2</v>
      </c>
      <c r="I146" s="17">
        <v>4.0999999999999996</v>
      </c>
      <c r="J146" s="17">
        <v>8.3000000000000007</v>
      </c>
      <c r="K146" s="17">
        <v>0.49</v>
      </c>
      <c r="L146" s="17">
        <v>1.8</v>
      </c>
      <c r="M146" s="17">
        <v>4.0999999999999996</v>
      </c>
      <c r="N146" s="17">
        <v>0.44500000000000001</v>
      </c>
      <c r="O146" s="17">
        <v>2.2000000000000002</v>
      </c>
      <c r="P146" s="17">
        <v>4.2</v>
      </c>
      <c r="Q146" s="17">
        <v>0.53500000000000003</v>
      </c>
      <c r="R146" s="17">
        <v>0.60099999999999998</v>
      </c>
      <c r="S146" s="17">
        <v>1.6</v>
      </c>
      <c r="T146" s="17">
        <v>2.2999999999999998</v>
      </c>
      <c r="U146" s="17">
        <v>0.68100000000000005</v>
      </c>
      <c r="V146" s="17">
        <v>0.5</v>
      </c>
      <c r="W146" s="17">
        <v>2.2999999999999998</v>
      </c>
      <c r="X146" s="17">
        <v>2.8</v>
      </c>
      <c r="Y146" s="17">
        <v>3.8</v>
      </c>
      <c r="Z146" s="17">
        <v>0.9</v>
      </c>
      <c r="AA146" s="17">
        <v>0.5</v>
      </c>
      <c r="AB146" s="17">
        <v>1.3</v>
      </c>
      <c r="AC146" s="17">
        <v>1.3</v>
      </c>
      <c r="AD146" s="17">
        <v>11.5</v>
      </c>
      <c r="AE146" s="17"/>
      <c r="AG146" s="8" t="str">
        <v>Scoot Henderson</v>
      </c>
      <c r="AH146" s="8" t="str">
        <v>POR</v>
      </c>
    </row>
    <row r="147" spans="1:34" ht="17" x14ac:dyDescent="0.2">
      <c r="A147" s="1">
        <v>141</v>
      </c>
      <c r="B147" s="18" t="s">
        <v>163</v>
      </c>
      <c r="C147" s="17">
        <v>26</v>
      </c>
      <c r="D147" s="18" t="s">
        <v>100</v>
      </c>
      <c r="E147" s="17" t="s">
        <v>29</v>
      </c>
      <c r="F147" s="17">
        <v>36</v>
      </c>
      <c r="G147" s="17">
        <v>15</v>
      </c>
      <c r="H147" s="17">
        <v>19.899999999999999</v>
      </c>
      <c r="I147" s="17">
        <v>4.7</v>
      </c>
      <c r="J147" s="17">
        <v>6.6</v>
      </c>
      <c r="K147" s="17">
        <v>0.70899999999999996</v>
      </c>
      <c r="L147" s="17">
        <v>0</v>
      </c>
      <c r="M147" s="17">
        <v>0</v>
      </c>
      <c r="N147" s="17"/>
      <c r="O147" s="17">
        <v>4.7</v>
      </c>
      <c r="P147" s="17">
        <v>6.6</v>
      </c>
      <c r="Q147" s="17">
        <v>0.70899999999999996</v>
      </c>
      <c r="R147" s="17">
        <v>0.70899999999999996</v>
      </c>
      <c r="S147" s="17">
        <v>2.1</v>
      </c>
      <c r="T147" s="17">
        <v>3.1</v>
      </c>
      <c r="U147" s="17">
        <v>0.67300000000000004</v>
      </c>
      <c r="V147" s="17">
        <v>2.4</v>
      </c>
      <c r="W147" s="17">
        <v>3.6</v>
      </c>
      <c r="X147" s="17">
        <v>6</v>
      </c>
      <c r="Y147" s="17">
        <v>1.2</v>
      </c>
      <c r="Z147" s="17">
        <v>0.4</v>
      </c>
      <c r="AA147" s="17">
        <v>1.4</v>
      </c>
      <c r="AB147" s="17">
        <v>1.1000000000000001</v>
      </c>
      <c r="AC147" s="17">
        <v>2.5</v>
      </c>
      <c r="AD147" s="17">
        <v>11.4</v>
      </c>
      <c r="AE147" s="17"/>
      <c r="AG147" s="8" t="str">
        <v>Brandon Boston Jr.</v>
      </c>
      <c r="AH147" s="8" t="str">
        <v>NOP</v>
      </c>
    </row>
    <row r="148" spans="1:34" ht="17" x14ac:dyDescent="0.2">
      <c r="A148" s="1">
        <v>142</v>
      </c>
      <c r="B148" s="18" t="s">
        <v>153</v>
      </c>
      <c r="C148" s="17">
        <v>23</v>
      </c>
      <c r="D148" s="18" t="s">
        <v>98</v>
      </c>
      <c r="E148" s="17" t="s">
        <v>27</v>
      </c>
      <c r="F148" s="17">
        <v>24</v>
      </c>
      <c r="G148" s="17">
        <v>0</v>
      </c>
      <c r="H148" s="17">
        <v>22.8</v>
      </c>
      <c r="I148" s="17">
        <v>4.4000000000000004</v>
      </c>
      <c r="J148" s="17">
        <v>9.1999999999999993</v>
      </c>
      <c r="K148" s="17">
        <v>0.47499999999999998</v>
      </c>
      <c r="L148" s="17">
        <v>1</v>
      </c>
      <c r="M148" s="17">
        <v>3</v>
      </c>
      <c r="N148" s="17">
        <v>0.315</v>
      </c>
      <c r="O148" s="17">
        <v>3.4</v>
      </c>
      <c r="P148" s="17">
        <v>6.2</v>
      </c>
      <c r="Q148" s="17">
        <v>0.55400000000000005</v>
      </c>
      <c r="R148" s="17">
        <v>0.52700000000000002</v>
      </c>
      <c r="S148" s="17">
        <v>1.5</v>
      </c>
      <c r="T148" s="17">
        <v>2</v>
      </c>
      <c r="U148" s="17">
        <v>0.755</v>
      </c>
      <c r="V148" s="17">
        <v>2.1</v>
      </c>
      <c r="W148" s="17">
        <v>4.2</v>
      </c>
      <c r="X148" s="17">
        <v>6.3</v>
      </c>
      <c r="Y148" s="17">
        <v>1</v>
      </c>
      <c r="Z148" s="17">
        <v>1.9</v>
      </c>
      <c r="AA148" s="17">
        <v>1</v>
      </c>
      <c r="AB148" s="17">
        <v>0.8</v>
      </c>
      <c r="AC148" s="17">
        <v>2.5</v>
      </c>
      <c r="AD148" s="17">
        <v>11.3</v>
      </c>
      <c r="AE148" s="17"/>
      <c r="AG148" s="8" t="str">
        <v>Harrison Barnes</v>
      </c>
      <c r="AH148" s="8" t="str">
        <v>SAS</v>
      </c>
    </row>
    <row r="149" spans="1:34" ht="17" x14ac:dyDescent="0.2">
      <c r="A149" s="1">
        <v>143</v>
      </c>
      <c r="B149" s="18" t="s">
        <v>86</v>
      </c>
      <c r="C149" s="17">
        <v>32</v>
      </c>
      <c r="D149" s="18" t="s">
        <v>82</v>
      </c>
      <c r="E149" s="17" t="s">
        <v>35</v>
      </c>
      <c r="F149" s="17">
        <v>17</v>
      </c>
      <c r="G149" s="17">
        <v>0</v>
      </c>
      <c r="H149" s="17">
        <v>25.6</v>
      </c>
      <c r="I149" s="17">
        <v>3.9</v>
      </c>
      <c r="J149" s="17">
        <v>9.4</v>
      </c>
      <c r="K149" s="17">
        <v>0.41899999999999998</v>
      </c>
      <c r="L149" s="17">
        <v>2.2000000000000002</v>
      </c>
      <c r="M149" s="17">
        <v>6.2</v>
      </c>
      <c r="N149" s="17">
        <v>0.34899999999999998</v>
      </c>
      <c r="O149" s="17">
        <v>1.8</v>
      </c>
      <c r="P149" s="17">
        <v>3.2</v>
      </c>
      <c r="Q149" s="17">
        <v>0.55600000000000005</v>
      </c>
      <c r="R149" s="17">
        <v>0.53400000000000003</v>
      </c>
      <c r="S149" s="17">
        <v>1.2</v>
      </c>
      <c r="T149" s="17">
        <v>1.2</v>
      </c>
      <c r="U149" s="17">
        <v>0.95199999999999996</v>
      </c>
      <c r="V149" s="17">
        <v>0.6</v>
      </c>
      <c r="W149" s="17">
        <v>2.2999999999999998</v>
      </c>
      <c r="X149" s="17">
        <v>2.9</v>
      </c>
      <c r="Y149" s="17">
        <v>2.4</v>
      </c>
      <c r="Z149" s="17">
        <v>1</v>
      </c>
      <c r="AA149" s="17">
        <v>0.2</v>
      </c>
      <c r="AB149" s="17">
        <v>1.7</v>
      </c>
      <c r="AC149" s="17">
        <v>2.5</v>
      </c>
      <c r="AD149" s="17">
        <v>11.2</v>
      </c>
      <c r="AE149" s="17"/>
      <c r="AG149" s="8" t="str">
        <v>Naji Marshall</v>
      </c>
      <c r="AH149" s="8" t="str">
        <v>DAL</v>
      </c>
    </row>
    <row r="150" spans="1:34" ht="17" x14ac:dyDescent="0.2">
      <c r="A150" s="1">
        <v>144</v>
      </c>
      <c r="B150" s="18" t="s">
        <v>195</v>
      </c>
      <c r="C150" s="17">
        <v>20</v>
      </c>
      <c r="D150" s="18" t="s">
        <v>58</v>
      </c>
      <c r="E150" s="17" t="s">
        <v>46</v>
      </c>
      <c r="F150" s="17">
        <v>30</v>
      </c>
      <c r="G150" s="17">
        <v>3</v>
      </c>
      <c r="H150" s="17">
        <v>25.9</v>
      </c>
      <c r="I150" s="17">
        <v>3.9</v>
      </c>
      <c r="J150" s="17">
        <v>9.6</v>
      </c>
      <c r="K150" s="17">
        <v>0.40400000000000003</v>
      </c>
      <c r="L150" s="17">
        <v>1.1000000000000001</v>
      </c>
      <c r="M150" s="17">
        <v>3.4</v>
      </c>
      <c r="N150" s="17">
        <v>0.311</v>
      </c>
      <c r="O150" s="17">
        <v>2.8</v>
      </c>
      <c r="P150" s="17">
        <v>6.1</v>
      </c>
      <c r="Q150" s="17">
        <v>0.45700000000000002</v>
      </c>
      <c r="R150" s="17">
        <v>0.46</v>
      </c>
      <c r="S150" s="17">
        <v>2.4</v>
      </c>
      <c r="T150" s="17">
        <v>3</v>
      </c>
      <c r="U150" s="17">
        <v>0.79100000000000004</v>
      </c>
      <c r="V150" s="17">
        <v>0.7</v>
      </c>
      <c r="W150" s="17">
        <v>2.2000000000000002</v>
      </c>
      <c r="X150" s="17">
        <v>2.9</v>
      </c>
      <c r="Y150" s="17">
        <v>5</v>
      </c>
      <c r="Z150" s="17">
        <v>1.1000000000000001</v>
      </c>
      <c r="AA150" s="17">
        <v>0.3</v>
      </c>
      <c r="AB150" s="17">
        <v>2.8</v>
      </c>
      <c r="AC150" s="17">
        <v>2.6</v>
      </c>
      <c r="AD150" s="17">
        <v>11.2</v>
      </c>
      <c r="AE150" s="17"/>
      <c r="AG150" s="8" t="str">
        <v>Duncan Robinson</v>
      </c>
      <c r="AH150" s="8" t="str">
        <v>MIA</v>
      </c>
    </row>
    <row r="151" spans="1:34" ht="17" x14ac:dyDescent="0.2">
      <c r="A151" s="1">
        <v>145</v>
      </c>
      <c r="B151" s="18" t="s">
        <v>89</v>
      </c>
      <c r="C151" s="17">
        <v>23</v>
      </c>
      <c r="D151" s="18" t="s">
        <v>47</v>
      </c>
      <c r="E151" s="17" t="s">
        <v>35</v>
      </c>
      <c r="F151" s="17">
        <v>35</v>
      </c>
      <c r="G151" s="17">
        <v>10</v>
      </c>
      <c r="H151" s="17">
        <v>24.9</v>
      </c>
      <c r="I151" s="17">
        <v>4.0999999999999996</v>
      </c>
      <c r="J151" s="17">
        <v>9.5</v>
      </c>
      <c r="K151" s="17">
        <v>0.435</v>
      </c>
      <c r="L151" s="17">
        <v>1.2</v>
      </c>
      <c r="M151" s="17">
        <v>3.5</v>
      </c>
      <c r="N151" s="17">
        <v>0.33300000000000002</v>
      </c>
      <c r="O151" s="17">
        <v>2.9</v>
      </c>
      <c r="P151" s="17">
        <v>5.9</v>
      </c>
      <c r="Q151" s="17">
        <v>0.495</v>
      </c>
      <c r="R151" s="17">
        <v>0.497</v>
      </c>
      <c r="S151" s="17">
        <v>1.7</v>
      </c>
      <c r="T151" s="17">
        <v>2.1</v>
      </c>
      <c r="U151" s="17">
        <v>0.80800000000000005</v>
      </c>
      <c r="V151" s="17">
        <v>0.7</v>
      </c>
      <c r="W151" s="17">
        <v>2.7</v>
      </c>
      <c r="X151" s="17">
        <v>3.4</v>
      </c>
      <c r="Y151" s="17">
        <v>2.5</v>
      </c>
      <c r="Z151" s="17">
        <v>1.3</v>
      </c>
      <c r="AA151" s="17">
        <v>0.2</v>
      </c>
      <c r="AB151" s="17">
        <v>1.4</v>
      </c>
      <c r="AC151" s="17">
        <v>1.8</v>
      </c>
      <c r="AD151" s="17">
        <v>11.1</v>
      </c>
      <c r="AE151" s="17"/>
      <c r="AG151" s="8" t="str">
        <v>Ochai Agbaji</v>
      </c>
      <c r="AH151" s="8" t="str">
        <v>TOR</v>
      </c>
    </row>
    <row r="152" spans="1:34" ht="17" x14ac:dyDescent="0.2">
      <c r="A152" s="1">
        <v>146</v>
      </c>
      <c r="B152" s="18" t="s">
        <v>71</v>
      </c>
      <c r="C152" s="17">
        <v>32</v>
      </c>
      <c r="D152" s="18" t="s">
        <v>70</v>
      </c>
      <c r="E152" s="17" t="s">
        <v>27</v>
      </c>
      <c r="F152" s="17">
        <v>37</v>
      </c>
      <c r="G152" s="17">
        <v>37</v>
      </c>
      <c r="H152" s="17">
        <v>27.9</v>
      </c>
      <c r="I152" s="17">
        <v>3.7</v>
      </c>
      <c r="J152" s="17">
        <v>7.7</v>
      </c>
      <c r="K152" s="17">
        <v>0.47899999999999998</v>
      </c>
      <c r="L152" s="17">
        <v>1.5</v>
      </c>
      <c r="M152" s="17">
        <v>3.6</v>
      </c>
      <c r="N152" s="17">
        <v>0.40699999999999997</v>
      </c>
      <c r="O152" s="17">
        <v>2.2000000000000002</v>
      </c>
      <c r="P152" s="17">
        <v>4</v>
      </c>
      <c r="Q152" s="17">
        <v>0.54400000000000004</v>
      </c>
      <c r="R152" s="17">
        <v>0.57599999999999996</v>
      </c>
      <c r="S152" s="17">
        <v>2.2000000000000002</v>
      </c>
      <c r="T152" s="17">
        <v>2.7</v>
      </c>
      <c r="U152" s="17">
        <v>0.80800000000000005</v>
      </c>
      <c r="V152" s="17">
        <v>1.4</v>
      </c>
      <c r="W152" s="17">
        <v>2.2999999999999998</v>
      </c>
      <c r="X152" s="17">
        <v>3.7</v>
      </c>
      <c r="Y152" s="17">
        <v>1.5</v>
      </c>
      <c r="Z152" s="17">
        <v>0.3</v>
      </c>
      <c r="AA152" s="17">
        <v>0.2</v>
      </c>
      <c r="AB152" s="17">
        <v>0.6</v>
      </c>
      <c r="AC152" s="17">
        <v>0.9</v>
      </c>
      <c r="AD152" s="17">
        <v>11</v>
      </c>
      <c r="AE152" s="17"/>
      <c r="AG152" s="8" t="str">
        <v>Grayson Allen</v>
      </c>
      <c r="AH152" s="8" t="str">
        <v>PHO</v>
      </c>
    </row>
    <row r="153" spans="1:34" ht="17" x14ac:dyDescent="0.2">
      <c r="A153" s="1">
        <v>147</v>
      </c>
      <c r="B153" s="18" t="s">
        <v>270</v>
      </c>
      <c r="C153" s="17">
        <v>27</v>
      </c>
      <c r="D153" s="18" t="s">
        <v>100</v>
      </c>
      <c r="E153" s="17" t="s">
        <v>54</v>
      </c>
      <c r="F153" s="17">
        <v>29</v>
      </c>
      <c r="G153" s="17">
        <v>11</v>
      </c>
      <c r="H153" s="17">
        <v>23.9</v>
      </c>
      <c r="I153" s="17">
        <v>4.3</v>
      </c>
      <c r="J153" s="17">
        <v>8.6</v>
      </c>
      <c r="K153" s="17">
        <v>0.502</v>
      </c>
      <c r="L153" s="17">
        <v>0.8</v>
      </c>
      <c r="M153" s="17">
        <v>2.6</v>
      </c>
      <c r="N153" s="17">
        <v>0.30299999999999999</v>
      </c>
      <c r="O153" s="17">
        <v>3.5</v>
      </c>
      <c r="P153" s="17">
        <v>6</v>
      </c>
      <c r="Q153" s="17">
        <v>0.59</v>
      </c>
      <c r="R153" s="17">
        <v>0.54800000000000004</v>
      </c>
      <c r="S153" s="17">
        <v>1.5</v>
      </c>
      <c r="T153" s="17">
        <v>1.7</v>
      </c>
      <c r="U153" s="17">
        <v>0.88</v>
      </c>
      <c r="V153" s="17">
        <v>1</v>
      </c>
      <c r="W153" s="17">
        <v>2.4</v>
      </c>
      <c r="X153" s="17">
        <v>3.4</v>
      </c>
      <c r="Y153" s="17">
        <v>2.2999999999999998</v>
      </c>
      <c r="Z153" s="17">
        <v>0.9</v>
      </c>
      <c r="AA153" s="17">
        <v>0.1</v>
      </c>
      <c r="AB153" s="17">
        <v>1.4</v>
      </c>
      <c r="AC153" s="17">
        <v>1.4</v>
      </c>
      <c r="AD153" s="17">
        <v>10.9</v>
      </c>
      <c r="AE153" s="17"/>
      <c r="AG153" s="8" t="str">
        <v>Onyeka Okongwu</v>
      </c>
      <c r="AH153" s="8" t="str">
        <v>ATL</v>
      </c>
    </row>
    <row r="154" spans="1:34" ht="17" x14ac:dyDescent="0.2">
      <c r="A154" s="1">
        <v>148</v>
      </c>
      <c r="B154" s="18" t="s">
        <v>350</v>
      </c>
      <c r="C154" s="17">
        <v>30</v>
      </c>
      <c r="D154" s="18" t="s">
        <v>33</v>
      </c>
      <c r="E154" s="17" t="s">
        <v>54</v>
      </c>
      <c r="F154" s="17">
        <v>34</v>
      </c>
      <c r="G154" s="17">
        <v>19</v>
      </c>
      <c r="H154" s="17">
        <v>23.2</v>
      </c>
      <c r="I154" s="17">
        <v>3.9</v>
      </c>
      <c r="J154" s="17">
        <v>9.3000000000000007</v>
      </c>
      <c r="K154" s="17">
        <v>0.42099999999999999</v>
      </c>
      <c r="L154" s="17">
        <v>2.5</v>
      </c>
      <c r="M154" s="17">
        <v>6.6</v>
      </c>
      <c r="N154" s="17">
        <v>0.378</v>
      </c>
      <c r="O154" s="17">
        <v>1.4</v>
      </c>
      <c r="P154" s="17">
        <v>2.7</v>
      </c>
      <c r="Q154" s="17">
        <v>0.52700000000000002</v>
      </c>
      <c r="R154" s="17">
        <v>0.55500000000000005</v>
      </c>
      <c r="S154" s="17">
        <v>0.6</v>
      </c>
      <c r="T154" s="17">
        <v>0.7</v>
      </c>
      <c r="U154" s="17">
        <v>0.87</v>
      </c>
      <c r="V154" s="17">
        <v>0.3</v>
      </c>
      <c r="W154" s="17">
        <v>2</v>
      </c>
      <c r="X154" s="17">
        <v>2.2999999999999998</v>
      </c>
      <c r="Y154" s="17">
        <v>2.7</v>
      </c>
      <c r="Z154" s="17">
        <v>0.5</v>
      </c>
      <c r="AA154" s="17">
        <v>0.1</v>
      </c>
      <c r="AB154" s="17">
        <v>1</v>
      </c>
      <c r="AC154" s="17">
        <v>2</v>
      </c>
      <c r="AD154" s="17">
        <v>10.9</v>
      </c>
      <c r="AE154" s="17"/>
      <c r="AG154" s="8" t="str">
        <v>Stephon Castle</v>
      </c>
      <c r="AH154" s="8" t="str">
        <v>SAS</v>
      </c>
    </row>
    <row r="155" spans="1:34" ht="17" x14ac:dyDescent="0.2">
      <c r="A155" s="1">
        <v>149</v>
      </c>
      <c r="B155" s="18" t="s">
        <v>34</v>
      </c>
      <c r="C155" s="17">
        <v>24</v>
      </c>
      <c r="D155" s="18" t="s">
        <v>30</v>
      </c>
      <c r="E155" s="17" t="s">
        <v>35</v>
      </c>
      <c r="F155" s="17">
        <v>37</v>
      </c>
      <c r="G155" s="17">
        <v>33</v>
      </c>
      <c r="H155" s="17">
        <v>29.5</v>
      </c>
      <c r="I155" s="17">
        <v>4.3</v>
      </c>
      <c r="J155" s="17">
        <v>8.5</v>
      </c>
      <c r="K155" s="17">
        <v>0.50600000000000001</v>
      </c>
      <c r="L155" s="17">
        <v>1.6</v>
      </c>
      <c r="M155" s="17">
        <v>3.9</v>
      </c>
      <c r="N155" s="17">
        <v>0.40400000000000003</v>
      </c>
      <c r="O155" s="17">
        <v>2.7</v>
      </c>
      <c r="P155" s="17">
        <v>4.5999999999999996</v>
      </c>
      <c r="Q155" s="17">
        <v>0.59399999999999997</v>
      </c>
      <c r="R155" s="17">
        <v>0.6</v>
      </c>
      <c r="S155" s="17">
        <v>0.5</v>
      </c>
      <c r="T155" s="17">
        <v>0.8</v>
      </c>
      <c r="U155" s="17">
        <v>0.67900000000000005</v>
      </c>
      <c r="V155" s="17">
        <v>0.9</v>
      </c>
      <c r="W155" s="17">
        <v>2.9</v>
      </c>
      <c r="X155" s="17">
        <v>3.8</v>
      </c>
      <c r="Y155" s="17">
        <v>1.8</v>
      </c>
      <c r="Z155" s="17">
        <v>0.8</v>
      </c>
      <c r="AA155" s="17">
        <v>0.5</v>
      </c>
      <c r="AB155" s="17">
        <v>0.8</v>
      </c>
      <c r="AC155" s="17">
        <v>2.2000000000000002</v>
      </c>
      <c r="AD155" s="17">
        <v>10.8</v>
      </c>
      <c r="AE155" s="17"/>
      <c r="AG155" s="8" t="str">
        <v>Walker Kessler</v>
      </c>
      <c r="AH155" s="8" t="str">
        <v>UTA</v>
      </c>
    </row>
    <row r="156" spans="1:34" ht="17" x14ac:dyDescent="0.2">
      <c r="A156" s="1">
        <v>150</v>
      </c>
      <c r="B156" s="18" t="s">
        <v>41</v>
      </c>
      <c r="C156" s="17">
        <v>29</v>
      </c>
      <c r="D156" s="18" t="s">
        <v>42</v>
      </c>
      <c r="E156" s="17" t="s">
        <v>35</v>
      </c>
      <c r="F156" s="17">
        <v>27</v>
      </c>
      <c r="G156" s="17">
        <v>1</v>
      </c>
      <c r="H156" s="17">
        <v>24</v>
      </c>
      <c r="I156" s="17">
        <v>3.4</v>
      </c>
      <c r="J156" s="17">
        <v>7.8</v>
      </c>
      <c r="K156" s="17">
        <v>0.43099999999999999</v>
      </c>
      <c r="L156" s="17">
        <v>2.2999999999999998</v>
      </c>
      <c r="M156" s="17">
        <v>5.7</v>
      </c>
      <c r="N156" s="17">
        <v>0.40500000000000003</v>
      </c>
      <c r="O156" s="17">
        <v>1.1000000000000001</v>
      </c>
      <c r="P156" s="17">
        <v>2.1</v>
      </c>
      <c r="Q156" s="17">
        <v>0.5</v>
      </c>
      <c r="R156" s="17">
        <v>0.57799999999999996</v>
      </c>
      <c r="S156" s="17">
        <v>1.7</v>
      </c>
      <c r="T156" s="17">
        <v>2.1</v>
      </c>
      <c r="U156" s="17">
        <v>0.83899999999999997</v>
      </c>
      <c r="V156" s="17">
        <v>0.6</v>
      </c>
      <c r="W156" s="17">
        <v>2.5</v>
      </c>
      <c r="X156" s="17">
        <v>3.1</v>
      </c>
      <c r="Y156" s="17">
        <v>1.8</v>
      </c>
      <c r="Z156" s="17">
        <v>0.8</v>
      </c>
      <c r="AA156" s="17">
        <v>0.3</v>
      </c>
      <c r="AB156" s="17">
        <v>1.1000000000000001</v>
      </c>
      <c r="AC156" s="17">
        <v>1.4</v>
      </c>
      <c r="AD156" s="17">
        <v>10.8</v>
      </c>
      <c r="AE156" s="17"/>
      <c r="AG156" s="8" t="str">
        <v>Scotty Pippen Jr.</v>
      </c>
      <c r="AH156" s="8" t="str">
        <v>MEM</v>
      </c>
    </row>
    <row r="157" spans="1:34" ht="17" x14ac:dyDescent="0.2">
      <c r="A157" s="1">
        <v>151</v>
      </c>
      <c r="B157" s="18" t="s">
        <v>316</v>
      </c>
      <c r="C157" s="17">
        <v>24</v>
      </c>
      <c r="D157" s="18" t="s">
        <v>82</v>
      </c>
      <c r="E157" s="17" t="s">
        <v>29</v>
      </c>
      <c r="F157" s="17">
        <v>31</v>
      </c>
      <c r="G157" s="17">
        <v>0</v>
      </c>
      <c r="H157" s="17">
        <v>23.5</v>
      </c>
      <c r="I157" s="17">
        <v>4.3</v>
      </c>
      <c r="J157" s="17">
        <v>8</v>
      </c>
      <c r="K157" s="17">
        <v>0.54</v>
      </c>
      <c r="L157" s="17">
        <v>0.4</v>
      </c>
      <c r="M157" s="17">
        <v>1.6</v>
      </c>
      <c r="N157" s="17">
        <v>0.22</v>
      </c>
      <c r="O157" s="17">
        <v>4</v>
      </c>
      <c r="P157" s="17">
        <v>6.4</v>
      </c>
      <c r="Q157" s="17">
        <v>0.621</v>
      </c>
      <c r="R157" s="17">
        <v>0.56299999999999994</v>
      </c>
      <c r="S157" s="17">
        <v>1.8</v>
      </c>
      <c r="T157" s="17">
        <v>2.4</v>
      </c>
      <c r="U157" s="17">
        <v>0.76700000000000002</v>
      </c>
      <c r="V157" s="17">
        <v>2.5</v>
      </c>
      <c r="W157" s="17">
        <v>4.3</v>
      </c>
      <c r="X157" s="17">
        <v>6.8</v>
      </c>
      <c r="Y157" s="17">
        <v>1.6</v>
      </c>
      <c r="Z157" s="17">
        <v>0.7</v>
      </c>
      <c r="AA157" s="17">
        <v>0.8</v>
      </c>
      <c r="AB157" s="17">
        <v>0.7</v>
      </c>
      <c r="AC157" s="17">
        <v>2.2000000000000002</v>
      </c>
      <c r="AD157" s="17">
        <v>10.8</v>
      </c>
      <c r="AE157" s="17"/>
      <c r="AG157" s="8" t="str">
        <v>Zaccharie Risacher</v>
      </c>
      <c r="AH157" s="8" t="str">
        <v>ATL</v>
      </c>
    </row>
    <row r="158" spans="1:34" ht="17" x14ac:dyDescent="0.2">
      <c r="A158" s="1">
        <v>152</v>
      </c>
      <c r="B158" s="18" t="s">
        <v>539</v>
      </c>
      <c r="C158" s="17">
        <v>20</v>
      </c>
      <c r="D158" s="18" t="s">
        <v>70</v>
      </c>
      <c r="E158" s="17" t="s">
        <v>46</v>
      </c>
      <c r="F158" s="17">
        <v>36</v>
      </c>
      <c r="G158" s="17">
        <v>19</v>
      </c>
      <c r="H158" s="17">
        <v>24.6</v>
      </c>
      <c r="I158" s="17">
        <v>3.8</v>
      </c>
      <c r="J158" s="17">
        <v>9.9</v>
      </c>
      <c r="K158" s="17">
        <v>0.38300000000000001</v>
      </c>
      <c r="L158" s="17">
        <v>0.9</v>
      </c>
      <c r="M158" s="17">
        <v>3.7</v>
      </c>
      <c r="N158" s="17">
        <v>0.254</v>
      </c>
      <c r="O158" s="17">
        <v>2.9</v>
      </c>
      <c r="P158" s="17">
        <v>6.2</v>
      </c>
      <c r="Q158" s="17">
        <v>0.46</v>
      </c>
      <c r="R158" s="17">
        <v>0.43</v>
      </c>
      <c r="S158" s="17">
        <v>2.1</v>
      </c>
      <c r="T158" s="17">
        <v>3</v>
      </c>
      <c r="U158" s="17">
        <v>0.70599999999999996</v>
      </c>
      <c r="V158" s="17">
        <v>0.6</v>
      </c>
      <c r="W158" s="17">
        <v>1.8</v>
      </c>
      <c r="X158" s="17">
        <v>2.4</v>
      </c>
      <c r="Y158" s="17">
        <v>3.7</v>
      </c>
      <c r="Z158" s="17">
        <v>0.8</v>
      </c>
      <c r="AA158" s="17">
        <v>0.3</v>
      </c>
      <c r="AB158" s="17">
        <v>1.8</v>
      </c>
      <c r="AC158" s="17">
        <v>1.7</v>
      </c>
      <c r="AD158" s="17">
        <v>10.7</v>
      </c>
      <c r="AE158" s="17"/>
      <c r="AG158" s="8" t="str">
        <v>Andrew Nembhard</v>
      </c>
      <c r="AH158" s="8" t="str">
        <v>IND</v>
      </c>
    </row>
    <row r="159" spans="1:34" ht="17" x14ac:dyDescent="0.2">
      <c r="A159" s="1">
        <v>153</v>
      </c>
      <c r="B159" s="18" t="s">
        <v>244</v>
      </c>
      <c r="C159" s="17">
        <v>23</v>
      </c>
      <c r="D159" s="18" t="s">
        <v>36</v>
      </c>
      <c r="E159" s="17" t="s">
        <v>29</v>
      </c>
      <c r="F159" s="17">
        <v>30</v>
      </c>
      <c r="G159" s="17">
        <v>30</v>
      </c>
      <c r="H159" s="17">
        <v>29.6</v>
      </c>
      <c r="I159" s="17">
        <v>4.5999999999999996</v>
      </c>
      <c r="J159" s="17">
        <v>6.4</v>
      </c>
      <c r="K159" s="19">
        <v>0.71699999999999997</v>
      </c>
      <c r="L159" s="17">
        <v>0.1</v>
      </c>
      <c r="M159" s="17">
        <v>0.1</v>
      </c>
      <c r="N159" s="17">
        <v>0.66700000000000004</v>
      </c>
      <c r="O159" s="17">
        <v>4.5</v>
      </c>
      <c r="P159" s="17">
        <v>6.3</v>
      </c>
      <c r="Q159" s="17">
        <v>0.71799999999999997</v>
      </c>
      <c r="R159" s="19">
        <v>0.72299999999999998</v>
      </c>
      <c r="S159" s="17">
        <v>1.5</v>
      </c>
      <c r="T159" s="17">
        <v>2.6</v>
      </c>
      <c r="U159" s="17">
        <v>0.55700000000000005</v>
      </c>
      <c r="V159" s="17">
        <v>4.3</v>
      </c>
      <c r="W159" s="17">
        <v>7.1</v>
      </c>
      <c r="X159" s="17">
        <v>11.4</v>
      </c>
      <c r="Y159" s="17">
        <v>1.6</v>
      </c>
      <c r="Z159" s="17">
        <v>0.5</v>
      </c>
      <c r="AA159" s="17">
        <v>2.5</v>
      </c>
      <c r="AB159" s="17">
        <v>1.5</v>
      </c>
      <c r="AC159" s="17">
        <v>2.2000000000000002</v>
      </c>
      <c r="AD159" s="17">
        <v>10.7</v>
      </c>
      <c r="AE159" s="17"/>
      <c r="AG159" s="8" t="str">
        <v>Amir Coffey</v>
      </c>
      <c r="AH159" s="8" t="str">
        <v>LAC</v>
      </c>
    </row>
    <row r="160" spans="1:34" ht="17" x14ac:dyDescent="0.2">
      <c r="A160" s="1">
        <v>154</v>
      </c>
      <c r="B160" s="18" t="s">
        <v>325</v>
      </c>
      <c r="C160" s="17">
        <v>24</v>
      </c>
      <c r="D160" s="18" t="s">
        <v>38</v>
      </c>
      <c r="E160" s="17" t="s">
        <v>46</v>
      </c>
      <c r="F160" s="19">
        <v>38</v>
      </c>
      <c r="G160" s="17">
        <v>16</v>
      </c>
      <c r="H160" s="17">
        <v>22.6</v>
      </c>
      <c r="I160" s="17">
        <v>4</v>
      </c>
      <c r="J160" s="17">
        <v>8.4</v>
      </c>
      <c r="K160" s="17">
        <v>0.47199999999999998</v>
      </c>
      <c r="L160" s="17">
        <v>1.2</v>
      </c>
      <c r="M160" s="17">
        <v>3.2</v>
      </c>
      <c r="N160" s="17">
        <v>0.38300000000000001</v>
      </c>
      <c r="O160" s="17">
        <v>2.8</v>
      </c>
      <c r="P160" s="17">
        <v>5.3</v>
      </c>
      <c r="Q160" s="17">
        <v>0.52500000000000002</v>
      </c>
      <c r="R160" s="17">
        <v>0.54400000000000004</v>
      </c>
      <c r="S160" s="17">
        <v>1.5</v>
      </c>
      <c r="T160" s="17">
        <v>2.2000000000000002</v>
      </c>
      <c r="U160" s="17">
        <v>0.69899999999999995</v>
      </c>
      <c r="V160" s="17">
        <v>0.8</v>
      </c>
      <c r="W160" s="17">
        <v>2.7</v>
      </c>
      <c r="X160" s="17">
        <v>3.4</v>
      </c>
      <c r="Y160" s="17">
        <v>4.8</v>
      </c>
      <c r="Z160" s="17">
        <v>1.2</v>
      </c>
      <c r="AA160" s="17">
        <v>0.4</v>
      </c>
      <c r="AB160" s="17">
        <v>2.1</v>
      </c>
      <c r="AC160" s="17">
        <v>2.5</v>
      </c>
      <c r="AD160" s="17">
        <v>10.7</v>
      </c>
      <c r="AE160" s="17"/>
      <c r="AG160" s="8" t="str">
        <v>Quentin Grimes</v>
      </c>
      <c r="AH160" s="8" t="str">
        <v>DAL</v>
      </c>
    </row>
    <row r="161" spans="1:34" ht="17" x14ac:dyDescent="0.2">
      <c r="A161" s="1">
        <v>155</v>
      </c>
      <c r="B161" s="18" t="s">
        <v>534</v>
      </c>
      <c r="C161" s="17">
        <v>19</v>
      </c>
      <c r="D161" s="18" t="s">
        <v>82</v>
      </c>
      <c r="E161" s="17" t="s">
        <v>54</v>
      </c>
      <c r="F161" s="19">
        <v>38</v>
      </c>
      <c r="G161" s="17">
        <v>36</v>
      </c>
      <c r="H161" s="17">
        <v>23.9</v>
      </c>
      <c r="I161" s="17">
        <v>4</v>
      </c>
      <c r="J161" s="17">
        <v>9.9</v>
      </c>
      <c r="K161" s="17">
        <v>0.40600000000000003</v>
      </c>
      <c r="L161" s="17">
        <v>1.2</v>
      </c>
      <c r="M161" s="17">
        <v>4.2</v>
      </c>
      <c r="N161" s="17">
        <v>0.28499999999999998</v>
      </c>
      <c r="O161" s="17">
        <v>2.8</v>
      </c>
      <c r="P161" s="17">
        <v>5.8</v>
      </c>
      <c r="Q161" s="17">
        <v>0.49299999999999999</v>
      </c>
      <c r="R161" s="17">
        <v>0.46600000000000003</v>
      </c>
      <c r="S161" s="17">
        <v>1.5</v>
      </c>
      <c r="T161" s="17">
        <v>2.1</v>
      </c>
      <c r="U161" s="17">
        <v>0.71299999999999997</v>
      </c>
      <c r="V161" s="17">
        <v>1.3</v>
      </c>
      <c r="W161" s="17">
        <v>2.2000000000000002</v>
      </c>
      <c r="X161" s="17">
        <v>3.4</v>
      </c>
      <c r="Y161" s="17">
        <v>1.2</v>
      </c>
      <c r="Z161" s="17">
        <v>0.8</v>
      </c>
      <c r="AA161" s="17">
        <v>0.6</v>
      </c>
      <c r="AB161" s="17">
        <v>1.2</v>
      </c>
      <c r="AC161" s="17">
        <v>2.1</v>
      </c>
      <c r="AD161" s="17">
        <v>10.7</v>
      </c>
      <c r="AE161" s="17"/>
      <c r="AG161" s="8" t="str">
        <v>Tim Hardaway Jr.</v>
      </c>
      <c r="AH161" s="8" t="str">
        <v>DET</v>
      </c>
    </row>
    <row r="162" spans="1:34" ht="17" x14ac:dyDescent="0.2">
      <c r="A162" s="1">
        <v>156</v>
      </c>
      <c r="B162" s="18" t="s">
        <v>308</v>
      </c>
      <c r="C162" s="17">
        <v>25</v>
      </c>
      <c r="D162" s="18" t="s">
        <v>99</v>
      </c>
      <c r="E162" s="17" t="s">
        <v>35</v>
      </c>
      <c r="F162" s="17">
        <v>23</v>
      </c>
      <c r="G162" s="17">
        <v>23</v>
      </c>
      <c r="H162" s="17">
        <v>27.6</v>
      </c>
      <c r="I162" s="17">
        <v>4</v>
      </c>
      <c r="J162" s="17">
        <v>8.5</v>
      </c>
      <c r="K162" s="17">
        <v>0.46700000000000003</v>
      </c>
      <c r="L162" s="17">
        <v>0.8</v>
      </c>
      <c r="M162" s="17">
        <v>2.5</v>
      </c>
      <c r="N162" s="17">
        <v>0.33300000000000002</v>
      </c>
      <c r="O162" s="17">
        <v>3.1</v>
      </c>
      <c r="P162" s="17">
        <v>6</v>
      </c>
      <c r="Q162" s="17">
        <v>0.52200000000000002</v>
      </c>
      <c r="R162" s="17">
        <v>0.51500000000000001</v>
      </c>
      <c r="S162" s="17">
        <v>1.9</v>
      </c>
      <c r="T162" s="17">
        <v>2.2000000000000002</v>
      </c>
      <c r="U162" s="17">
        <v>0.84299999999999997</v>
      </c>
      <c r="V162" s="17">
        <v>0.5</v>
      </c>
      <c r="W162" s="17">
        <v>2.9</v>
      </c>
      <c r="X162" s="17">
        <v>3.3</v>
      </c>
      <c r="Y162" s="17">
        <v>4.9000000000000004</v>
      </c>
      <c r="Z162" s="17">
        <v>0.9</v>
      </c>
      <c r="AA162" s="17">
        <v>0.1</v>
      </c>
      <c r="AB162" s="17">
        <v>1.7</v>
      </c>
      <c r="AC162" s="17">
        <v>2</v>
      </c>
      <c r="AD162" s="17">
        <v>10.6</v>
      </c>
      <c r="AE162" s="17"/>
      <c r="AG162" s="8" t="str">
        <v>Jordan Hawkins</v>
      </c>
      <c r="AH162" s="8" t="str">
        <v>NOP</v>
      </c>
    </row>
    <row r="163" spans="1:34" ht="17" x14ac:dyDescent="0.2">
      <c r="A163" s="1">
        <v>157</v>
      </c>
      <c r="B163" s="18" t="s">
        <v>123</v>
      </c>
      <c r="C163" s="17">
        <v>27</v>
      </c>
      <c r="D163" s="18" t="s">
        <v>77</v>
      </c>
      <c r="E163" s="17" t="s">
        <v>35</v>
      </c>
      <c r="F163" s="17">
        <v>36</v>
      </c>
      <c r="G163" s="17">
        <v>9</v>
      </c>
      <c r="H163" s="17">
        <v>25.1</v>
      </c>
      <c r="I163" s="17">
        <v>3.7</v>
      </c>
      <c r="J163" s="17">
        <v>7.8</v>
      </c>
      <c r="K163" s="17">
        <v>0.47699999999999998</v>
      </c>
      <c r="L163" s="17">
        <v>1.7</v>
      </c>
      <c r="M163" s="17">
        <v>3.9</v>
      </c>
      <c r="N163" s="17">
        <v>0.436</v>
      </c>
      <c r="O163" s="17">
        <v>2</v>
      </c>
      <c r="P163" s="17">
        <v>3.9</v>
      </c>
      <c r="Q163" s="17">
        <v>0.51800000000000002</v>
      </c>
      <c r="R163" s="17">
        <v>0.58599999999999997</v>
      </c>
      <c r="S163" s="17">
        <v>1.4</v>
      </c>
      <c r="T163" s="17">
        <v>1.7</v>
      </c>
      <c r="U163" s="17">
        <v>0.86699999999999999</v>
      </c>
      <c r="V163" s="17">
        <v>0.6</v>
      </c>
      <c r="W163" s="17">
        <v>2</v>
      </c>
      <c r="X163" s="17">
        <v>2.6</v>
      </c>
      <c r="Y163" s="17">
        <v>1.2</v>
      </c>
      <c r="Z163" s="17">
        <v>0.5</v>
      </c>
      <c r="AA163" s="17">
        <v>0.1</v>
      </c>
      <c r="AB163" s="17">
        <v>0.7</v>
      </c>
      <c r="AC163" s="17">
        <v>1.6</v>
      </c>
      <c r="AD163" s="17">
        <v>10.5</v>
      </c>
      <c r="AE163" s="17"/>
      <c r="AG163" s="8" t="str">
        <v>T.J. McConnell</v>
      </c>
      <c r="AH163" s="8" t="str">
        <v>IND</v>
      </c>
    </row>
    <row r="164" spans="1:34" ht="17" x14ac:dyDescent="0.2">
      <c r="A164" s="1">
        <v>158</v>
      </c>
      <c r="B164" s="18" t="s">
        <v>182</v>
      </c>
      <c r="C164" s="17">
        <v>24</v>
      </c>
      <c r="D164" s="18" t="s">
        <v>100</v>
      </c>
      <c r="E164" s="17" t="s">
        <v>35</v>
      </c>
      <c r="F164" s="17">
        <v>36</v>
      </c>
      <c r="G164" s="17">
        <v>11</v>
      </c>
      <c r="H164" s="17">
        <v>22.7</v>
      </c>
      <c r="I164" s="17">
        <v>3.7</v>
      </c>
      <c r="J164" s="17">
        <v>7.9</v>
      </c>
      <c r="K164" s="17">
        <v>0.46600000000000003</v>
      </c>
      <c r="L164" s="17">
        <v>1.8</v>
      </c>
      <c r="M164" s="17">
        <v>4.3</v>
      </c>
      <c r="N164" s="17">
        <v>0.40400000000000003</v>
      </c>
      <c r="O164" s="17">
        <v>1.9</v>
      </c>
      <c r="P164" s="17">
        <v>3.5</v>
      </c>
      <c r="Q164" s="17">
        <v>0.54300000000000004</v>
      </c>
      <c r="R164" s="17">
        <v>0.57799999999999996</v>
      </c>
      <c r="S164" s="17">
        <v>1.4</v>
      </c>
      <c r="T164" s="17">
        <v>1.8</v>
      </c>
      <c r="U164" s="17">
        <v>0.75800000000000001</v>
      </c>
      <c r="V164" s="17">
        <v>0.8</v>
      </c>
      <c r="W164" s="17">
        <v>3.4</v>
      </c>
      <c r="X164" s="17">
        <v>4.2</v>
      </c>
      <c r="Y164" s="17">
        <v>2.1</v>
      </c>
      <c r="Z164" s="17">
        <v>0.7</v>
      </c>
      <c r="AA164" s="17">
        <v>0.3</v>
      </c>
      <c r="AB164" s="17">
        <v>1.2</v>
      </c>
      <c r="AC164" s="17">
        <v>1.6</v>
      </c>
      <c r="AD164" s="17">
        <v>10.5</v>
      </c>
      <c r="AE164" s="17"/>
      <c r="AG164" s="8" t="str">
        <v>Royce O'Neale</v>
      </c>
      <c r="AH164" s="8" t="str">
        <v>PHO</v>
      </c>
    </row>
    <row r="165" spans="1:34" ht="17" x14ac:dyDescent="0.2">
      <c r="A165" s="1">
        <v>159</v>
      </c>
      <c r="B165" s="18" t="s">
        <v>186</v>
      </c>
      <c r="C165" s="17">
        <v>32</v>
      </c>
      <c r="D165" s="18" t="s">
        <v>60</v>
      </c>
      <c r="E165" s="17" t="s">
        <v>35</v>
      </c>
      <c r="F165" s="17">
        <v>34</v>
      </c>
      <c r="G165" s="17">
        <v>34</v>
      </c>
      <c r="H165" s="17">
        <v>27.8</v>
      </c>
      <c r="I165" s="17">
        <v>3.5</v>
      </c>
      <c r="J165" s="17">
        <v>8.1999999999999993</v>
      </c>
      <c r="K165" s="17">
        <v>0.42099999999999999</v>
      </c>
      <c r="L165" s="17">
        <v>2</v>
      </c>
      <c r="M165" s="17">
        <v>5.5</v>
      </c>
      <c r="N165" s="17">
        <v>0.36599999999999999</v>
      </c>
      <c r="O165" s="17">
        <v>1.5</v>
      </c>
      <c r="P165" s="17">
        <v>2.8</v>
      </c>
      <c r="Q165" s="17">
        <v>0.53200000000000003</v>
      </c>
      <c r="R165" s="17">
        <v>0.54300000000000004</v>
      </c>
      <c r="S165" s="17">
        <v>1.5</v>
      </c>
      <c r="T165" s="17">
        <v>1.8</v>
      </c>
      <c r="U165" s="17">
        <v>0.83899999999999997</v>
      </c>
      <c r="V165" s="17">
        <v>0.2</v>
      </c>
      <c r="W165" s="17">
        <v>1.8</v>
      </c>
      <c r="X165" s="17">
        <v>2</v>
      </c>
      <c r="Y165" s="17">
        <v>1.6</v>
      </c>
      <c r="Z165" s="17">
        <v>0.4</v>
      </c>
      <c r="AA165" s="17">
        <v>0</v>
      </c>
      <c r="AB165" s="17">
        <v>0.7</v>
      </c>
      <c r="AC165" s="17">
        <v>1.4</v>
      </c>
      <c r="AD165" s="17">
        <v>10.5</v>
      </c>
      <c r="AE165" s="17"/>
      <c r="AG165" s="8" t="str">
        <v>Obi Toppin</v>
      </c>
      <c r="AH165" s="8" t="str">
        <v>IND</v>
      </c>
    </row>
    <row r="166" spans="1:34" ht="17" x14ac:dyDescent="0.2">
      <c r="A166" s="1">
        <v>160</v>
      </c>
      <c r="B166" s="18" t="s">
        <v>193</v>
      </c>
      <c r="C166" s="17">
        <v>22</v>
      </c>
      <c r="D166" s="18" t="s">
        <v>47</v>
      </c>
      <c r="E166" s="17" t="s">
        <v>35</v>
      </c>
      <c r="F166" s="17">
        <v>22</v>
      </c>
      <c r="G166" s="17">
        <v>3</v>
      </c>
      <c r="H166" s="17">
        <v>23</v>
      </c>
      <c r="I166" s="17">
        <v>3.5</v>
      </c>
      <c r="J166" s="17">
        <v>10.3</v>
      </c>
      <c r="K166" s="17">
        <v>0.33600000000000002</v>
      </c>
      <c r="L166" s="17">
        <v>1.9</v>
      </c>
      <c r="M166" s="17">
        <v>6</v>
      </c>
      <c r="N166" s="17">
        <v>0.313</v>
      </c>
      <c r="O166" s="17">
        <v>1.6</v>
      </c>
      <c r="P166" s="17">
        <v>4.3</v>
      </c>
      <c r="Q166" s="17">
        <v>0.36799999999999999</v>
      </c>
      <c r="R166" s="17">
        <v>0.42699999999999999</v>
      </c>
      <c r="S166" s="17">
        <v>1.7</v>
      </c>
      <c r="T166" s="17">
        <v>2</v>
      </c>
      <c r="U166" s="17">
        <v>0.86399999999999999</v>
      </c>
      <c r="V166" s="17">
        <v>0.4</v>
      </c>
      <c r="W166" s="17">
        <v>2.2999999999999998</v>
      </c>
      <c r="X166" s="17">
        <v>2.7</v>
      </c>
      <c r="Y166" s="17">
        <v>1</v>
      </c>
      <c r="Z166" s="17">
        <v>0.4</v>
      </c>
      <c r="AA166" s="17">
        <v>0.5</v>
      </c>
      <c r="AB166" s="17">
        <v>1</v>
      </c>
      <c r="AC166" s="17">
        <v>0.8</v>
      </c>
      <c r="AD166" s="17">
        <v>10.5</v>
      </c>
      <c r="AE166" s="17"/>
      <c r="AG166" s="8" t="str">
        <v>Grant Williams</v>
      </c>
      <c r="AH166" s="8" t="str">
        <v>CHO</v>
      </c>
    </row>
    <row r="167" spans="1:34" ht="17" x14ac:dyDescent="0.2">
      <c r="A167" s="1">
        <v>161</v>
      </c>
      <c r="B167" s="18" t="s">
        <v>279</v>
      </c>
      <c r="C167" s="17">
        <v>32</v>
      </c>
      <c r="D167" s="18" t="s">
        <v>99</v>
      </c>
      <c r="E167" s="17" t="s">
        <v>46</v>
      </c>
      <c r="F167" s="17">
        <v>37</v>
      </c>
      <c r="G167" s="17">
        <v>0</v>
      </c>
      <c r="H167" s="17">
        <v>19.399999999999999</v>
      </c>
      <c r="I167" s="17">
        <v>4.8</v>
      </c>
      <c r="J167" s="17">
        <v>8.6999999999999993</v>
      </c>
      <c r="K167" s="17">
        <v>0.54500000000000004</v>
      </c>
      <c r="L167" s="17">
        <v>0.2</v>
      </c>
      <c r="M167" s="17">
        <v>0.6</v>
      </c>
      <c r="N167" s="17">
        <v>0.29199999999999998</v>
      </c>
      <c r="O167" s="17">
        <v>4.5999999999999996</v>
      </c>
      <c r="P167" s="17">
        <v>8.1</v>
      </c>
      <c r="Q167" s="17">
        <v>0.56499999999999995</v>
      </c>
      <c r="R167" s="17">
        <v>0.55600000000000005</v>
      </c>
      <c r="S167" s="17">
        <v>0.8</v>
      </c>
      <c r="T167" s="17">
        <v>1.1000000000000001</v>
      </c>
      <c r="U167" s="17">
        <v>0.71399999999999997</v>
      </c>
      <c r="V167" s="17">
        <v>0.6</v>
      </c>
      <c r="W167" s="17">
        <v>1.9</v>
      </c>
      <c r="X167" s="17">
        <v>2.5</v>
      </c>
      <c r="Y167" s="17">
        <v>4.2</v>
      </c>
      <c r="Z167" s="17">
        <v>1.2</v>
      </c>
      <c r="AA167" s="17">
        <v>0.2</v>
      </c>
      <c r="AB167" s="17">
        <v>1.6</v>
      </c>
      <c r="AC167" s="17">
        <v>1.1000000000000001</v>
      </c>
      <c r="AD167" s="17">
        <v>10.5</v>
      </c>
      <c r="AE167" s="17"/>
      <c r="AG167" s="8" t="str">
        <v>Chris Boucher</v>
      </c>
      <c r="AH167" s="8" t="str">
        <v>TOR</v>
      </c>
    </row>
    <row r="168" spans="1:34" ht="17" x14ac:dyDescent="0.2">
      <c r="A168" s="1">
        <v>162</v>
      </c>
      <c r="B168" s="18" t="s">
        <v>314</v>
      </c>
      <c r="C168" s="17">
        <v>31</v>
      </c>
      <c r="D168" s="18" t="s">
        <v>42</v>
      </c>
      <c r="E168" s="17" t="s">
        <v>54</v>
      </c>
      <c r="F168" s="17">
        <v>31</v>
      </c>
      <c r="G168" s="17">
        <v>9</v>
      </c>
      <c r="H168" s="17">
        <v>26.4</v>
      </c>
      <c r="I168" s="17">
        <v>3.7</v>
      </c>
      <c r="J168" s="17">
        <v>8.3000000000000007</v>
      </c>
      <c r="K168" s="17">
        <v>0.44700000000000001</v>
      </c>
      <c r="L168" s="17">
        <v>2.5</v>
      </c>
      <c r="M168" s="17">
        <v>5.7</v>
      </c>
      <c r="N168" s="17">
        <v>0.441</v>
      </c>
      <c r="O168" s="17">
        <v>1.2</v>
      </c>
      <c r="P168" s="17">
        <v>2.6</v>
      </c>
      <c r="Q168" s="17">
        <v>0.46300000000000002</v>
      </c>
      <c r="R168" s="17">
        <v>0.59899999999999998</v>
      </c>
      <c r="S168" s="17">
        <v>0.5</v>
      </c>
      <c r="T168" s="17">
        <v>0.7</v>
      </c>
      <c r="U168" s="17">
        <v>0.76200000000000001</v>
      </c>
      <c r="V168" s="17">
        <v>1</v>
      </c>
      <c r="W168" s="17">
        <v>4.5999999999999996</v>
      </c>
      <c r="X168" s="17">
        <v>5.6</v>
      </c>
      <c r="Y168" s="17">
        <v>2.4</v>
      </c>
      <c r="Z168" s="17">
        <v>1</v>
      </c>
      <c r="AA168" s="17">
        <v>0.6</v>
      </c>
      <c r="AB168" s="17">
        <v>1</v>
      </c>
      <c r="AC168" s="17">
        <v>2.2999999999999998</v>
      </c>
      <c r="AD168" s="17">
        <v>10.5</v>
      </c>
      <c r="AE168" s="17"/>
      <c r="AG168" s="8" t="str">
        <v>Zach Edey</v>
      </c>
      <c r="AH168" s="8" t="str">
        <v>MEM</v>
      </c>
    </row>
    <row r="169" spans="1:34" ht="17" x14ac:dyDescent="0.2">
      <c r="A169" s="1">
        <v>163</v>
      </c>
      <c r="B169" s="18" t="s">
        <v>394</v>
      </c>
      <c r="C169" s="17">
        <v>26</v>
      </c>
      <c r="D169" s="18" t="s">
        <v>99</v>
      </c>
      <c r="E169" s="17" t="s">
        <v>27</v>
      </c>
      <c r="F169" s="17">
        <v>35</v>
      </c>
      <c r="G169" s="17">
        <v>0</v>
      </c>
      <c r="H169" s="17">
        <v>19.8</v>
      </c>
      <c r="I169" s="17">
        <v>4</v>
      </c>
      <c r="J169" s="17">
        <v>7.3</v>
      </c>
      <c r="K169" s="17">
        <v>0.55300000000000005</v>
      </c>
      <c r="L169" s="17">
        <v>1.2</v>
      </c>
      <c r="M169" s="17">
        <v>3.4</v>
      </c>
      <c r="N169" s="17">
        <v>0.35299999999999998</v>
      </c>
      <c r="O169" s="17">
        <v>2.8</v>
      </c>
      <c r="P169" s="17">
        <v>3.9</v>
      </c>
      <c r="Q169" s="19">
        <v>0.72799999999999998</v>
      </c>
      <c r="R169" s="17">
        <v>0.63500000000000001</v>
      </c>
      <c r="S169" s="17">
        <v>1.2</v>
      </c>
      <c r="T169" s="17">
        <v>1.4</v>
      </c>
      <c r="U169" s="17">
        <v>0.84</v>
      </c>
      <c r="V169" s="17">
        <v>0.8</v>
      </c>
      <c r="W169" s="17">
        <v>3.3</v>
      </c>
      <c r="X169" s="17">
        <v>4.0999999999999996</v>
      </c>
      <c r="Y169" s="17">
        <v>1.7</v>
      </c>
      <c r="Z169" s="17">
        <v>0.7</v>
      </c>
      <c r="AA169" s="17">
        <v>0.3</v>
      </c>
      <c r="AB169" s="17">
        <v>0.7</v>
      </c>
      <c r="AC169" s="17">
        <v>1.5</v>
      </c>
      <c r="AD169" s="17">
        <v>10.5</v>
      </c>
      <c r="AE169" s="17"/>
      <c r="AG169" s="8" t="str">
        <v>Herbert Jones</v>
      </c>
      <c r="AH169" s="8" t="str">
        <v>NOP</v>
      </c>
    </row>
    <row r="170" spans="1:34" ht="17" x14ac:dyDescent="0.2">
      <c r="A170" s="1">
        <v>164</v>
      </c>
      <c r="B170" s="18" t="s">
        <v>425</v>
      </c>
      <c r="C170" s="17">
        <v>26</v>
      </c>
      <c r="D170" s="18" t="s">
        <v>61</v>
      </c>
      <c r="E170" s="17" t="s">
        <v>27</v>
      </c>
      <c r="F170" s="17">
        <v>16</v>
      </c>
      <c r="G170" s="17">
        <v>7</v>
      </c>
      <c r="H170" s="17">
        <v>29.9</v>
      </c>
      <c r="I170" s="17">
        <v>3.4</v>
      </c>
      <c r="J170" s="17">
        <v>7.7</v>
      </c>
      <c r="K170" s="17">
        <v>0.439</v>
      </c>
      <c r="L170" s="17">
        <v>1.7</v>
      </c>
      <c r="M170" s="17">
        <v>4.5999999999999996</v>
      </c>
      <c r="N170" s="17">
        <v>0.36499999999999999</v>
      </c>
      <c r="O170" s="17">
        <v>1.7</v>
      </c>
      <c r="P170" s="17">
        <v>3.1</v>
      </c>
      <c r="Q170" s="17">
        <v>0.55100000000000005</v>
      </c>
      <c r="R170" s="17">
        <v>0.54900000000000004</v>
      </c>
      <c r="S170" s="17">
        <v>1.9</v>
      </c>
      <c r="T170" s="17">
        <v>2.2999999999999998</v>
      </c>
      <c r="U170" s="17">
        <v>0.83799999999999997</v>
      </c>
      <c r="V170" s="17">
        <v>1.1000000000000001</v>
      </c>
      <c r="W170" s="17">
        <v>4</v>
      </c>
      <c r="X170" s="17">
        <v>5.0999999999999996</v>
      </c>
      <c r="Y170" s="17">
        <v>2.2999999999999998</v>
      </c>
      <c r="Z170" s="17">
        <v>1.1000000000000001</v>
      </c>
      <c r="AA170" s="17">
        <v>0.8</v>
      </c>
      <c r="AB170" s="17">
        <v>1.8</v>
      </c>
      <c r="AC170" s="17">
        <v>2.9</v>
      </c>
      <c r="AD170" s="17">
        <v>10.4</v>
      </c>
      <c r="AE170" s="17"/>
      <c r="AG170" s="8" t="str">
        <v>De'Anthony Melton</v>
      </c>
      <c r="AH170" s="8" t="str">
        <v>GSW</v>
      </c>
    </row>
    <row r="171" spans="1:34" ht="17" x14ac:dyDescent="0.2">
      <c r="A171" s="1">
        <v>165</v>
      </c>
      <c r="B171" s="18" t="s">
        <v>90</v>
      </c>
      <c r="C171" s="17">
        <v>32</v>
      </c>
      <c r="D171" s="18" t="s">
        <v>30</v>
      </c>
      <c r="E171" s="17" t="s">
        <v>27</v>
      </c>
      <c r="F171" s="17">
        <v>33</v>
      </c>
      <c r="G171" s="17">
        <v>0</v>
      </c>
      <c r="H171" s="17">
        <v>17.399999999999999</v>
      </c>
      <c r="I171" s="17">
        <v>3.7</v>
      </c>
      <c r="J171" s="17">
        <v>7.7</v>
      </c>
      <c r="K171" s="17">
        <v>0.47799999999999998</v>
      </c>
      <c r="L171" s="17">
        <v>1.3</v>
      </c>
      <c r="M171" s="17">
        <v>3.8</v>
      </c>
      <c r="N171" s="17">
        <v>0.33900000000000002</v>
      </c>
      <c r="O171" s="17">
        <v>2.4</v>
      </c>
      <c r="P171" s="17">
        <v>3.9</v>
      </c>
      <c r="Q171" s="17">
        <v>0.61699999999999999</v>
      </c>
      <c r="R171" s="17">
        <v>0.56299999999999994</v>
      </c>
      <c r="S171" s="17">
        <v>1.6</v>
      </c>
      <c r="T171" s="17">
        <v>2.1</v>
      </c>
      <c r="U171" s="17">
        <v>0.79400000000000004</v>
      </c>
      <c r="V171" s="17">
        <v>1.3</v>
      </c>
      <c r="W171" s="17">
        <v>3</v>
      </c>
      <c r="X171" s="17">
        <v>4.3</v>
      </c>
      <c r="Y171" s="17">
        <v>0.6</v>
      </c>
      <c r="Z171" s="17">
        <v>0.6</v>
      </c>
      <c r="AA171" s="17">
        <v>0.6</v>
      </c>
      <c r="AB171" s="17">
        <v>0.7</v>
      </c>
      <c r="AC171" s="17">
        <v>1.3</v>
      </c>
      <c r="AD171" s="17">
        <v>10.3</v>
      </c>
      <c r="AE171" s="17"/>
      <c r="AG171" s="8" t="str">
        <v>Donte DiVincenzo</v>
      </c>
      <c r="AH171" s="8" t="str">
        <v>MIN</v>
      </c>
    </row>
    <row r="172" spans="1:34" ht="17" x14ac:dyDescent="0.2">
      <c r="A172" s="1">
        <v>166</v>
      </c>
      <c r="B172" s="18" t="s">
        <v>535</v>
      </c>
      <c r="C172" s="17">
        <v>22</v>
      </c>
      <c r="D172" s="18" t="s">
        <v>38</v>
      </c>
      <c r="E172" s="17" t="s">
        <v>29</v>
      </c>
      <c r="F172" s="17">
        <v>24</v>
      </c>
      <c r="G172" s="17">
        <v>17</v>
      </c>
      <c r="H172" s="17">
        <v>21.3</v>
      </c>
      <c r="I172" s="17">
        <v>4.3</v>
      </c>
      <c r="J172" s="17">
        <v>7.1</v>
      </c>
      <c r="K172" s="17">
        <v>0.59599999999999997</v>
      </c>
      <c r="L172" s="17">
        <v>0.4</v>
      </c>
      <c r="M172" s="17">
        <v>1</v>
      </c>
      <c r="N172" s="17">
        <v>0.41699999999999998</v>
      </c>
      <c r="O172" s="17">
        <v>3.8</v>
      </c>
      <c r="P172" s="17">
        <v>6.1</v>
      </c>
      <c r="Q172" s="17">
        <v>0.626</v>
      </c>
      <c r="R172" s="17">
        <v>0.626</v>
      </c>
      <c r="S172" s="17">
        <v>1.4</v>
      </c>
      <c r="T172" s="17">
        <v>2.2000000000000002</v>
      </c>
      <c r="U172" s="17">
        <v>0.623</v>
      </c>
      <c r="V172" s="17">
        <v>3.4</v>
      </c>
      <c r="W172" s="17">
        <v>4.0999999999999996</v>
      </c>
      <c r="X172" s="17">
        <v>7.5</v>
      </c>
      <c r="Y172" s="17">
        <v>0.9</v>
      </c>
      <c r="Z172" s="17">
        <v>0.7</v>
      </c>
      <c r="AA172" s="17">
        <v>1.1000000000000001</v>
      </c>
      <c r="AB172" s="17">
        <v>1.6</v>
      </c>
      <c r="AC172" s="17">
        <v>2.8</v>
      </c>
      <c r="AD172" s="17">
        <v>10.3</v>
      </c>
      <c r="AE172" s="17"/>
      <c r="AG172" s="8" t="str">
        <v>Ty Jerome</v>
      </c>
      <c r="AH172" s="8" t="str">
        <v>CLE</v>
      </c>
    </row>
    <row r="173" spans="1:34" ht="17" x14ac:dyDescent="0.2">
      <c r="A173" s="1">
        <v>167</v>
      </c>
      <c r="B173" s="18" t="s">
        <v>236</v>
      </c>
      <c r="C173" s="17">
        <v>26</v>
      </c>
      <c r="D173" s="18" t="s">
        <v>47</v>
      </c>
      <c r="E173" s="17" t="s">
        <v>54</v>
      </c>
      <c r="F173" s="17">
        <v>20</v>
      </c>
      <c r="G173" s="17">
        <v>20</v>
      </c>
      <c r="H173" s="17">
        <v>32.4</v>
      </c>
      <c r="I173" s="17">
        <v>3.8</v>
      </c>
      <c r="J173" s="17">
        <v>8.6</v>
      </c>
      <c r="K173" s="17">
        <v>0.436</v>
      </c>
      <c r="L173" s="17">
        <v>1.1000000000000001</v>
      </c>
      <c r="M173" s="17">
        <v>3.6</v>
      </c>
      <c r="N173" s="17">
        <v>0.30599999999999999</v>
      </c>
      <c r="O173" s="17">
        <v>2.7</v>
      </c>
      <c r="P173" s="17">
        <v>5</v>
      </c>
      <c r="Q173" s="17">
        <v>0.53</v>
      </c>
      <c r="R173" s="17">
        <v>0.5</v>
      </c>
      <c r="S173" s="17">
        <v>1.7</v>
      </c>
      <c r="T173" s="17">
        <v>2</v>
      </c>
      <c r="U173" s="17">
        <v>0.82499999999999996</v>
      </c>
      <c r="V173" s="17">
        <v>1.1000000000000001</v>
      </c>
      <c r="W173" s="17">
        <v>2.8</v>
      </c>
      <c r="X173" s="17">
        <v>3.9</v>
      </c>
      <c r="Y173" s="17">
        <v>3.3</v>
      </c>
      <c r="Z173" s="17">
        <v>1.9</v>
      </c>
      <c r="AA173" s="17">
        <v>0.5</v>
      </c>
      <c r="AB173" s="17">
        <v>1.8</v>
      </c>
      <c r="AC173" s="17">
        <v>3.3</v>
      </c>
      <c r="AD173" s="17">
        <v>10.3</v>
      </c>
      <c r="AE173" s="17"/>
      <c r="AG173" s="8" t="str">
        <v>Guerschon Yabusele</v>
      </c>
      <c r="AH173" s="8" t="str">
        <v>PHI</v>
      </c>
    </row>
    <row r="174" spans="1:34" ht="17" x14ac:dyDescent="0.2">
      <c r="A174" s="1">
        <v>168</v>
      </c>
      <c r="B174" s="18" t="s">
        <v>283</v>
      </c>
      <c r="C174" s="17">
        <v>26</v>
      </c>
      <c r="D174" s="18" t="s">
        <v>134</v>
      </c>
      <c r="E174" s="17" t="s">
        <v>35</v>
      </c>
      <c r="F174" s="17">
        <v>6</v>
      </c>
      <c r="G174" s="17">
        <v>2</v>
      </c>
      <c r="H174" s="17">
        <v>20.2</v>
      </c>
      <c r="I174" s="17">
        <v>3.7</v>
      </c>
      <c r="J174" s="17">
        <v>9</v>
      </c>
      <c r="K174" s="17">
        <v>0.40699999999999997</v>
      </c>
      <c r="L174" s="17">
        <v>2.2000000000000002</v>
      </c>
      <c r="M174" s="17">
        <v>5.8</v>
      </c>
      <c r="N174" s="17">
        <v>0.371</v>
      </c>
      <c r="O174" s="17">
        <v>1.5</v>
      </c>
      <c r="P174" s="17">
        <v>3.2</v>
      </c>
      <c r="Q174" s="17">
        <v>0.47399999999999998</v>
      </c>
      <c r="R174" s="17">
        <v>0.52800000000000002</v>
      </c>
      <c r="S174" s="17">
        <v>0.8</v>
      </c>
      <c r="T174" s="17">
        <v>1.3</v>
      </c>
      <c r="U174" s="17">
        <v>0.625</v>
      </c>
      <c r="V174" s="17">
        <v>1</v>
      </c>
      <c r="W174" s="17">
        <v>2.2999999999999998</v>
      </c>
      <c r="X174" s="17">
        <v>3.3</v>
      </c>
      <c r="Y174" s="17">
        <v>2.8</v>
      </c>
      <c r="Z174" s="17">
        <v>1.2</v>
      </c>
      <c r="AA174" s="17">
        <v>0.3</v>
      </c>
      <c r="AB174" s="17">
        <v>1.7</v>
      </c>
      <c r="AC174" s="17">
        <v>3</v>
      </c>
      <c r="AD174" s="17">
        <v>10.3</v>
      </c>
      <c r="AE174" s="17"/>
      <c r="AG174" s="8" t="str">
        <v>Rudy Gobert</v>
      </c>
      <c r="AH174" s="8" t="str">
        <v>MIN</v>
      </c>
    </row>
    <row r="175" spans="1:34" ht="17" x14ac:dyDescent="0.2">
      <c r="A175" s="1">
        <v>169</v>
      </c>
      <c r="B175" s="18" t="s">
        <v>144</v>
      </c>
      <c r="C175" s="17">
        <v>28</v>
      </c>
      <c r="D175" s="18" t="s">
        <v>40</v>
      </c>
      <c r="E175" s="17" t="s">
        <v>35</v>
      </c>
      <c r="F175" s="17">
        <v>37</v>
      </c>
      <c r="G175" s="17">
        <v>5</v>
      </c>
      <c r="H175" s="17">
        <v>25.8</v>
      </c>
      <c r="I175" s="17">
        <v>3.4</v>
      </c>
      <c r="J175" s="17">
        <v>8.8000000000000007</v>
      </c>
      <c r="K175" s="17">
        <v>0.38800000000000001</v>
      </c>
      <c r="L175" s="17">
        <v>2.4</v>
      </c>
      <c r="M175" s="17">
        <v>6.6</v>
      </c>
      <c r="N175" s="17">
        <v>0.35899999999999999</v>
      </c>
      <c r="O175" s="17">
        <v>1</v>
      </c>
      <c r="P175" s="17">
        <v>2.2000000000000002</v>
      </c>
      <c r="Q175" s="17">
        <v>0.47499999999999998</v>
      </c>
      <c r="R175" s="17">
        <v>0.52300000000000002</v>
      </c>
      <c r="S175" s="17">
        <v>0.9</v>
      </c>
      <c r="T175" s="17">
        <v>1.1000000000000001</v>
      </c>
      <c r="U175" s="17">
        <v>0.82099999999999995</v>
      </c>
      <c r="V175" s="17">
        <v>0.4</v>
      </c>
      <c r="W175" s="17">
        <v>3</v>
      </c>
      <c r="X175" s="17">
        <v>3.5</v>
      </c>
      <c r="Y175" s="17">
        <v>3.5</v>
      </c>
      <c r="Z175" s="17">
        <v>1.2</v>
      </c>
      <c r="AA175" s="17">
        <v>0.2</v>
      </c>
      <c r="AB175" s="17">
        <v>1.8</v>
      </c>
      <c r="AC175" s="17">
        <v>1.5</v>
      </c>
      <c r="AD175" s="17">
        <v>10.1</v>
      </c>
      <c r="AE175" s="17"/>
      <c r="AG175" s="8" t="str">
        <v>Kawhi Leonard</v>
      </c>
      <c r="AH175" s="8" t="str">
        <v>LAC</v>
      </c>
    </row>
    <row r="176" spans="1:34" ht="17" x14ac:dyDescent="0.2">
      <c r="A176" s="1">
        <v>170</v>
      </c>
      <c r="B176" s="18" t="s">
        <v>226</v>
      </c>
      <c r="C176" s="17">
        <v>27</v>
      </c>
      <c r="D176" s="18" t="s">
        <v>44</v>
      </c>
      <c r="E176" s="17" t="s">
        <v>35</v>
      </c>
      <c r="F176" s="17">
        <v>36</v>
      </c>
      <c r="G176" s="17">
        <v>2</v>
      </c>
      <c r="H176" s="17">
        <v>17.600000000000001</v>
      </c>
      <c r="I176" s="17">
        <v>3.7</v>
      </c>
      <c r="J176" s="17">
        <v>7.4</v>
      </c>
      <c r="K176" s="17">
        <v>0.498</v>
      </c>
      <c r="L176" s="17">
        <v>1.3</v>
      </c>
      <c r="M176" s="17">
        <v>3.2</v>
      </c>
      <c r="N176" s="17">
        <v>0.41199999999999998</v>
      </c>
      <c r="O176" s="17">
        <v>2.4</v>
      </c>
      <c r="P176" s="17">
        <v>4.2</v>
      </c>
      <c r="Q176" s="17">
        <v>0.56299999999999994</v>
      </c>
      <c r="R176" s="17">
        <v>0.58699999999999997</v>
      </c>
      <c r="S176" s="17">
        <v>1.4</v>
      </c>
      <c r="T176" s="17">
        <v>1.6</v>
      </c>
      <c r="U176" s="17">
        <v>0.89700000000000002</v>
      </c>
      <c r="V176" s="17">
        <v>0.7</v>
      </c>
      <c r="W176" s="17">
        <v>1.5</v>
      </c>
      <c r="X176" s="17">
        <v>2.2000000000000002</v>
      </c>
      <c r="Y176" s="17">
        <v>3.4</v>
      </c>
      <c r="Z176" s="17">
        <v>1.2</v>
      </c>
      <c r="AA176" s="17">
        <v>0</v>
      </c>
      <c r="AB176" s="17">
        <v>1.1000000000000001</v>
      </c>
      <c r="AC176" s="17">
        <v>1.4</v>
      </c>
      <c r="AD176" s="17">
        <v>10.1</v>
      </c>
      <c r="AE176" s="17"/>
      <c r="AG176" s="8" t="str">
        <v>Jose Alvarado</v>
      </c>
      <c r="AH176" s="8" t="str">
        <v>NOP</v>
      </c>
    </row>
    <row r="177" spans="1:34" ht="17" x14ac:dyDescent="0.2">
      <c r="A177" s="1">
        <v>171</v>
      </c>
      <c r="B177" s="18" t="s">
        <v>542</v>
      </c>
      <c r="C177" s="17">
        <v>29</v>
      </c>
      <c r="D177" s="18" t="s">
        <v>64</v>
      </c>
      <c r="E177" s="17" t="s">
        <v>27</v>
      </c>
      <c r="F177" s="17">
        <v>35</v>
      </c>
      <c r="G177" s="17">
        <v>14</v>
      </c>
      <c r="H177" s="17">
        <v>24.8</v>
      </c>
      <c r="I177" s="17">
        <v>3.6</v>
      </c>
      <c r="J177" s="17">
        <v>7.2</v>
      </c>
      <c r="K177" s="17">
        <v>0.5</v>
      </c>
      <c r="L177" s="17">
        <v>1.6</v>
      </c>
      <c r="M177" s="17">
        <v>3.9</v>
      </c>
      <c r="N177" s="17">
        <v>0.40100000000000002</v>
      </c>
      <c r="O177" s="17">
        <v>2</v>
      </c>
      <c r="P177" s="17">
        <v>3.3</v>
      </c>
      <c r="Q177" s="17">
        <v>0.61699999999999999</v>
      </c>
      <c r="R177" s="17">
        <v>0.60899999999999999</v>
      </c>
      <c r="S177" s="17">
        <v>1.3</v>
      </c>
      <c r="T177" s="17">
        <v>1.9</v>
      </c>
      <c r="U177" s="17">
        <v>0.68700000000000006</v>
      </c>
      <c r="V177" s="17">
        <v>1.8</v>
      </c>
      <c r="W177" s="17">
        <v>3.6</v>
      </c>
      <c r="X177" s="17">
        <v>5.3</v>
      </c>
      <c r="Y177" s="17">
        <v>1.8</v>
      </c>
      <c r="Z177" s="17">
        <v>0.7</v>
      </c>
      <c r="AA177" s="17">
        <v>0.5</v>
      </c>
      <c r="AB177" s="17">
        <v>1.2</v>
      </c>
      <c r="AC177" s="17">
        <v>2.4</v>
      </c>
      <c r="AD177" s="17">
        <v>10.1</v>
      </c>
      <c r="AE177" s="17"/>
      <c r="AG177" s="8" t="str">
        <v>Goga Bitadze</v>
      </c>
      <c r="AH177" s="8" t="str">
        <v>ORL</v>
      </c>
    </row>
    <row r="178" spans="1:34" ht="17" x14ac:dyDescent="0.2">
      <c r="A178" s="1">
        <v>172</v>
      </c>
      <c r="B178" s="18" t="s">
        <v>173</v>
      </c>
      <c r="C178" s="17">
        <v>32</v>
      </c>
      <c r="D178" s="18" t="s">
        <v>40</v>
      </c>
      <c r="E178" s="17" t="s">
        <v>29</v>
      </c>
      <c r="F178" s="17">
        <v>37</v>
      </c>
      <c r="G178" s="17">
        <v>37</v>
      </c>
      <c r="H178" s="17">
        <v>33.5</v>
      </c>
      <c r="I178" s="17">
        <v>3.9</v>
      </c>
      <c r="J178" s="17">
        <v>6.3</v>
      </c>
      <c r="K178" s="17">
        <v>0.621</v>
      </c>
      <c r="L178" s="17">
        <v>0</v>
      </c>
      <c r="M178" s="17">
        <v>0</v>
      </c>
      <c r="N178" s="17"/>
      <c r="O178" s="17">
        <v>3.9</v>
      </c>
      <c r="P178" s="17">
        <v>6.3</v>
      </c>
      <c r="Q178" s="17">
        <v>0.621</v>
      </c>
      <c r="R178" s="17">
        <v>0.621</v>
      </c>
      <c r="S178" s="17">
        <v>2.2000000000000002</v>
      </c>
      <c r="T178" s="17">
        <v>3.3</v>
      </c>
      <c r="U178" s="17">
        <v>0.67500000000000004</v>
      </c>
      <c r="V178" s="17">
        <v>3.5</v>
      </c>
      <c r="W178" s="17">
        <v>7.2</v>
      </c>
      <c r="X178" s="17">
        <v>10.7</v>
      </c>
      <c r="Y178" s="17">
        <v>1.7</v>
      </c>
      <c r="Z178" s="17">
        <v>0.6</v>
      </c>
      <c r="AA178" s="17">
        <v>1.5</v>
      </c>
      <c r="AB178" s="17">
        <v>1.5</v>
      </c>
      <c r="AC178" s="17">
        <v>2.6</v>
      </c>
      <c r="AD178" s="17">
        <v>10</v>
      </c>
      <c r="AE178" s="17"/>
      <c r="AG178" s="8" t="str">
        <v>Justin Champagnie</v>
      </c>
      <c r="AH178" s="8" t="str">
        <v>WAS</v>
      </c>
    </row>
    <row r="179" spans="1:34" ht="17" x14ac:dyDescent="0.2">
      <c r="A179" s="1">
        <v>173</v>
      </c>
      <c r="B179" s="18" t="s">
        <v>667</v>
      </c>
      <c r="C179" s="17">
        <v>33</v>
      </c>
      <c r="D179" s="18" t="s">
        <v>77</v>
      </c>
      <c r="E179" s="17" t="s">
        <v>54</v>
      </c>
      <c r="F179" s="17">
        <v>2</v>
      </c>
      <c r="G179" s="17">
        <v>2</v>
      </c>
      <c r="H179" s="17">
        <v>20</v>
      </c>
      <c r="I179" s="17">
        <v>3.5</v>
      </c>
      <c r="J179" s="17">
        <v>11</v>
      </c>
      <c r="K179" s="17">
        <v>0.318</v>
      </c>
      <c r="L179" s="17">
        <v>2.5</v>
      </c>
      <c r="M179" s="17">
        <v>5</v>
      </c>
      <c r="N179" s="17">
        <v>0.5</v>
      </c>
      <c r="O179" s="17">
        <v>1</v>
      </c>
      <c r="P179" s="17">
        <v>6</v>
      </c>
      <c r="Q179" s="17">
        <v>0.16700000000000001</v>
      </c>
      <c r="R179" s="17">
        <v>0.432</v>
      </c>
      <c r="S179" s="17">
        <v>0.5</v>
      </c>
      <c r="T179" s="17">
        <v>1.5</v>
      </c>
      <c r="U179" s="17">
        <v>0.33300000000000002</v>
      </c>
      <c r="V179" s="17">
        <v>1</v>
      </c>
      <c r="W179" s="17">
        <v>1.5</v>
      </c>
      <c r="X179" s="17">
        <v>2.5</v>
      </c>
      <c r="Y179" s="17">
        <v>1.5</v>
      </c>
      <c r="Z179" s="17">
        <v>1</v>
      </c>
      <c r="AA179" s="17">
        <v>0</v>
      </c>
      <c r="AB179" s="17">
        <v>1.5</v>
      </c>
      <c r="AC179" s="17">
        <v>1</v>
      </c>
      <c r="AD179" s="17">
        <v>10</v>
      </c>
      <c r="AE179" s="17"/>
      <c r="AG179" s="8" t="str">
        <v>Dorian Finney-Smith</v>
      </c>
      <c r="AH179" s="8" t="str">
        <v>LAL</v>
      </c>
    </row>
    <row r="180" spans="1:34" ht="17" x14ac:dyDescent="0.2">
      <c r="A180" s="1">
        <v>174</v>
      </c>
      <c r="B180" s="18" t="s">
        <v>45</v>
      </c>
      <c r="C180" s="17">
        <v>26</v>
      </c>
      <c r="D180" s="18" t="s">
        <v>47</v>
      </c>
      <c r="E180" s="17" t="s">
        <v>46</v>
      </c>
      <c r="F180" s="17">
        <v>15</v>
      </c>
      <c r="G180" s="17">
        <v>7</v>
      </c>
      <c r="H180" s="17">
        <v>23.5</v>
      </c>
      <c r="I180" s="17">
        <v>3.3</v>
      </c>
      <c r="J180" s="17">
        <v>8.6999999999999993</v>
      </c>
      <c r="K180" s="17">
        <v>0.38500000000000001</v>
      </c>
      <c r="L180" s="17">
        <v>2</v>
      </c>
      <c r="M180" s="17">
        <v>5.2</v>
      </c>
      <c r="N180" s="17">
        <v>0.38500000000000001</v>
      </c>
      <c r="O180" s="17">
        <v>1.3</v>
      </c>
      <c r="P180" s="17">
        <v>3.5</v>
      </c>
      <c r="Q180" s="17">
        <v>0.38500000000000001</v>
      </c>
      <c r="R180" s="17">
        <v>0.5</v>
      </c>
      <c r="S180" s="17">
        <v>1.2</v>
      </c>
      <c r="T180" s="17">
        <v>1.5</v>
      </c>
      <c r="U180" s="17">
        <v>0.81799999999999995</v>
      </c>
      <c r="V180" s="17">
        <v>0.7</v>
      </c>
      <c r="W180" s="17">
        <v>1.3</v>
      </c>
      <c r="X180" s="17">
        <v>2</v>
      </c>
      <c r="Y180" s="17">
        <v>3.9</v>
      </c>
      <c r="Z180" s="17">
        <v>1.7</v>
      </c>
      <c r="AA180" s="17">
        <v>0.3</v>
      </c>
      <c r="AB180" s="17">
        <v>1.3</v>
      </c>
      <c r="AC180" s="17">
        <v>2.4</v>
      </c>
      <c r="AD180" s="17">
        <v>9.9</v>
      </c>
      <c r="AE180" s="17"/>
      <c r="AG180" s="8" t="str">
        <v>Nic Claxton</v>
      </c>
      <c r="AH180" s="8" t="str">
        <v>BRK</v>
      </c>
    </row>
    <row r="181" spans="1:34" ht="17" x14ac:dyDescent="0.2">
      <c r="A181" s="1">
        <v>175</v>
      </c>
      <c r="B181" s="18" t="s">
        <v>83</v>
      </c>
      <c r="C181" s="17">
        <v>25</v>
      </c>
      <c r="D181" s="18" t="s">
        <v>52</v>
      </c>
      <c r="E181" s="17" t="s">
        <v>29</v>
      </c>
      <c r="F181" s="17">
        <v>34</v>
      </c>
      <c r="G181" s="17">
        <v>31</v>
      </c>
      <c r="H181" s="17">
        <v>25.1</v>
      </c>
      <c r="I181" s="17">
        <v>4.2</v>
      </c>
      <c r="J181" s="17">
        <v>6.7</v>
      </c>
      <c r="K181" s="17">
        <v>0.62</v>
      </c>
      <c r="L181" s="17">
        <v>0.1</v>
      </c>
      <c r="M181" s="17">
        <v>0.6</v>
      </c>
      <c r="N181" s="17">
        <v>0.105</v>
      </c>
      <c r="O181" s="17">
        <v>4.0999999999999996</v>
      </c>
      <c r="P181" s="17">
        <v>6.2</v>
      </c>
      <c r="Q181" s="17">
        <v>0.66700000000000004</v>
      </c>
      <c r="R181" s="17">
        <v>0.624</v>
      </c>
      <c r="S181" s="17">
        <v>1.5</v>
      </c>
      <c r="T181" s="17">
        <v>2.2000000000000002</v>
      </c>
      <c r="U181" s="17">
        <v>0.68</v>
      </c>
      <c r="V181" s="17">
        <v>2.9</v>
      </c>
      <c r="W181" s="17">
        <v>5.6</v>
      </c>
      <c r="X181" s="17">
        <v>8.5</v>
      </c>
      <c r="Y181" s="17">
        <v>2.5</v>
      </c>
      <c r="Z181" s="17">
        <v>0.9</v>
      </c>
      <c r="AA181" s="17">
        <v>1.7</v>
      </c>
      <c r="AB181" s="17">
        <v>1.5</v>
      </c>
      <c r="AC181" s="17">
        <v>2.4</v>
      </c>
      <c r="AD181" s="17">
        <v>9.9</v>
      </c>
      <c r="AE181" s="17"/>
      <c r="AG181" s="8" t="str">
        <v>Luguentz Dort</v>
      </c>
      <c r="AH181" s="8" t="str">
        <v>OKC</v>
      </c>
    </row>
    <row r="182" spans="1:34" ht="17" x14ac:dyDescent="0.2">
      <c r="A182" s="1">
        <v>176</v>
      </c>
      <c r="B182" s="18" t="s">
        <v>524</v>
      </c>
      <c r="C182" s="17">
        <v>23</v>
      </c>
      <c r="D182" s="18" t="s">
        <v>56</v>
      </c>
      <c r="E182" s="17" t="s">
        <v>54</v>
      </c>
      <c r="F182" s="17">
        <v>18</v>
      </c>
      <c r="G182" s="17">
        <v>13</v>
      </c>
      <c r="H182" s="17">
        <v>25.1</v>
      </c>
      <c r="I182" s="17">
        <v>3.9</v>
      </c>
      <c r="J182" s="17">
        <v>7.3</v>
      </c>
      <c r="K182" s="17">
        <v>0.54200000000000004</v>
      </c>
      <c r="L182" s="17">
        <v>1.4</v>
      </c>
      <c r="M182" s="17">
        <v>3.4</v>
      </c>
      <c r="N182" s="17">
        <v>0.40300000000000002</v>
      </c>
      <c r="O182" s="17">
        <v>2.6</v>
      </c>
      <c r="P182" s="17">
        <v>3.8</v>
      </c>
      <c r="Q182" s="17">
        <v>0.66700000000000004</v>
      </c>
      <c r="R182" s="17">
        <v>0.63700000000000001</v>
      </c>
      <c r="S182" s="17">
        <v>0.7</v>
      </c>
      <c r="T182" s="17">
        <v>1.1000000000000001</v>
      </c>
      <c r="U182" s="17">
        <v>0.63200000000000001</v>
      </c>
      <c r="V182" s="17">
        <v>2.1</v>
      </c>
      <c r="W182" s="17">
        <v>4.0999999999999996</v>
      </c>
      <c r="X182" s="17">
        <v>6.2</v>
      </c>
      <c r="Y182" s="17">
        <v>1.2</v>
      </c>
      <c r="Z182" s="17">
        <v>1.2</v>
      </c>
      <c r="AA182" s="17">
        <v>0.8</v>
      </c>
      <c r="AB182" s="17">
        <v>1.1000000000000001</v>
      </c>
      <c r="AC182" s="17">
        <v>2.5</v>
      </c>
      <c r="AD182" s="17">
        <v>9.9</v>
      </c>
      <c r="AE182" s="17"/>
      <c r="AG182" s="8" t="str">
        <v>Dalton Knecht</v>
      </c>
      <c r="AH182" s="8" t="str">
        <v>LAL</v>
      </c>
    </row>
    <row r="183" spans="1:34" ht="17" x14ac:dyDescent="0.2">
      <c r="A183" s="1">
        <v>177</v>
      </c>
      <c r="B183" s="18" t="s">
        <v>160</v>
      </c>
      <c r="C183" s="17">
        <v>31</v>
      </c>
      <c r="D183" s="17" t="s">
        <v>610</v>
      </c>
      <c r="E183" s="17" t="s">
        <v>27</v>
      </c>
      <c r="F183" s="17">
        <v>25</v>
      </c>
      <c r="G183" s="17">
        <v>20</v>
      </c>
      <c r="H183" s="17">
        <v>28</v>
      </c>
      <c r="I183" s="17">
        <v>3.4</v>
      </c>
      <c r="J183" s="17">
        <v>7.5</v>
      </c>
      <c r="K183" s="17">
        <v>0.46</v>
      </c>
      <c r="L183" s="17">
        <v>2.2000000000000002</v>
      </c>
      <c r="M183" s="17">
        <v>5.0999999999999996</v>
      </c>
      <c r="N183" s="17">
        <v>0.433</v>
      </c>
      <c r="O183" s="17">
        <v>1.2</v>
      </c>
      <c r="P183" s="17">
        <v>2.4</v>
      </c>
      <c r="Q183" s="17">
        <v>0.51700000000000002</v>
      </c>
      <c r="R183" s="17">
        <v>0.60699999999999998</v>
      </c>
      <c r="S183" s="17">
        <v>0.7</v>
      </c>
      <c r="T183" s="17">
        <v>1.1000000000000001</v>
      </c>
      <c r="U183" s="17">
        <v>0.66700000000000004</v>
      </c>
      <c r="V183" s="17">
        <v>1.6</v>
      </c>
      <c r="W183" s="17">
        <v>2.7</v>
      </c>
      <c r="X183" s="17">
        <v>4.3</v>
      </c>
      <c r="Y183" s="17">
        <v>1.5</v>
      </c>
      <c r="Z183" s="17">
        <v>0.8</v>
      </c>
      <c r="AA183" s="17">
        <v>0.5</v>
      </c>
      <c r="AB183" s="17">
        <v>0.8</v>
      </c>
      <c r="AC183" s="17">
        <v>2.7</v>
      </c>
      <c r="AD183" s="17">
        <v>9.8000000000000007</v>
      </c>
      <c r="AE183" s="17"/>
      <c r="AG183" s="8" t="str">
        <v>Miles McBride</v>
      </c>
      <c r="AH183" s="8" t="str">
        <v>NYK</v>
      </c>
    </row>
    <row r="184" spans="1:34" ht="17" x14ac:dyDescent="0.2">
      <c r="A184" s="20">
        <v>177</v>
      </c>
      <c r="B184" s="18" t="s">
        <v>160</v>
      </c>
      <c r="C184" s="21">
        <v>31</v>
      </c>
      <c r="D184" s="18" t="s">
        <v>95</v>
      </c>
      <c r="E184" s="21" t="s">
        <v>27</v>
      </c>
      <c r="F184" s="21">
        <v>20</v>
      </c>
      <c r="G184" s="21">
        <v>20</v>
      </c>
      <c r="H184" s="21">
        <v>29</v>
      </c>
      <c r="I184" s="21">
        <v>3.7</v>
      </c>
      <c r="J184" s="21">
        <v>8</v>
      </c>
      <c r="K184" s="21">
        <v>0.45900000000000002</v>
      </c>
      <c r="L184" s="21">
        <v>2.4</v>
      </c>
      <c r="M184" s="21">
        <v>5.4</v>
      </c>
      <c r="N184" s="21">
        <v>0.435</v>
      </c>
      <c r="O184" s="21">
        <v>1.3</v>
      </c>
      <c r="P184" s="21">
        <v>2.6</v>
      </c>
      <c r="Q184" s="21">
        <v>0.51</v>
      </c>
      <c r="R184" s="21">
        <v>0.60699999999999998</v>
      </c>
      <c r="S184" s="21">
        <v>0.8</v>
      </c>
      <c r="T184" s="21">
        <v>1.2</v>
      </c>
      <c r="U184" s="21">
        <v>0.625</v>
      </c>
      <c r="V184" s="21">
        <v>1.6</v>
      </c>
      <c r="W184" s="21">
        <v>3</v>
      </c>
      <c r="X184" s="21">
        <v>4.5999999999999996</v>
      </c>
      <c r="Y184" s="21">
        <v>1.6</v>
      </c>
      <c r="Z184" s="21">
        <v>0.9</v>
      </c>
      <c r="AA184" s="21">
        <v>0.6</v>
      </c>
      <c r="AB184" s="21">
        <v>0.9</v>
      </c>
      <c r="AC184" s="21">
        <v>2.7</v>
      </c>
      <c r="AD184" s="21">
        <v>10.4</v>
      </c>
      <c r="AE184" s="21"/>
      <c r="AG184" s="8" t="str">
        <v>Gary Trent Jr.</v>
      </c>
      <c r="AH184" s="8" t="str">
        <v>MIL</v>
      </c>
    </row>
    <row r="185" spans="1:34" ht="17" x14ac:dyDescent="0.2">
      <c r="A185" s="20">
        <v>177</v>
      </c>
      <c r="B185" s="18" t="s">
        <v>160</v>
      </c>
      <c r="C185" s="21">
        <v>31</v>
      </c>
      <c r="D185" s="18" t="s">
        <v>116</v>
      </c>
      <c r="E185" s="21" t="s">
        <v>27</v>
      </c>
      <c r="F185" s="21">
        <v>5</v>
      </c>
      <c r="G185" s="21">
        <v>0</v>
      </c>
      <c r="H185" s="21">
        <v>24.4</v>
      </c>
      <c r="I185" s="21">
        <v>2.6</v>
      </c>
      <c r="J185" s="21">
        <v>5.6</v>
      </c>
      <c r="K185" s="21">
        <v>0.46400000000000002</v>
      </c>
      <c r="L185" s="21">
        <v>1.6</v>
      </c>
      <c r="M185" s="21">
        <v>3.8</v>
      </c>
      <c r="N185" s="21">
        <v>0.42099999999999999</v>
      </c>
      <c r="O185" s="21">
        <v>1</v>
      </c>
      <c r="P185" s="21">
        <v>1.8</v>
      </c>
      <c r="Q185" s="21">
        <v>0.55600000000000005</v>
      </c>
      <c r="R185" s="21">
        <v>0.60699999999999998</v>
      </c>
      <c r="S185" s="21">
        <v>0.6</v>
      </c>
      <c r="T185" s="21">
        <v>0.6</v>
      </c>
      <c r="U185" s="21">
        <v>1</v>
      </c>
      <c r="V185" s="21">
        <v>1.6</v>
      </c>
      <c r="W185" s="21">
        <v>1.6</v>
      </c>
      <c r="X185" s="21">
        <v>3.2</v>
      </c>
      <c r="Y185" s="21">
        <v>1.2</v>
      </c>
      <c r="Z185" s="21">
        <v>0.6</v>
      </c>
      <c r="AA185" s="21">
        <v>0</v>
      </c>
      <c r="AB185" s="21">
        <v>0.4</v>
      </c>
      <c r="AC185" s="21">
        <v>2.8</v>
      </c>
      <c r="AD185" s="21">
        <v>7.4</v>
      </c>
      <c r="AE185" s="21"/>
      <c r="AG185" s="8" t="str">
        <v>Derrick Jones Jr.</v>
      </c>
      <c r="AH185" s="8" t="str">
        <v>LAC</v>
      </c>
    </row>
    <row r="186" spans="1:34" ht="17" x14ac:dyDescent="0.2">
      <c r="A186" s="1">
        <v>178</v>
      </c>
      <c r="B186" s="18" t="s">
        <v>121</v>
      </c>
      <c r="C186" s="17">
        <v>25</v>
      </c>
      <c r="D186" s="18" t="s">
        <v>95</v>
      </c>
      <c r="E186" s="17" t="s">
        <v>29</v>
      </c>
      <c r="F186" s="17">
        <v>31</v>
      </c>
      <c r="G186" s="17">
        <v>23</v>
      </c>
      <c r="H186" s="17">
        <v>26.1</v>
      </c>
      <c r="I186" s="17">
        <v>4.3</v>
      </c>
      <c r="J186" s="17">
        <v>7.7</v>
      </c>
      <c r="K186" s="17">
        <v>0.55200000000000005</v>
      </c>
      <c r="L186" s="17">
        <v>0</v>
      </c>
      <c r="M186" s="17">
        <v>0.4</v>
      </c>
      <c r="N186" s="17">
        <v>8.3000000000000004E-2</v>
      </c>
      <c r="O186" s="17">
        <v>4.2</v>
      </c>
      <c r="P186" s="17">
        <v>7.3</v>
      </c>
      <c r="Q186" s="17">
        <v>0.57699999999999996</v>
      </c>
      <c r="R186" s="17">
        <v>0.55400000000000005</v>
      </c>
      <c r="S186" s="17">
        <v>1.3</v>
      </c>
      <c r="T186" s="17">
        <v>2.2999999999999998</v>
      </c>
      <c r="U186" s="17">
        <v>0.55600000000000005</v>
      </c>
      <c r="V186" s="17">
        <v>1.9</v>
      </c>
      <c r="W186" s="17">
        <v>5.6</v>
      </c>
      <c r="X186" s="17">
        <v>7.5</v>
      </c>
      <c r="Y186" s="17">
        <v>2</v>
      </c>
      <c r="Z186" s="17">
        <v>0.9</v>
      </c>
      <c r="AA186" s="17">
        <v>1.2</v>
      </c>
      <c r="AB186" s="17">
        <v>1.2</v>
      </c>
      <c r="AC186" s="17">
        <v>2.2999999999999998</v>
      </c>
      <c r="AD186" s="17">
        <v>9.8000000000000007</v>
      </c>
      <c r="AE186" s="17"/>
      <c r="AG186" s="8" t="str">
        <v>Kevin Porter Jr.</v>
      </c>
      <c r="AH186" s="8" t="str">
        <v>LAC</v>
      </c>
    </row>
    <row r="187" spans="1:34" ht="17" x14ac:dyDescent="0.2">
      <c r="A187" s="1">
        <v>179</v>
      </c>
      <c r="B187" s="18" t="s">
        <v>146</v>
      </c>
      <c r="C187" s="17">
        <v>25</v>
      </c>
      <c r="D187" s="18" t="s">
        <v>81</v>
      </c>
      <c r="E187" s="17" t="s">
        <v>54</v>
      </c>
      <c r="F187" s="17">
        <v>35</v>
      </c>
      <c r="G187" s="17">
        <v>35</v>
      </c>
      <c r="H187" s="17">
        <v>29.8</v>
      </c>
      <c r="I187" s="17">
        <v>3.3</v>
      </c>
      <c r="J187" s="17">
        <v>8.3000000000000007</v>
      </c>
      <c r="K187" s="17">
        <v>0.40100000000000002</v>
      </c>
      <c r="L187" s="17">
        <v>2.2999999999999998</v>
      </c>
      <c r="M187" s="17">
        <v>5.6</v>
      </c>
      <c r="N187" s="17">
        <v>0.40100000000000002</v>
      </c>
      <c r="O187" s="17">
        <v>1.1000000000000001</v>
      </c>
      <c r="P187" s="17">
        <v>2.7</v>
      </c>
      <c r="Q187" s="17">
        <v>0.4</v>
      </c>
      <c r="R187" s="17">
        <v>0.53600000000000003</v>
      </c>
      <c r="S187" s="17">
        <v>0.9</v>
      </c>
      <c r="T187" s="17">
        <v>1.1000000000000001</v>
      </c>
      <c r="U187" s="17">
        <v>0.81100000000000005</v>
      </c>
      <c r="V187" s="17">
        <v>1.4</v>
      </c>
      <c r="W187" s="17">
        <v>3.1</v>
      </c>
      <c r="X187" s="17">
        <v>4.5</v>
      </c>
      <c r="Y187" s="17">
        <v>1.6</v>
      </c>
      <c r="Z187" s="17">
        <v>1.1000000000000001</v>
      </c>
      <c r="AA187" s="17">
        <v>0.8</v>
      </c>
      <c r="AB187" s="17">
        <v>0.7</v>
      </c>
      <c r="AC187" s="17">
        <v>3.1</v>
      </c>
      <c r="AD187" s="17">
        <v>9.8000000000000007</v>
      </c>
      <c r="AE187" s="17"/>
      <c r="AG187" s="8" t="str">
        <v>Patrick Williams</v>
      </c>
      <c r="AH187" s="8" t="str">
        <v>CHI</v>
      </c>
    </row>
    <row r="188" spans="1:34" ht="17" x14ac:dyDescent="0.2">
      <c r="A188" s="1">
        <v>180</v>
      </c>
      <c r="B188" s="18" t="s">
        <v>541</v>
      </c>
      <c r="C188" s="17">
        <v>23</v>
      </c>
      <c r="D188" s="18" t="s">
        <v>116</v>
      </c>
      <c r="E188" s="17" t="s">
        <v>54</v>
      </c>
      <c r="F188" s="17">
        <v>36</v>
      </c>
      <c r="G188" s="17">
        <v>12</v>
      </c>
      <c r="H188" s="17">
        <v>21.9</v>
      </c>
      <c r="I188" s="17">
        <v>3.6</v>
      </c>
      <c r="J188" s="17">
        <v>7.8</v>
      </c>
      <c r="K188" s="17">
        <v>0.46600000000000003</v>
      </c>
      <c r="L188" s="17">
        <v>1.6</v>
      </c>
      <c r="M188" s="17">
        <v>4.5999999999999996</v>
      </c>
      <c r="N188" s="17">
        <v>0.35499999999999998</v>
      </c>
      <c r="O188" s="17">
        <v>2</v>
      </c>
      <c r="P188" s="17">
        <v>3.1</v>
      </c>
      <c r="Q188" s="17">
        <v>0.628</v>
      </c>
      <c r="R188" s="17">
        <v>0.57199999999999995</v>
      </c>
      <c r="S188" s="17">
        <v>0.9</v>
      </c>
      <c r="T188" s="17">
        <v>1.2</v>
      </c>
      <c r="U188" s="17">
        <v>0.78600000000000003</v>
      </c>
      <c r="V188" s="17">
        <v>0.6</v>
      </c>
      <c r="W188" s="17">
        <v>2.6</v>
      </c>
      <c r="X188" s="17">
        <v>3.3</v>
      </c>
      <c r="Y188" s="17">
        <v>1</v>
      </c>
      <c r="Z188" s="17">
        <v>0.4</v>
      </c>
      <c r="AA188" s="17">
        <v>0.1</v>
      </c>
      <c r="AB188" s="17">
        <v>0.6</v>
      </c>
      <c r="AC188" s="17">
        <v>1.3</v>
      </c>
      <c r="AD188" s="17">
        <v>9.8000000000000007</v>
      </c>
      <c r="AE188" s="17"/>
      <c r="AG188" s="8" t="str">
        <v>Toumani Camara</v>
      </c>
      <c r="AH188" s="8" t="str">
        <v>POR</v>
      </c>
    </row>
    <row r="189" spans="1:34" ht="17" x14ac:dyDescent="0.2">
      <c r="A189" s="1">
        <v>181</v>
      </c>
      <c r="B189" s="18" t="s">
        <v>277</v>
      </c>
      <c r="C189" s="17">
        <v>24</v>
      </c>
      <c r="D189" s="18" t="s">
        <v>31</v>
      </c>
      <c r="E189" s="17" t="s">
        <v>46</v>
      </c>
      <c r="F189" s="17">
        <v>28</v>
      </c>
      <c r="G189" s="17">
        <v>0</v>
      </c>
      <c r="H189" s="17">
        <v>24.5</v>
      </c>
      <c r="I189" s="17">
        <v>3.4</v>
      </c>
      <c r="J189" s="17">
        <v>8.1</v>
      </c>
      <c r="K189" s="17">
        <v>0.42499999999999999</v>
      </c>
      <c r="L189" s="17">
        <v>1.9</v>
      </c>
      <c r="M189" s="17">
        <v>4.7</v>
      </c>
      <c r="N189" s="17">
        <v>0.40200000000000002</v>
      </c>
      <c r="O189" s="17">
        <v>1.5</v>
      </c>
      <c r="P189" s="17">
        <v>3.4</v>
      </c>
      <c r="Q189" s="17">
        <v>0.45700000000000002</v>
      </c>
      <c r="R189" s="17">
        <v>0.54200000000000004</v>
      </c>
      <c r="S189" s="17">
        <v>1</v>
      </c>
      <c r="T189" s="17">
        <v>1.3</v>
      </c>
      <c r="U189" s="17">
        <v>0.8</v>
      </c>
      <c r="V189" s="17">
        <v>0.8</v>
      </c>
      <c r="W189" s="17">
        <v>1.9</v>
      </c>
      <c r="X189" s="17">
        <v>2.6</v>
      </c>
      <c r="Y189" s="17">
        <v>3</v>
      </c>
      <c r="Z189" s="17">
        <v>0.9</v>
      </c>
      <c r="AA189" s="17">
        <v>0.2</v>
      </c>
      <c r="AB189" s="17">
        <v>0.9</v>
      </c>
      <c r="AC189" s="17">
        <v>1.6</v>
      </c>
      <c r="AD189" s="17">
        <v>9.8000000000000007</v>
      </c>
      <c r="AE189" s="17"/>
      <c r="AG189" s="8" t="str">
        <v>Clint Capela</v>
      </c>
      <c r="AH189" s="8" t="str">
        <v>ATL</v>
      </c>
    </row>
    <row r="190" spans="1:34" ht="17" x14ac:dyDescent="0.2">
      <c r="A190" s="1">
        <v>182</v>
      </c>
      <c r="B190" s="18" t="s">
        <v>396</v>
      </c>
      <c r="C190" s="17">
        <v>26</v>
      </c>
      <c r="D190" s="18" t="s">
        <v>50</v>
      </c>
      <c r="E190" s="17" t="s">
        <v>35</v>
      </c>
      <c r="F190" s="17">
        <v>33</v>
      </c>
      <c r="G190" s="17">
        <v>7</v>
      </c>
      <c r="H190" s="17">
        <v>24.6</v>
      </c>
      <c r="I190" s="17">
        <v>3.4</v>
      </c>
      <c r="J190" s="17">
        <v>7.8</v>
      </c>
      <c r="K190" s="17">
        <v>0.438</v>
      </c>
      <c r="L190" s="17">
        <v>2.1</v>
      </c>
      <c r="M190" s="17">
        <v>5</v>
      </c>
      <c r="N190" s="17">
        <v>0.42399999999999999</v>
      </c>
      <c r="O190" s="17">
        <v>1.3</v>
      </c>
      <c r="P190" s="17">
        <v>2.8</v>
      </c>
      <c r="Q190" s="17">
        <v>0.46200000000000002</v>
      </c>
      <c r="R190" s="17">
        <v>0.57399999999999995</v>
      </c>
      <c r="S190" s="17">
        <v>0.9</v>
      </c>
      <c r="T190" s="17">
        <v>1</v>
      </c>
      <c r="U190" s="17">
        <v>0.90600000000000003</v>
      </c>
      <c r="V190" s="17">
        <v>0.2</v>
      </c>
      <c r="W190" s="17">
        <v>2.1</v>
      </c>
      <c r="X190" s="17">
        <v>2.2000000000000002</v>
      </c>
      <c r="Y190" s="17">
        <v>0.9</v>
      </c>
      <c r="Z190" s="17">
        <v>1.1000000000000001</v>
      </c>
      <c r="AA190" s="17">
        <v>0</v>
      </c>
      <c r="AB190" s="17">
        <v>0.6</v>
      </c>
      <c r="AC190" s="17">
        <v>2</v>
      </c>
      <c r="AD190" s="17">
        <v>9.8000000000000007</v>
      </c>
      <c r="AE190" s="17"/>
      <c r="AG190" s="8" t="str">
        <v>Jaden McDaniels</v>
      </c>
      <c r="AH190" s="8" t="str">
        <v>MIN</v>
      </c>
    </row>
    <row r="191" spans="1:34" ht="17" x14ac:dyDescent="0.2">
      <c r="A191" s="1">
        <v>183</v>
      </c>
      <c r="B191" s="18" t="s">
        <v>235</v>
      </c>
      <c r="C191" s="17">
        <v>27</v>
      </c>
      <c r="D191" s="18" t="s">
        <v>77</v>
      </c>
      <c r="E191" s="17" t="s">
        <v>54</v>
      </c>
      <c r="F191" s="17">
        <v>35</v>
      </c>
      <c r="G191" s="17">
        <v>33</v>
      </c>
      <c r="H191" s="17">
        <v>24.3</v>
      </c>
      <c r="I191" s="17">
        <v>3.9</v>
      </c>
      <c r="J191" s="17">
        <v>7.7</v>
      </c>
      <c r="K191" s="17">
        <v>0.502</v>
      </c>
      <c r="L191" s="17">
        <v>1</v>
      </c>
      <c r="M191" s="17">
        <v>2.8</v>
      </c>
      <c r="N191" s="17">
        <v>0.35399999999999998</v>
      </c>
      <c r="O191" s="17">
        <v>2.9</v>
      </c>
      <c r="P191" s="17">
        <v>4.9000000000000004</v>
      </c>
      <c r="Q191" s="17">
        <v>0.58799999999999997</v>
      </c>
      <c r="R191" s="17">
        <v>0.56699999999999995</v>
      </c>
      <c r="S191" s="17">
        <v>1</v>
      </c>
      <c r="T191" s="17">
        <v>1.1000000000000001</v>
      </c>
      <c r="U191" s="17">
        <v>0.85</v>
      </c>
      <c r="V191" s="17">
        <v>1.1000000000000001</v>
      </c>
      <c r="W191" s="17">
        <v>2.1</v>
      </c>
      <c r="X191" s="17">
        <v>3.3</v>
      </c>
      <c r="Y191" s="17">
        <v>0.9</v>
      </c>
      <c r="Z191" s="17">
        <v>1.3</v>
      </c>
      <c r="AA191" s="17">
        <v>0.3</v>
      </c>
      <c r="AB191" s="17">
        <v>0.9</v>
      </c>
      <c r="AC191" s="17">
        <v>2</v>
      </c>
      <c r="AD191" s="17">
        <v>9.6999999999999993</v>
      </c>
      <c r="AE191" s="17"/>
      <c r="AG191" s="8" t="str">
        <v>Chris Paul</v>
      </c>
      <c r="AH191" s="8" t="str">
        <v>SAS</v>
      </c>
    </row>
    <row r="192" spans="1:34" ht="17" x14ac:dyDescent="0.2">
      <c r="A192" s="1">
        <v>184</v>
      </c>
      <c r="B192" s="18" t="s">
        <v>543</v>
      </c>
      <c r="C192" s="17">
        <v>24</v>
      </c>
      <c r="D192" s="18" t="s">
        <v>77</v>
      </c>
      <c r="E192" s="17" t="s">
        <v>35</v>
      </c>
      <c r="F192" s="17">
        <v>33</v>
      </c>
      <c r="G192" s="17">
        <v>1</v>
      </c>
      <c r="H192" s="17">
        <v>19.8</v>
      </c>
      <c r="I192" s="17">
        <v>3.9</v>
      </c>
      <c r="J192" s="17">
        <v>9.3000000000000007</v>
      </c>
      <c r="K192" s="17">
        <v>0.42199999999999999</v>
      </c>
      <c r="L192" s="17">
        <v>0.6</v>
      </c>
      <c r="M192" s="17">
        <v>2.6</v>
      </c>
      <c r="N192" s="17">
        <v>0.247</v>
      </c>
      <c r="O192" s="17">
        <v>3.3</v>
      </c>
      <c r="P192" s="17">
        <v>6.7</v>
      </c>
      <c r="Q192" s="17">
        <v>0.48899999999999999</v>
      </c>
      <c r="R192" s="17">
        <v>0.45600000000000002</v>
      </c>
      <c r="S192" s="17">
        <v>1.3</v>
      </c>
      <c r="T192" s="17">
        <v>2</v>
      </c>
      <c r="U192" s="17">
        <v>0.627</v>
      </c>
      <c r="V192" s="17">
        <v>0.7</v>
      </c>
      <c r="W192" s="17">
        <v>2.9</v>
      </c>
      <c r="X192" s="17">
        <v>3.5</v>
      </c>
      <c r="Y192" s="17">
        <v>3.2</v>
      </c>
      <c r="Z192" s="17">
        <v>1</v>
      </c>
      <c r="AA192" s="17">
        <v>0.3</v>
      </c>
      <c r="AB192" s="17">
        <v>2.1</v>
      </c>
      <c r="AC192" s="17">
        <v>1.7</v>
      </c>
      <c r="AD192" s="17">
        <v>9.6999999999999993</v>
      </c>
      <c r="AE192" s="17"/>
      <c r="AG192" s="8" t="str">
        <v>Spencer Dinwiddie</v>
      </c>
      <c r="AH192" s="8" t="str">
        <v>DAL</v>
      </c>
    </row>
    <row r="193" spans="1:34" ht="17" x14ac:dyDescent="0.2">
      <c r="A193" s="1">
        <v>185</v>
      </c>
      <c r="B193" s="18" t="s">
        <v>429</v>
      </c>
      <c r="C193" s="17">
        <v>23</v>
      </c>
      <c r="D193" s="18" t="s">
        <v>84</v>
      </c>
      <c r="E193" s="17" t="s">
        <v>27</v>
      </c>
      <c r="F193" s="17">
        <v>27</v>
      </c>
      <c r="G193" s="17">
        <v>26</v>
      </c>
      <c r="H193" s="17">
        <v>27.3</v>
      </c>
      <c r="I193" s="17">
        <v>3.3</v>
      </c>
      <c r="J193" s="17">
        <v>8.5</v>
      </c>
      <c r="K193" s="17">
        <v>0.39100000000000001</v>
      </c>
      <c r="L193" s="17">
        <v>1.8</v>
      </c>
      <c r="M193" s="17">
        <v>4.7</v>
      </c>
      <c r="N193" s="17">
        <v>0.375</v>
      </c>
      <c r="O193" s="17">
        <v>1.6</v>
      </c>
      <c r="P193" s="17">
        <v>3.8</v>
      </c>
      <c r="Q193" s="17">
        <v>0.41199999999999998</v>
      </c>
      <c r="R193" s="17">
        <v>0.496</v>
      </c>
      <c r="S193" s="17">
        <v>1.3</v>
      </c>
      <c r="T193" s="17">
        <v>1.6</v>
      </c>
      <c r="U193" s="17">
        <v>0.83299999999999996</v>
      </c>
      <c r="V193" s="17">
        <v>0.7</v>
      </c>
      <c r="W193" s="17">
        <v>3.4</v>
      </c>
      <c r="X193" s="17">
        <v>4.0999999999999996</v>
      </c>
      <c r="Y193" s="17">
        <v>2.2000000000000002</v>
      </c>
      <c r="Z193" s="17">
        <v>0.9</v>
      </c>
      <c r="AA193" s="17">
        <v>0.6</v>
      </c>
      <c r="AB193" s="17">
        <v>1.5</v>
      </c>
      <c r="AC193" s="17">
        <v>1.4</v>
      </c>
      <c r="AD193" s="17">
        <v>9.6999999999999993</v>
      </c>
      <c r="AE193" s="17"/>
      <c r="AG193" s="8" t="str">
        <v>Jalen Duren</v>
      </c>
      <c r="AH193" s="8" t="str">
        <v>DET</v>
      </c>
    </row>
    <row r="194" spans="1:34" ht="17" x14ac:dyDescent="0.2">
      <c r="A194" s="1">
        <v>186</v>
      </c>
      <c r="B194" s="18" t="s">
        <v>110</v>
      </c>
      <c r="C194" s="17">
        <v>24</v>
      </c>
      <c r="D194" s="18" t="s">
        <v>58</v>
      </c>
      <c r="E194" s="17" t="s">
        <v>27</v>
      </c>
      <c r="F194" s="17">
        <v>36</v>
      </c>
      <c r="G194" s="17">
        <v>36</v>
      </c>
      <c r="H194" s="17">
        <v>31.1</v>
      </c>
      <c r="I194" s="17">
        <v>3.6</v>
      </c>
      <c r="J194" s="17">
        <v>8.3000000000000007</v>
      </c>
      <c r="K194" s="17">
        <v>0.434</v>
      </c>
      <c r="L194" s="17">
        <v>1.5</v>
      </c>
      <c r="M194" s="17">
        <v>4.3</v>
      </c>
      <c r="N194" s="17">
        <v>0.35099999999999998</v>
      </c>
      <c r="O194" s="17">
        <v>2.1</v>
      </c>
      <c r="P194" s="17">
        <v>4</v>
      </c>
      <c r="Q194" s="17">
        <v>0.52400000000000002</v>
      </c>
      <c r="R194" s="17">
        <v>0.52500000000000002</v>
      </c>
      <c r="S194" s="17">
        <v>0.9</v>
      </c>
      <c r="T194" s="17">
        <v>1.2</v>
      </c>
      <c r="U194" s="17">
        <v>0.76700000000000002</v>
      </c>
      <c r="V194" s="17">
        <v>2.1</v>
      </c>
      <c r="W194" s="17">
        <v>3.3</v>
      </c>
      <c r="X194" s="17">
        <v>5.4</v>
      </c>
      <c r="Y194" s="17">
        <v>2</v>
      </c>
      <c r="Z194" s="17">
        <v>1.4</v>
      </c>
      <c r="AA194" s="17">
        <v>0.5</v>
      </c>
      <c r="AB194" s="17">
        <v>1.5</v>
      </c>
      <c r="AC194" s="17">
        <v>2.9</v>
      </c>
      <c r="AD194" s="17">
        <v>9.6</v>
      </c>
      <c r="AE194" s="17"/>
      <c r="AG194" s="8" t="str">
        <v>Jaime Jaquez Jr.</v>
      </c>
      <c r="AH194" s="8" t="str">
        <v>MIA</v>
      </c>
    </row>
    <row r="195" spans="1:34" ht="17" x14ac:dyDescent="0.2">
      <c r="A195" s="1">
        <v>187</v>
      </c>
      <c r="B195" s="18" t="s">
        <v>111</v>
      </c>
      <c r="C195" s="17">
        <v>30</v>
      </c>
      <c r="D195" s="18" t="s">
        <v>82</v>
      </c>
      <c r="E195" s="17" t="s">
        <v>29</v>
      </c>
      <c r="F195" s="19">
        <v>38</v>
      </c>
      <c r="G195" s="17">
        <v>38</v>
      </c>
      <c r="H195" s="17">
        <v>22.9</v>
      </c>
      <c r="I195" s="17">
        <v>4.3</v>
      </c>
      <c r="J195" s="17">
        <v>7.5</v>
      </c>
      <c r="K195" s="17">
        <v>0.57699999999999996</v>
      </c>
      <c r="L195" s="17">
        <v>0</v>
      </c>
      <c r="M195" s="17">
        <v>0</v>
      </c>
      <c r="N195" s="17"/>
      <c r="O195" s="17">
        <v>4.3</v>
      </c>
      <c r="P195" s="17">
        <v>7.5</v>
      </c>
      <c r="Q195" s="17">
        <v>0.57699999999999996</v>
      </c>
      <c r="R195" s="17">
        <v>0.57699999999999996</v>
      </c>
      <c r="S195" s="17">
        <v>0.9</v>
      </c>
      <c r="T195" s="17">
        <v>1.8</v>
      </c>
      <c r="U195" s="17">
        <v>0.52200000000000002</v>
      </c>
      <c r="V195" s="17">
        <v>3.3</v>
      </c>
      <c r="W195" s="17">
        <v>5.7</v>
      </c>
      <c r="X195" s="17">
        <v>8.9</v>
      </c>
      <c r="Y195" s="17">
        <v>1.3</v>
      </c>
      <c r="Z195" s="17">
        <v>0.6</v>
      </c>
      <c r="AA195" s="17">
        <v>1</v>
      </c>
      <c r="AB195" s="17">
        <v>1</v>
      </c>
      <c r="AC195" s="17">
        <v>2</v>
      </c>
      <c r="AD195" s="17">
        <v>9.6</v>
      </c>
      <c r="AE195" s="17"/>
      <c r="AG195" s="8" t="str">
        <v>Nikola Jović</v>
      </c>
      <c r="AH195" s="8" t="str">
        <v>MIA</v>
      </c>
    </row>
    <row r="196" spans="1:34" ht="17" x14ac:dyDescent="0.2">
      <c r="A196" s="1">
        <v>188</v>
      </c>
      <c r="B196" s="18" t="s">
        <v>280</v>
      </c>
      <c r="C196" s="17">
        <v>24</v>
      </c>
      <c r="D196" s="18" t="s">
        <v>40</v>
      </c>
      <c r="E196" s="17" t="s">
        <v>27</v>
      </c>
      <c r="F196" s="17">
        <v>37</v>
      </c>
      <c r="G196" s="17">
        <v>37</v>
      </c>
      <c r="H196" s="17">
        <v>30</v>
      </c>
      <c r="I196" s="17">
        <v>3.8</v>
      </c>
      <c r="J196" s="17">
        <v>8.6999999999999993</v>
      </c>
      <c r="K196" s="17">
        <v>0.433</v>
      </c>
      <c r="L196" s="17">
        <v>1.2</v>
      </c>
      <c r="M196" s="17">
        <v>3.8</v>
      </c>
      <c r="N196" s="17">
        <v>0.32100000000000001</v>
      </c>
      <c r="O196" s="17">
        <v>2.6</v>
      </c>
      <c r="P196" s="17">
        <v>4.9000000000000004</v>
      </c>
      <c r="Q196" s="17">
        <v>0.51900000000000002</v>
      </c>
      <c r="R196" s="17">
        <v>0.503</v>
      </c>
      <c r="S196" s="17">
        <v>0.9</v>
      </c>
      <c r="T196" s="17">
        <v>1.1000000000000001</v>
      </c>
      <c r="U196" s="17">
        <v>0.76200000000000001</v>
      </c>
      <c r="V196" s="17">
        <v>1.4</v>
      </c>
      <c r="W196" s="17">
        <v>3.3</v>
      </c>
      <c r="X196" s="17">
        <v>4.7</v>
      </c>
      <c r="Y196" s="17">
        <v>1.5</v>
      </c>
      <c r="Z196" s="17">
        <v>1.4</v>
      </c>
      <c r="AA196" s="17">
        <v>0.7</v>
      </c>
      <c r="AB196" s="17">
        <v>1.1000000000000001</v>
      </c>
      <c r="AC196" s="17">
        <v>2.9</v>
      </c>
      <c r="AD196" s="17">
        <v>9.6</v>
      </c>
      <c r="AE196" s="17"/>
      <c r="AG196" s="8" t="str">
        <v>Larry Nance Jr.</v>
      </c>
      <c r="AH196" s="8" t="str">
        <v>ATL</v>
      </c>
    </row>
    <row r="197" spans="1:34" ht="17" x14ac:dyDescent="0.2">
      <c r="A197" s="1">
        <v>189</v>
      </c>
      <c r="B197" s="18" t="s">
        <v>319</v>
      </c>
      <c r="C197" s="17">
        <v>39</v>
      </c>
      <c r="D197" s="18" t="s">
        <v>70</v>
      </c>
      <c r="E197" s="17" t="s">
        <v>46</v>
      </c>
      <c r="F197" s="17">
        <v>37</v>
      </c>
      <c r="G197" s="17">
        <v>37</v>
      </c>
      <c r="H197" s="17">
        <v>29.1</v>
      </c>
      <c r="I197" s="17">
        <v>3.2</v>
      </c>
      <c r="J197" s="17">
        <v>7.8</v>
      </c>
      <c r="K197" s="17">
        <v>0.41699999999999998</v>
      </c>
      <c r="L197" s="17">
        <v>1.7</v>
      </c>
      <c r="M197" s="17">
        <v>4.8</v>
      </c>
      <c r="N197" s="17">
        <v>0.36</v>
      </c>
      <c r="O197" s="17">
        <v>1.5</v>
      </c>
      <c r="P197" s="17">
        <v>3</v>
      </c>
      <c r="Q197" s="17">
        <v>0.50900000000000001</v>
      </c>
      <c r="R197" s="17">
        <v>0.52800000000000002</v>
      </c>
      <c r="S197" s="17">
        <v>1.4</v>
      </c>
      <c r="T197" s="17">
        <v>1.4</v>
      </c>
      <c r="U197" s="17">
        <v>0.98099999999999998</v>
      </c>
      <c r="V197" s="17">
        <v>0.5</v>
      </c>
      <c r="W197" s="17">
        <v>3.8</v>
      </c>
      <c r="X197" s="17">
        <v>4.3</v>
      </c>
      <c r="Y197" s="17">
        <v>8.3000000000000007</v>
      </c>
      <c r="Z197" s="17">
        <v>1.4</v>
      </c>
      <c r="AA197" s="17">
        <v>0.2</v>
      </c>
      <c r="AB197" s="17">
        <v>1.7</v>
      </c>
      <c r="AC197" s="17">
        <v>1.8</v>
      </c>
      <c r="AD197" s="17">
        <v>9.6</v>
      </c>
      <c r="AE197" s="17"/>
      <c r="AG197" s="8" t="str">
        <v>Julian Strawther</v>
      </c>
      <c r="AH197" s="8" t="str">
        <v>DEN</v>
      </c>
    </row>
    <row r="198" spans="1:34" ht="17" x14ac:dyDescent="0.2">
      <c r="A198" s="1">
        <v>190</v>
      </c>
      <c r="B198" s="18" t="s">
        <v>143</v>
      </c>
      <c r="C198" s="17">
        <v>31</v>
      </c>
      <c r="D198" s="18" t="s">
        <v>100</v>
      </c>
      <c r="E198" s="17" t="s">
        <v>46</v>
      </c>
      <c r="F198" s="17">
        <v>36</v>
      </c>
      <c r="G198" s="17">
        <v>8</v>
      </c>
      <c r="H198" s="17">
        <v>23.6</v>
      </c>
      <c r="I198" s="17">
        <v>2.9</v>
      </c>
      <c r="J198" s="17">
        <v>7.3</v>
      </c>
      <c r="K198" s="17">
        <v>0.39</v>
      </c>
      <c r="L198" s="17">
        <v>1.3</v>
      </c>
      <c r="M198" s="17">
        <v>3.8</v>
      </c>
      <c r="N198" s="17">
        <v>0.33300000000000002</v>
      </c>
      <c r="O198" s="17">
        <v>1.6</v>
      </c>
      <c r="P198" s="17">
        <v>3.5</v>
      </c>
      <c r="Q198" s="17">
        <v>0.45200000000000001</v>
      </c>
      <c r="R198" s="17">
        <v>0.47699999999999998</v>
      </c>
      <c r="S198" s="17">
        <v>2.5</v>
      </c>
      <c r="T198" s="17">
        <v>2.9</v>
      </c>
      <c r="U198" s="17">
        <v>0.86399999999999999</v>
      </c>
      <c r="V198" s="17">
        <v>0.2</v>
      </c>
      <c r="W198" s="17">
        <v>2.1</v>
      </c>
      <c r="X198" s="17">
        <v>2.2999999999999998</v>
      </c>
      <c r="Y198" s="17">
        <v>3.5</v>
      </c>
      <c r="Z198" s="17">
        <v>0.8</v>
      </c>
      <c r="AA198" s="17">
        <v>0.2</v>
      </c>
      <c r="AB198" s="17">
        <v>1.1000000000000001</v>
      </c>
      <c r="AC198" s="17">
        <v>1.5</v>
      </c>
      <c r="AD198" s="17">
        <v>9.5</v>
      </c>
      <c r="AE198" s="17"/>
      <c r="AG198" s="8" t="str">
        <v>Cam Whitmore</v>
      </c>
      <c r="AH198" s="8" t="str">
        <v>HOU</v>
      </c>
    </row>
    <row r="199" spans="1:34" ht="17" x14ac:dyDescent="0.2">
      <c r="A199" s="1">
        <v>191</v>
      </c>
      <c r="B199" s="18" t="s">
        <v>152</v>
      </c>
      <c r="C199" s="17">
        <v>21</v>
      </c>
      <c r="D199" s="18" t="s">
        <v>60</v>
      </c>
      <c r="E199" s="17" t="s">
        <v>29</v>
      </c>
      <c r="F199" s="17">
        <v>35</v>
      </c>
      <c r="G199" s="17">
        <v>35</v>
      </c>
      <c r="H199" s="17">
        <v>25</v>
      </c>
      <c r="I199" s="17">
        <v>3.9</v>
      </c>
      <c r="J199" s="17">
        <v>5.8</v>
      </c>
      <c r="K199" s="17">
        <v>0.68</v>
      </c>
      <c r="L199" s="17">
        <v>0</v>
      </c>
      <c r="M199" s="17">
        <v>0</v>
      </c>
      <c r="N199" s="17"/>
      <c r="O199" s="17">
        <v>3.9</v>
      </c>
      <c r="P199" s="17">
        <v>5.8</v>
      </c>
      <c r="Q199" s="17">
        <v>0.68</v>
      </c>
      <c r="R199" s="17">
        <v>0.68</v>
      </c>
      <c r="S199" s="17">
        <v>1.6</v>
      </c>
      <c r="T199" s="17">
        <v>2.7</v>
      </c>
      <c r="U199" s="17">
        <v>0.60199999999999998</v>
      </c>
      <c r="V199" s="17">
        <v>3.2</v>
      </c>
      <c r="W199" s="17">
        <v>6.2</v>
      </c>
      <c r="X199" s="17">
        <v>9.4</v>
      </c>
      <c r="Y199" s="17">
        <v>2.2999999999999998</v>
      </c>
      <c r="Z199" s="17">
        <v>0.6</v>
      </c>
      <c r="AA199" s="17">
        <v>1.2</v>
      </c>
      <c r="AB199" s="17">
        <v>1.9</v>
      </c>
      <c r="AC199" s="17">
        <v>3.1</v>
      </c>
      <c r="AD199" s="17">
        <v>9.5</v>
      </c>
      <c r="AE199" s="17"/>
      <c r="AG199" s="8" t="str">
        <v>Noah Clowney</v>
      </c>
      <c r="AH199" s="8" t="str">
        <v>BRK</v>
      </c>
    </row>
    <row r="200" spans="1:34" ht="17" x14ac:dyDescent="0.2">
      <c r="A200" s="1">
        <v>192</v>
      </c>
      <c r="B200" s="18" t="s">
        <v>224</v>
      </c>
      <c r="C200" s="17">
        <v>23</v>
      </c>
      <c r="D200" s="18" t="s">
        <v>33</v>
      </c>
      <c r="E200" s="17" t="s">
        <v>54</v>
      </c>
      <c r="F200" s="17">
        <v>32</v>
      </c>
      <c r="G200" s="17">
        <v>7</v>
      </c>
      <c r="H200" s="17">
        <v>23.3</v>
      </c>
      <c r="I200" s="17">
        <v>3.5</v>
      </c>
      <c r="J200" s="17">
        <v>7.9</v>
      </c>
      <c r="K200" s="17">
        <v>0.439</v>
      </c>
      <c r="L200" s="17">
        <v>0.6</v>
      </c>
      <c r="M200" s="17">
        <v>2.1</v>
      </c>
      <c r="N200" s="17">
        <v>0.28399999999999997</v>
      </c>
      <c r="O200" s="17">
        <v>2.9</v>
      </c>
      <c r="P200" s="17">
        <v>5.8</v>
      </c>
      <c r="Q200" s="17">
        <v>0.495</v>
      </c>
      <c r="R200" s="17">
        <v>0.47599999999999998</v>
      </c>
      <c r="S200" s="17">
        <v>1.9</v>
      </c>
      <c r="T200" s="17">
        <v>2.7</v>
      </c>
      <c r="U200" s="17">
        <v>0.72099999999999997</v>
      </c>
      <c r="V200" s="17">
        <v>1.4</v>
      </c>
      <c r="W200" s="17">
        <v>3.5</v>
      </c>
      <c r="X200" s="17">
        <v>4.8</v>
      </c>
      <c r="Y200" s="17">
        <v>2.7</v>
      </c>
      <c r="Z200" s="17">
        <v>1.3</v>
      </c>
      <c r="AA200" s="17">
        <v>0.1</v>
      </c>
      <c r="AB200" s="17">
        <v>1.6</v>
      </c>
      <c r="AC200" s="17">
        <v>1.6</v>
      </c>
      <c r="AD200" s="17">
        <v>9.5</v>
      </c>
      <c r="AE200" s="17"/>
      <c r="AG200" s="8" t="str">
        <v>Brice Sensabaugh</v>
      </c>
      <c r="AH200" s="8" t="str">
        <v>UTA</v>
      </c>
    </row>
    <row r="201" spans="1:34" ht="17" x14ac:dyDescent="0.2">
      <c r="A201" s="1">
        <v>193</v>
      </c>
      <c r="B201" s="18" t="s">
        <v>241</v>
      </c>
      <c r="C201" s="17">
        <v>21</v>
      </c>
      <c r="D201" s="18" t="s">
        <v>33</v>
      </c>
      <c r="E201" s="17" t="s">
        <v>27</v>
      </c>
      <c r="F201" s="17">
        <v>27</v>
      </c>
      <c r="G201" s="17">
        <v>10</v>
      </c>
      <c r="H201" s="17">
        <v>21.7</v>
      </c>
      <c r="I201" s="17">
        <v>3.2</v>
      </c>
      <c r="J201" s="17">
        <v>7.2</v>
      </c>
      <c r="K201" s="17">
        <v>0.441</v>
      </c>
      <c r="L201" s="17">
        <v>1.3</v>
      </c>
      <c r="M201" s="17">
        <v>3.6</v>
      </c>
      <c r="N201" s="17">
        <v>0.35699999999999998</v>
      </c>
      <c r="O201" s="17">
        <v>1.9</v>
      </c>
      <c r="P201" s="17">
        <v>3.6</v>
      </c>
      <c r="Q201" s="17">
        <v>0.52600000000000002</v>
      </c>
      <c r="R201" s="17">
        <v>0.53100000000000003</v>
      </c>
      <c r="S201" s="17">
        <v>1.9</v>
      </c>
      <c r="T201" s="17">
        <v>2.2999999999999998</v>
      </c>
      <c r="U201" s="17">
        <v>0.82</v>
      </c>
      <c r="V201" s="17">
        <v>0.6</v>
      </c>
      <c r="W201" s="17">
        <v>3.1</v>
      </c>
      <c r="X201" s="17">
        <v>3.7</v>
      </c>
      <c r="Y201" s="17">
        <v>2.1</v>
      </c>
      <c r="Z201" s="17">
        <v>0.9</v>
      </c>
      <c r="AA201" s="17">
        <v>0.2</v>
      </c>
      <c r="AB201" s="17">
        <v>0.8</v>
      </c>
      <c r="AC201" s="17">
        <v>1.3</v>
      </c>
      <c r="AD201" s="17">
        <v>9.5</v>
      </c>
      <c r="AE201" s="17"/>
      <c r="AG201" s="8" t="str">
        <v>Aaron Wiggins</v>
      </c>
      <c r="AH201" s="8" t="str">
        <v>OKC</v>
      </c>
    </row>
    <row r="202" spans="1:34" ht="17" x14ac:dyDescent="0.2">
      <c r="A202" s="1">
        <v>194</v>
      </c>
      <c r="B202" s="18" t="s">
        <v>307</v>
      </c>
      <c r="C202" s="17">
        <v>32</v>
      </c>
      <c r="D202" s="18" t="s">
        <v>82</v>
      </c>
      <c r="E202" s="17" t="s">
        <v>27</v>
      </c>
      <c r="F202" s="17">
        <v>15</v>
      </c>
      <c r="G202" s="17">
        <v>2</v>
      </c>
      <c r="H202" s="17">
        <v>19.399999999999999</v>
      </c>
      <c r="I202" s="17">
        <v>3.7</v>
      </c>
      <c r="J202" s="17">
        <v>6.3</v>
      </c>
      <c r="K202" s="17">
        <v>0.58499999999999996</v>
      </c>
      <c r="L202" s="17">
        <v>1.7</v>
      </c>
      <c r="M202" s="17">
        <v>3.3</v>
      </c>
      <c r="N202" s="17">
        <v>0.52</v>
      </c>
      <c r="O202" s="17">
        <v>1.9</v>
      </c>
      <c r="P202" s="17">
        <v>2.9</v>
      </c>
      <c r="Q202" s="17">
        <v>0.65900000000000003</v>
      </c>
      <c r="R202" s="17">
        <v>0.72299999999999998</v>
      </c>
      <c r="S202" s="17">
        <v>0.5</v>
      </c>
      <c r="T202" s="17">
        <v>0.5</v>
      </c>
      <c r="U202" s="17">
        <v>0.875</v>
      </c>
      <c r="V202" s="17">
        <v>1.1000000000000001</v>
      </c>
      <c r="W202" s="17">
        <v>3.2</v>
      </c>
      <c r="X202" s="17">
        <v>4.3</v>
      </c>
      <c r="Y202" s="17">
        <v>1.6</v>
      </c>
      <c r="Z202" s="17">
        <v>1.1000000000000001</v>
      </c>
      <c r="AA202" s="17">
        <v>0.7</v>
      </c>
      <c r="AB202" s="17">
        <v>0.7</v>
      </c>
      <c r="AC202" s="17">
        <v>1.5</v>
      </c>
      <c r="AD202" s="17">
        <v>9.5</v>
      </c>
      <c r="AE202" s="17"/>
      <c r="AG202" s="8" t="str">
        <v>Kentavious Caldwell-Pope</v>
      </c>
      <c r="AH202" s="8" t="str">
        <v>ORL</v>
      </c>
    </row>
    <row r="203" spans="1:34" ht="17" x14ac:dyDescent="0.2">
      <c r="A203" s="1">
        <v>195</v>
      </c>
      <c r="B203" s="18" t="s">
        <v>381</v>
      </c>
      <c r="C203" s="17">
        <v>22</v>
      </c>
      <c r="D203" s="18" t="s">
        <v>93</v>
      </c>
      <c r="E203" s="17" t="s">
        <v>35</v>
      </c>
      <c r="F203" s="17">
        <v>36</v>
      </c>
      <c r="G203" s="17">
        <v>0</v>
      </c>
      <c r="H203" s="17">
        <v>21.5</v>
      </c>
      <c r="I203" s="17">
        <v>3.4</v>
      </c>
      <c r="J203" s="17">
        <v>7.4</v>
      </c>
      <c r="K203" s="17">
        <v>0.45500000000000002</v>
      </c>
      <c r="L203" s="17">
        <v>1.4</v>
      </c>
      <c r="M203" s="17">
        <v>3.9</v>
      </c>
      <c r="N203" s="17">
        <v>0.374</v>
      </c>
      <c r="O203" s="17">
        <v>1.9</v>
      </c>
      <c r="P203" s="17">
        <v>3.5</v>
      </c>
      <c r="Q203" s="17">
        <v>0.54300000000000004</v>
      </c>
      <c r="R203" s="17">
        <v>0.55300000000000005</v>
      </c>
      <c r="S203" s="17">
        <v>1.3</v>
      </c>
      <c r="T203" s="17">
        <v>1.5</v>
      </c>
      <c r="U203" s="17">
        <v>0.85499999999999998</v>
      </c>
      <c r="V203" s="17">
        <v>0.3</v>
      </c>
      <c r="W203" s="17">
        <v>2</v>
      </c>
      <c r="X203" s="17">
        <v>2.2999999999999998</v>
      </c>
      <c r="Y203" s="17">
        <v>1.4</v>
      </c>
      <c r="Z203" s="17">
        <v>0.7</v>
      </c>
      <c r="AA203" s="17">
        <v>0.3</v>
      </c>
      <c r="AB203" s="17">
        <v>0.8</v>
      </c>
      <c r="AC203" s="17">
        <v>2.4</v>
      </c>
      <c r="AD203" s="17">
        <v>9.5</v>
      </c>
      <c r="AE203" s="17"/>
      <c r="AG203" s="8" t="str">
        <v>Carlton Carrington</v>
      </c>
      <c r="AH203" s="8" t="str">
        <v>WAS</v>
      </c>
    </row>
    <row r="204" spans="1:34" ht="17" x14ac:dyDescent="0.2">
      <c r="A204" s="1">
        <v>196</v>
      </c>
      <c r="B204" s="18" t="s">
        <v>421</v>
      </c>
      <c r="C204" s="17">
        <v>20</v>
      </c>
      <c r="D204" s="18" t="s">
        <v>98</v>
      </c>
      <c r="E204" s="17" t="s">
        <v>54</v>
      </c>
      <c r="F204" s="17">
        <v>19</v>
      </c>
      <c r="G204" s="17">
        <v>0</v>
      </c>
      <c r="H204" s="17">
        <v>14.8</v>
      </c>
      <c r="I204" s="17">
        <v>3.6</v>
      </c>
      <c r="J204" s="17">
        <v>8.4</v>
      </c>
      <c r="K204" s="17">
        <v>0.42499999999999999</v>
      </c>
      <c r="L204" s="17">
        <v>1.1000000000000001</v>
      </c>
      <c r="M204" s="17">
        <v>3.7</v>
      </c>
      <c r="N204" s="17">
        <v>0.29599999999999999</v>
      </c>
      <c r="O204" s="17">
        <v>2.5</v>
      </c>
      <c r="P204" s="17">
        <v>4.7</v>
      </c>
      <c r="Q204" s="17">
        <v>0.52800000000000002</v>
      </c>
      <c r="R204" s="17">
        <v>0.49099999999999999</v>
      </c>
      <c r="S204" s="17">
        <v>1.2</v>
      </c>
      <c r="T204" s="17">
        <v>1.6</v>
      </c>
      <c r="U204" s="17">
        <v>0.74199999999999999</v>
      </c>
      <c r="V204" s="17">
        <v>0.7</v>
      </c>
      <c r="W204" s="17">
        <v>1.9</v>
      </c>
      <c r="X204" s="17">
        <v>2.6</v>
      </c>
      <c r="Y204" s="17">
        <v>0.5</v>
      </c>
      <c r="Z204" s="17">
        <v>0.6</v>
      </c>
      <c r="AA204" s="17">
        <v>0.2</v>
      </c>
      <c r="AB204" s="17">
        <v>0.6</v>
      </c>
      <c r="AC204" s="17">
        <v>0.7</v>
      </c>
      <c r="AD204" s="17">
        <v>9.5</v>
      </c>
      <c r="AE204" s="17"/>
      <c r="AG204" s="8" t="str">
        <v>Kevin Huerter</v>
      </c>
      <c r="AH204" s="8" t="str">
        <v>SAC</v>
      </c>
    </row>
    <row r="205" spans="1:34" ht="17" x14ac:dyDescent="0.2">
      <c r="A205" s="1">
        <v>197</v>
      </c>
      <c r="B205" s="18" t="s">
        <v>122</v>
      </c>
      <c r="C205" s="17">
        <v>20</v>
      </c>
      <c r="D205" s="18" t="s">
        <v>95</v>
      </c>
      <c r="E205" s="17" t="s">
        <v>27</v>
      </c>
      <c r="F205" s="17">
        <v>27</v>
      </c>
      <c r="G205" s="17">
        <v>8</v>
      </c>
      <c r="H205" s="17">
        <v>21.2</v>
      </c>
      <c r="I205" s="17">
        <v>3.1</v>
      </c>
      <c r="J205" s="17">
        <v>7.7</v>
      </c>
      <c r="K205" s="17">
        <v>0.40600000000000003</v>
      </c>
      <c r="L205" s="17">
        <v>2</v>
      </c>
      <c r="M205" s="17">
        <v>5.3</v>
      </c>
      <c r="N205" s="17">
        <v>0.38500000000000001</v>
      </c>
      <c r="O205" s="17">
        <v>1.1000000000000001</v>
      </c>
      <c r="P205" s="17">
        <v>2.4</v>
      </c>
      <c r="Q205" s="17">
        <v>0.45300000000000001</v>
      </c>
      <c r="R205" s="17">
        <v>0.53900000000000003</v>
      </c>
      <c r="S205" s="17">
        <v>1.2</v>
      </c>
      <c r="T205" s="17">
        <v>1.4</v>
      </c>
      <c r="U205" s="17">
        <v>0.84199999999999997</v>
      </c>
      <c r="V205" s="17">
        <v>0.9</v>
      </c>
      <c r="W205" s="17">
        <v>2.9</v>
      </c>
      <c r="X205" s="17">
        <v>3.8</v>
      </c>
      <c r="Y205" s="17">
        <v>0.9</v>
      </c>
      <c r="Z205" s="17">
        <v>0.4</v>
      </c>
      <c r="AA205" s="17">
        <v>0.4</v>
      </c>
      <c r="AB205" s="17">
        <v>1</v>
      </c>
      <c r="AC205" s="17">
        <v>2.6</v>
      </c>
      <c r="AD205" s="17">
        <v>9.4</v>
      </c>
      <c r="AE205" s="17"/>
      <c r="AG205" s="8" t="str">
        <v>Caleb Martin</v>
      </c>
      <c r="AH205" s="8" t="str">
        <v>PHI</v>
      </c>
    </row>
    <row r="206" spans="1:34" ht="17" x14ac:dyDescent="0.2">
      <c r="A206" s="1">
        <v>198</v>
      </c>
      <c r="B206" s="18" t="s">
        <v>365</v>
      </c>
      <c r="C206" s="17">
        <v>21</v>
      </c>
      <c r="D206" s="18" t="s">
        <v>36</v>
      </c>
      <c r="E206" s="17" t="s">
        <v>54</v>
      </c>
      <c r="F206" s="17">
        <v>28</v>
      </c>
      <c r="G206" s="17">
        <v>0</v>
      </c>
      <c r="H206" s="17">
        <v>17.5</v>
      </c>
      <c r="I206" s="17">
        <v>3.4</v>
      </c>
      <c r="J206" s="17">
        <v>7</v>
      </c>
      <c r="K206" s="17">
        <v>0.48199999999999998</v>
      </c>
      <c r="L206" s="17">
        <v>1.8</v>
      </c>
      <c r="M206" s="17">
        <v>4.2</v>
      </c>
      <c r="N206" s="17">
        <v>0.42699999999999999</v>
      </c>
      <c r="O206" s="17">
        <v>1.6</v>
      </c>
      <c r="P206" s="17">
        <v>2.9</v>
      </c>
      <c r="Q206" s="17">
        <v>0.56299999999999994</v>
      </c>
      <c r="R206" s="17">
        <v>0.60899999999999999</v>
      </c>
      <c r="S206" s="17">
        <v>0.9</v>
      </c>
      <c r="T206" s="17">
        <v>0.9</v>
      </c>
      <c r="U206" s="17">
        <v>0.92300000000000004</v>
      </c>
      <c r="V206" s="17">
        <v>0.7</v>
      </c>
      <c r="W206" s="17">
        <v>2.1</v>
      </c>
      <c r="X206" s="17">
        <v>2.8</v>
      </c>
      <c r="Y206" s="17">
        <v>1.3</v>
      </c>
      <c r="Z206" s="17">
        <v>0.6</v>
      </c>
      <c r="AA206" s="17">
        <v>0.1</v>
      </c>
      <c r="AB206" s="17">
        <v>1.4</v>
      </c>
      <c r="AC206" s="17">
        <v>1.3</v>
      </c>
      <c r="AD206" s="17">
        <v>9.4</v>
      </c>
      <c r="AE206" s="17"/>
      <c r="AG206" s="8" t="str">
        <v>Yves Missi</v>
      </c>
      <c r="AH206" s="8" t="str">
        <v>NOP</v>
      </c>
    </row>
    <row r="207" spans="1:34" ht="17" x14ac:dyDescent="0.2">
      <c r="A207" s="1">
        <v>199</v>
      </c>
      <c r="B207" s="18" t="s">
        <v>422</v>
      </c>
      <c r="C207" s="17">
        <v>26</v>
      </c>
      <c r="D207" s="18" t="s">
        <v>81</v>
      </c>
      <c r="E207" s="17" t="s">
        <v>35</v>
      </c>
      <c r="F207" s="17">
        <v>36</v>
      </c>
      <c r="G207" s="17">
        <v>10</v>
      </c>
      <c r="H207" s="17">
        <v>20.2</v>
      </c>
      <c r="I207" s="17">
        <v>3.7</v>
      </c>
      <c r="J207" s="17">
        <v>7.7</v>
      </c>
      <c r="K207" s="17">
        <v>0.47799999999999998</v>
      </c>
      <c r="L207" s="17">
        <v>1.5</v>
      </c>
      <c r="M207" s="17">
        <v>3.7</v>
      </c>
      <c r="N207" s="17">
        <v>0.39800000000000002</v>
      </c>
      <c r="O207" s="17">
        <v>2.2000000000000002</v>
      </c>
      <c r="P207" s="17">
        <v>4</v>
      </c>
      <c r="Q207" s="17">
        <v>0.55200000000000005</v>
      </c>
      <c r="R207" s="17">
        <v>0.57399999999999995</v>
      </c>
      <c r="S207" s="17">
        <v>0.6</v>
      </c>
      <c r="T207" s="17">
        <v>0.7</v>
      </c>
      <c r="U207" s="17">
        <v>0.84</v>
      </c>
      <c r="V207" s="17">
        <v>0.9</v>
      </c>
      <c r="W207" s="17">
        <v>2.2999999999999998</v>
      </c>
      <c r="X207" s="17">
        <v>3.2</v>
      </c>
      <c r="Y207" s="17">
        <v>1.4</v>
      </c>
      <c r="Z207" s="17">
        <v>0.8</v>
      </c>
      <c r="AA207" s="17">
        <v>0.3</v>
      </c>
      <c r="AB207" s="17">
        <v>0.8</v>
      </c>
      <c r="AC207" s="17">
        <v>1.2</v>
      </c>
      <c r="AD207" s="17">
        <v>9.4</v>
      </c>
      <c r="AE207" s="17"/>
      <c r="AG207" s="8" t="str">
        <v>Aaron Nesmith</v>
      </c>
      <c r="AH207" s="8" t="str">
        <v>IND</v>
      </c>
    </row>
    <row r="208" spans="1:34" ht="17" x14ac:dyDescent="0.2">
      <c r="A208" s="1">
        <v>200</v>
      </c>
      <c r="B208" s="18" t="s">
        <v>109</v>
      </c>
      <c r="C208" s="17">
        <v>31</v>
      </c>
      <c r="D208" s="18" t="s">
        <v>52</v>
      </c>
      <c r="E208" s="17" t="s">
        <v>35</v>
      </c>
      <c r="F208" s="19">
        <v>38</v>
      </c>
      <c r="G208" s="17">
        <v>38</v>
      </c>
      <c r="H208" s="17">
        <v>31</v>
      </c>
      <c r="I208" s="17">
        <v>3.2</v>
      </c>
      <c r="J208" s="17">
        <v>7.7</v>
      </c>
      <c r="K208" s="17">
        <v>0.42</v>
      </c>
      <c r="L208" s="17">
        <v>1.6</v>
      </c>
      <c r="M208" s="17">
        <v>4.9000000000000004</v>
      </c>
      <c r="N208" s="17">
        <v>0.317</v>
      </c>
      <c r="O208" s="17">
        <v>1.7</v>
      </c>
      <c r="P208" s="17">
        <v>2.8</v>
      </c>
      <c r="Q208" s="17">
        <v>0.59799999999999998</v>
      </c>
      <c r="R208" s="17">
        <v>0.52</v>
      </c>
      <c r="S208" s="17">
        <v>1.3</v>
      </c>
      <c r="T208" s="17">
        <v>1.4</v>
      </c>
      <c r="U208" s="17">
        <v>0.92300000000000004</v>
      </c>
      <c r="V208" s="17">
        <v>0.3</v>
      </c>
      <c r="W208" s="17">
        <v>1.7</v>
      </c>
      <c r="X208" s="17">
        <v>2</v>
      </c>
      <c r="Y208" s="17">
        <v>2</v>
      </c>
      <c r="Z208" s="17">
        <v>1.6</v>
      </c>
      <c r="AA208" s="17">
        <v>0.6</v>
      </c>
      <c r="AB208" s="17">
        <v>0.8</v>
      </c>
      <c r="AC208" s="17">
        <v>2.1</v>
      </c>
      <c r="AD208" s="17">
        <v>9.3000000000000007</v>
      </c>
      <c r="AE208" s="17"/>
      <c r="AG208" s="8" t="str">
        <v>Nick Richards</v>
      </c>
      <c r="AH208" s="8" t="str">
        <v>CHO</v>
      </c>
    </row>
    <row r="209" spans="1:34" ht="17" x14ac:dyDescent="0.2">
      <c r="A209" s="1">
        <v>201</v>
      </c>
      <c r="B209" s="18" t="s">
        <v>540</v>
      </c>
      <c r="C209" s="17">
        <v>19</v>
      </c>
      <c r="D209" s="18" t="s">
        <v>56</v>
      </c>
      <c r="E209" s="17" t="s">
        <v>46</v>
      </c>
      <c r="F209" s="17">
        <v>35</v>
      </c>
      <c r="G209" s="17">
        <v>26</v>
      </c>
      <c r="H209" s="17">
        <v>30.2</v>
      </c>
      <c r="I209" s="17">
        <v>3.5</v>
      </c>
      <c r="J209" s="17">
        <v>8.4</v>
      </c>
      <c r="K209" s="17">
        <v>0.42</v>
      </c>
      <c r="L209" s="17">
        <v>1.6</v>
      </c>
      <c r="M209" s="17">
        <v>4.5</v>
      </c>
      <c r="N209" s="17">
        <v>0.35899999999999999</v>
      </c>
      <c r="O209" s="17">
        <v>1.9</v>
      </c>
      <c r="P209" s="17">
        <v>3.9</v>
      </c>
      <c r="Q209" s="17">
        <v>0.48899999999999999</v>
      </c>
      <c r="R209" s="17">
        <v>0.51500000000000001</v>
      </c>
      <c r="S209" s="17">
        <v>0.6</v>
      </c>
      <c r="T209" s="17">
        <v>0.8</v>
      </c>
      <c r="U209" s="17">
        <v>0.78600000000000003</v>
      </c>
      <c r="V209" s="17">
        <v>0.3</v>
      </c>
      <c r="W209" s="17">
        <v>3.9</v>
      </c>
      <c r="X209" s="17">
        <v>4.3</v>
      </c>
      <c r="Y209" s="17">
        <v>4.0999999999999996</v>
      </c>
      <c r="Z209" s="17">
        <v>0.7</v>
      </c>
      <c r="AA209" s="17">
        <v>0.2</v>
      </c>
      <c r="AB209" s="17">
        <v>1.7</v>
      </c>
      <c r="AC209" s="17">
        <v>2.7</v>
      </c>
      <c r="AD209" s="17">
        <v>9.3000000000000007</v>
      </c>
      <c r="AE209" s="17"/>
      <c r="AG209" s="8" t="str">
        <v>Marcus Smart</v>
      </c>
      <c r="AH209" s="8" t="str">
        <v>MEM</v>
      </c>
    </row>
    <row r="210" spans="1:34" ht="17" x14ac:dyDescent="0.2">
      <c r="A210" s="1">
        <v>202</v>
      </c>
      <c r="B210" s="18" t="s">
        <v>209</v>
      </c>
      <c r="C210" s="17">
        <v>26</v>
      </c>
      <c r="D210" s="18" t="s">
        <v>72</v>
      </c>
      <c r="E210" s="17" t="s">
        <v>35</v>
      </c>
      <c r="F210" s="17">
        <v>33</v>
      </c>
      <c r="G210" s="17">
        <v>15</v>
      </c>
      <c r="H210" s="17">
        <v>24.1</v>
      </c>
      <c r="I210" s="17">
        <v>3.5</v>
      </c>
      <c r="J210" s="17">
        <v>8.1</v>
      </c>
      <c r="K210" s="17">
        <v>0.42499999999999999</v>
      </c>
      <c r="L210" s="17">
        <v>1.7</v>
      </c>
      <c r="M210" s="17">
        <v>5.4</v>
      </c>
      <c r="N210" s="17">
        <v>0.315</v>
      </c>
      <c r="O210" s="17">
        <v>1.8</v>
      </c>
      <c r="P210" s="17">
        <v>2.7</v>
      </c>
      <c r="Q210" s="17">
        <v>0.64400000000000002</v>
      </c>
      <c r="R210" s="17">
        <v>0.53</v>
      </c>
      <c r="S210" s="17">
        <v>0.5</v>
      </c>
      <c r="T210" s="17">
        <v>0.8</v>
      </c>
      <c r="U210" s="17">
        <v>0.72</v>
      </c>
      <c r="V210" s="17">
        <v>0.5</v>
      </c>
      <c r="W210" s="17">
        <v>2.8</v>
      </c>
      <c r="X210" s="17">
        <v>3.3</v>
      </c>
      <c r="Y210" s="17">
        <v>1.9</v>
      </c>
      <c r="Z210" s="17">
        <v>1</v>
      </c>
      <c r="AA210" s="17">
        <v>0.5</v>
      </c>
      <c r="AB210" s="17">
        <v>1</v>
      </c>
      <c r="AC210" s="17">
        <v>2</v>
      </c>
      <c r="AD210" s="17">
        <v>9.1999999999999993</v>
      </c>
      <c r="AE210" s="17"/>
      <c r="AG210" s="8" t="str">
        <v>Ziaire Williams</v>
      </c>
      <c r="AH210" s="8" t="str">
        <v>BRK</v>
      </c>
    </row>
    <row r="211" spans="1:34" ht="17" x14ac:dyDescent="0.2">
      <c r="A211" s="1">
        <v>203</v>
      </c>
      <c r="B211" s="18" t="s">
        <v>271</v>
      </c>
      <c r="C211" s="17">
        <v>29</v>
      </c>
      <c r="D211" s="18" t="s">
        <v>64</v>
      </c>
      <c r="E211" s="17" t="s">
        <v>54</v>
      </c>
      <c r="F211" s="17">
        <v>30</v>
      </c>
      <c r="G211" s="17">
        <v>23</v>
      </c>
      <c r="H211" s="17">
        <v>30.2</v>
      </c>
      <c r="I211" s="17">
        <v>3.3</v>
      </c>
      <c r="J211" s="17">
        <v>7.5</v>
      </c>
      <c r="K211" s="17">
        <v>0.442</v>
      </c>
      <c r="L211" s="17">
        <v>1.1000000000000001</v>
      </c>
      <c r="M211" s="17">
        <v>2.8</v>
      </c>
      <c r="N211" s="17">
        <v>0.38100000000000001</v>
      </c>
      <c r="O211" s="17">
        <v>2.2000000000000002</v>
      </c>
      <c r="P211" s="17">
        <v>4.7</v>
      </c>
      <c r="Q211" s="17">
        <v>0.47899999999999998</v>
      </c>
      <c r="R211" s="17">
        <v>0.51300000000000001</v>
      </c>
      <c r="S211" s="17">
        <v>1.5</v>
      </c>
      <c r="T211" s="17">
        <v>2.5</v>
      </c>
      <c r="U211" s="17">
        <v>0.622</v>
      </c>
      <c r="V211" s="17">
        <v>1.4</v>
      </c>
      <c r="W211" s="17">
        <v>3</v>
      </c>
      <c r="X211" s="17">
        <v>4.4000000000000004</v>
      </c>
      <c r="Y211" s="17">
        <v>2.2000000000000002</v>
      </c>
      <c r="Z211" s="17">
        <v>1.1000000000000001</v>
      </c>
      <c r="AA211" s="17">
        <v>0.6</v>
      </c>
      <c r="AB211" s="17">
        <v>1.4</v>
      </c>
      <c r="AC211" s="17">
        <v>2</v>
      </c>
      <c r="AD211" s="17">
        <v>9.1999999999999993</v>
      </c>
      <c r="AE211" s="17"/>
      <c r="AG211" s="8" t="str">
        <v>Jalen Wilson</v>
      </c>
      <c r="AH211" s="8" t="str">
        <v>BRK</v>
      </c>
    </row>
    <row r="212" spans="1:34" ht="17" x14ac:dyDescent="0.2">
      <c r="A212" s="1">
        <v>204</v>
      </c>
      <c r="B212" s="18" t="s">
        <v>547</v>
      </c>
      <c r="C212" s="17">
        <v>20</v>
      </c>
      <c r="D212" s="18" t="s">
        <v>47</v>
      </c>
      <c r="E212" s="17" t="s">
        <v>29</v>
      </c>
      <c r="F212" s="17">
        <v>37</v>
      </c>
      <c r="G212" s="17">
        <v>31</v>
      </c>
      <c r="H212" s="17">
        <v>27.3</v>
      </c>
      <c r="I212" s="17">
        <v>3.6</v>
      </c>
      <c r="J212" s="17">
        <v>6.5</v>
      </c>
      <c r="K212" s="17">
        <v>0.55400000000000005</v>
      </c>
      <c r="L212" s="17">
        <v>0</v>
      </c>
      <c r="M212" s="17">
        <v>0</v>
      </c>
      <c r="N212" s="17">
        <v>0</v>
      </c>
      <c r="O212" s="17">
        <v>3.6</v>
      </c>
      <c r="P212" s="17">
        <v>6.5</v>
      </c>
      <c r="Q212" s="17">
        <v>0.55600000000000005</v>
      </c>
      <c r="R212" s="17">
        <v>0.55400000000000005</v>
      </c>
      <c r="S212" s="17">
        <v>1.9</v>
      </c>
      <c r="T212" s="17">
        <v>2.9</v>
      </c>
      <c r="U212" s="17">
        <v>0.66700000000000004</v>
      </c>
      <c r="V212" s="17">
        <v>3.8</v>
      </c>
      <c r="W212" s="17">
        <v>4.5999999999999996</v>
      </c>
      <c r="X212" s="17">
        <v>8.4</v>
      </c>
      <c r="Y212" s="17">
        <v>1.5</v>
      </c>
      <c r="Z212" s="17">
        <v>0.6</v>
      </c>
      <c r="AA212" s="17">
        <v>1.4</v>
      </c>
      <c r="AB212" s="17">
        <v>1.1000000000000001</v>
      </c>
      <c r="AC212" s="17">
        <v>2.2000000000000002</v>
      </c>
      <c r="AD212" s="17">
        <v>9.1999999999999993</v>
      </c>
      <c r="AE212" s="17"/>
      <c r="AG212" s="8" t="str">
        <v>Dereck Lively II</v>
      </c>
      <c r="AH212" s="8" t="str">
        <v>DAL</v>
      </c>
    </row>
    <row r="213" spans="1:34" ht="17" x14ac:dyDescent="0.2">
      <c r="A213" s="1">
        <v>205</v>
      </c>
      <c r="B213" s="18" t="s">
        <v>309</v>
      </c>
      <c r="C213" s="17">
        <v>25</v>
      </c>
      <c r="D213" s="18" t="s">
        <v>99</v>
      </c>
      <c r="E213" s="17" t="s">
        <v>54</v>
      </c>
      <c r="F213" s="17">
        <v>6</v>
      </c>
      <c r="G213" s="17">
        <v>6</v>
      </c>
      <c r="H213" s="17">
        <v>22.7</v>
      </c>
      <c r="I213" s="17">
        <v>3.2</v>
      </c>
      <c r="J213" s="17">
        <v>6</v>
      </c>
      <c r="K213" s="17">
        <v>0.52800000000000002</v>
      </c>
      <c r="L213" s="17">
        <v>1</v>
      </c>
      <c r="M213" s="17">
        <v>1.8</v>
      </c>
      <c r="N213" s="17">
        <v>0.54500000000000004</v>
      </c>
      <c r="O213" s="17">
        <v>2.2000000000000002</v>
      </c>
      <c r="P213" s="17">
        <v>4.2</v>
      </c>
      <c r="Q213" s="17">
        <v>0.52</v>
      </c>
      <c r="R213" s="17">
        <v>0.61099999999999999</v>
      </c>
      <c r="S213" s="17">
        <v>1.8</v>
      </c>
      <c r="T213" s="17">
        <v>2.2000000000000002</v>
      </c>
      <c r="U213" s="17">
        <v>0.84599999999999997</v>
      </c>
      <c r="V213" s="17">
        <v>0.7</v>
      </c>
      <c r="W213" s="17">
        <v>3.3</v>
      </c>
      <c r="X213" s="17">
        <v>4</v>
      </c>
      <c r="Y213" s="17">
        <v>1</v>
      </c>
      <c r="Z213" s="17">
        <v>0.7</v>
      </c>
      <c r="AA213" s="17">
        <v>0.3</v>
      </c>
      <c r="AB213" s="17">
        <v>0.8</v>
      </c>
      <c r="AC213" s="17">
        <v>4</v>
      </c>
      <c r="AD213" s="17">
        <v>9.1999999999999993</v>
      </c>
      <c r="AE213" s="17"/>
      <c r="AG213" s="8" t="str">
        <v>Trentyn Flowers</v>
      </c>
      <c r="AH213" s="8" t="str">
        <v>LAC</v>
      </c>
    </row>
    <row r="214" spans="1:34" ht="17" x14ac:dyDescent="0.2">
      <c r="A214" s="1">
        <v>206</v>
      </c>
      <c r="B214" s="18" t="s">
        <v>348</v>
      </c>
      <c r="C214" s="17">
        <v>27</v>
      </c>
      <c r="D214" s="18" t="s">
        <v>61</v>
      </c>
      <c r="E214" s="17" t="s">
        <v>29</v>
      </c>
      <c r="F214" s="17">
        <v>20</v>
      </c>
      <c r="G214" s="17">
        <v>9</v>
      </c>
      <c r="H214" s="17">
        <v>21.2</v>
      </c>
      <c r="I214" s="17">
        <v>3.1</v>
      </c>
      <c r="J214" s="17">
        <v>5.5</v>
      </c>
      <c r="K214" s="17">
        <v>0.56399999999999995</v>
      </c>
      <c r="L214" s="17">
        <v>0</v>
      </c>
      <c r="M214" s="17">
        <v>0.1</v>
      </c>
      <c r="N214" s="17">
        <v>0</v>
      </c>
      <c r="O214" s="17">
        <v>3.1</v>
      </c>
      <c r="P214" s="17">
        <v>5.5</v>
      </c>
      <c r="Q214" s="17">
        <v>0.56899999999999995</v>
      </c>
      <c r="R214" s="17">
        <v>0.56399999999999995</v>
      </c>
      <c r="S214" s="17">
        <v>3</v>
      </c>
      <c r="T214" s="17">
        <v>4.4000000000000004</v>
      </c>
      <c r="U214" s="17">
        <v>0.67800000000000005</v>
      </c>
      <c r="V214" s="17">
        <v>2.4</v>
      </c>
      <c r="W214" s="17">
        <v>5.3</v>
      </c>
      <c r="X214" s="17">
        <v>7.7</v>
      </c>
      <c r="Y214" s="17">
        <v>1.3</v>
      </c>
      <c r="Z214" s="17">
        <v>0.3</v>
      </c>
      <c r="AA214" s="17">
        <v>1.3</v>
      </c>
      <c r="AB214" s="17">
        <v>1.6</v>
      </c>
      <c r="AC214" s="17">
        <v>2.4</v>
      </c>
      <c r="AD214" s="17">
        <v>9.1999999999999993</v>
      </c>
      <c r="AE214" s="17"/>
      <c r="AG214" s="8" t="str">
        <v>Jay Huff</v>
      </c>
      <c r="AH214" s="8" t="str">
        <v>MEM</v>
      </c>
    </row>
    <row r="215" spans="1:34" ht="17" x14ac:dyDescent="0.2">
      <c r="A215" s="1">
        <v>207</v>
      </c>
      <c r="B215" s="18" t="s">
        <v>373</v>
      </c>
      <c r="C215" s="17">
        <v>30</v>
      </c>
      <c r="D215" s="18" t="s">
        <v>38</v>
      </c>
      <c r="E215" s="17" t="s">
        <v>46</v>
      </c>
      <c r="F215" s="17">
        <v>18</v>
      </c>
      <c r="G215" s="17">
        <v>6</v>
      </c>
      <c r="H215" s="17">
        <v>21.2</v>
      </c>
      <c r="I215" s="17">
        <v>2.9</v>
      </c>
      <c r="J215" s="17">
        <v>7.9</v>
      </c>
      <c r="K215" s="17">
        <v>0.373</v>
      </c>
      <c r="L215" s="17">
        <v>1.6</v>
      </c>
      <c r="M215" s="17">
        <v>4.8</v>
      </c>
      <c r="N215" s="17">
        <v>0.33300000000000002</v>
      </c>
      <c r="O215" s="17">
        <v>1.3</v>
      </c>
      <c r="P215" s="17">
        <v>3.1</v>
      </c>
      <c r="Q215" s="17">
        <v>0.436</v>
      </c>
      <c r="R215" s="17">
        <v>0.47499999999999998</v>
      </c>
      <c r="S215" s="17">
        <v>1.7</v>
      </c>
      <c r="T215" s="17">
        <v>2</v>
      </c>
      <c r="U215" s="17">
        <v>0.83299999999999996</v>
      </c>
      <c r="V215" s="17">
        <v>0.8</v>
      </c>
      <c r="W215" s="17">
        <v>1.6</v>
      </c>
      <c r="X215" s="17">
        <v>2.2999999999999998</v>
      </c>
      <c r="Y215" s="17">
        <v>3.8</v>
      </c>
      <c r="Z215" s="17">
        <v>1.3</v>
      </c>
      <c r="AA215" s="17">
        <v>0.3</v>
      </c>
      <c r="AB215" s="17">
        <v>1.9</v>
      </c>
      <c r="AC215" s="17">
        <v>1.7</v>
      </c>
      <c r="AD215" s="17">
        <v>9.1999999999999993</v>
      </c>
      <c r="AE215" s="17"/>
      <c r="AG215" s="8" t="str">
        <v>Dalano Banton</v>
      </c>
      <c r="AH215" s="8" t="str">
        <v>POR</v>
      </c>
    </row>
    <row r="216" spans="1:34" ht="17" x14ac:dyDescent="0.2">
      <c r="A216" s="1">
        <v>208</v>
      </c>
      <c r="B216" s="18" t="s">
        <v>432</v>
      </c>
      <c r="C216" s="17">
        <v>23</v>
      </c>
      <c r="D216" s="18" t="s">
        <v>95</v>
      </c>
      <c r="E216" s="17" t="s">
        <v>54</v>
      </c>
      <c r="F216" s="17">
        <v>25</v>
      </c>
      <c r="G216" s="17">
        <v>10</v>
      </c>
      <c r="H216" s="17">
        <v>22.1</v>
      </c>
      <c r="I216" s="17">
        <v>3.2</v>
      </c>
      <c r="J216" s="17">
        <v>7.7</v>
      </c>
      <c r="K216" s="17">
        <v>0.41499999999999998</v>
      </c>
      <c r="L216" s="17">
        <v>1.1000000000000001</v>
      </c>
      <c r="M216" s="17">
        <v>3.5</v>
      </c>
      <c r="N216" s="17">
        <v>0.307</v>
      </c>
      <c r="O216" s="17">
        <v>2.1</v>
      </c>
      <c r="P216" s="17">
        <v>4.2</v>
      </c>
      <c r="Q216" s="17">
        <v>0.505</v>
      </c>
      <c r="R216" s="17">
        <v>0.48399999999999999</v>
      </c>
      <c r="S216" s="17">
        <v>1.7</v>
      </c>
      <c r="T216" s="17">
        <v>2.1</v>
      </c>
      <c r="U216" s="17">
        <v>0.80800000000000005</v>
      </c>
      <c r="V216" s="17">
        <v>1</v>
      </c>
      <c r="W216" s="17">
        <v>3.6</v>
      </c>
      <c r="X216" s="17">
        <v>4.5999999999999996</v>
      </c>
      <c r="Y216" s="17">
        <v>1.4</v>
      </c>
      <c r="Z216" s="17">
        <v>0.9</v>
      </c>
      <c r="AA216" s="17">
        <v>0.4</v>
      </c>
      <c r="AB216" s="17">
        <v>1.1000000000000001</v>
      </c>
      <c r="AC216" s="17">
        <v>2.7</v>
      </c>
      <c r="AD216" s="17">
        <v>9.1999999999999993</v>
      </c>
      <c r="AE216" s="17"/>
      <c r="AG216" s="8" t="str">
        <v>Nickeil Alexander-Walker</v>
      </c>
      <c r="AH216" s="8" t="str">
        <v>MIN</v>
      </c>
    </row>
    <row r="217" spans="1:34" ht="17" x14ac:dyDescent="0.2">
      <c r="A217" s="1">
        <v>209</v>
      </c>
      <c r="B217" s="18" t="s">
        <v>434</v>
      </c>
      <c r="C217" s="17">
        <v>24</v>
      </c>
      <c r="D217" s="18" t="s">
        <v>95</v>
      </c>
      <c r="E217" s="17" t="s">
        <v>27</v>
      </c>
      <c r="F217" s="17">
        <v>36</v>
      </c>
      <c r="G217" s="17">
        <v>9</v>
      </c>
      <c r="H217" s="17">
        <v>27.2</v>
      </c>
      <c r="I217" s="17">
        <v>3.1</v>
      </c>
      <c r="J217" s="17">
        <v>8.1</v>
      </c>
      <c r="K217" s="17">
        <v>0.39</v>
      </c>
      <c r="L217" s="17">
        <v>1.4</v>
      </c>
      <c r="M217" s="17">
        <v>4.4000000000000004</v>
      </c>
      <c r="N217" s="17">
        <v>0.31900000000000001</v>
      </c>
      <c r="O217" s="17">
        <v>1.7</v>
      </c>
      <c r="P217" s="17">
        <v>3.6</v>
      </c>
      <c r="Q217" s="17">
        <v>0.47699999999999998</v>
      </c>
      <c r="R217" s="17">
        <v>0.47799999999999998</v>
      </c>
      <c r="S217" s="17">
        <v>1.5</v>
      </c>
      <c r="T217" s="17">
        <v>1.8</v>
      </c>
      <c r="U217" s="17">
        <v>0.85899999999999999</v>
      </c>
      <c r="V217" s="17">
        <v>1.1000000000000001</v>
      </c>
      <c r="W217" s="17">
        <v>2.2999999999999998</v>
      </c>
      <c r="X217" s="17">
        <v>3.3</v>
      </c>
      <c r="Y217" s="17">
        <v>1.8</v>
      </c>
      <c r="Z217" s="17">
        <v>0.5</v>
      </c>
      <c r="AA217" s="17">
        <v>0</v>
      </c>
      <c r="AB217" s="17">
        <v>1.1000000000000001</v>
      </c>
      <c r="AC217" s="17">
        <v>2.2999999999999998</v>
      </c>
      <c r="AD217" s="17">
        <v>9.1999999999999993</v>
      </c>
      <c r="AE217" s="17"/>
      <c r="AG217" s="8" t="str">
        <v>Tristan Da Silva</v>
      </c>
      <c r="AH217" s="8" t="str">
        <v>ORL</v>
      </c>
    </row>
    <row r="218" spans="1:34" ht="17" x14ac:dyDescent="0.2">
      <c r="A218" s="1">
        <v>210</v>
      </c>
      <c r="B218" s="18" t="s">
        <v>259</v>
      </c>
      <c r="C218" s="17">
        <v>20</v>
      </c>
      <c r="D218" s="18" t="s">
        <v>100</v>
      </c>
      <c r="E218" s="17" t="s">
        <v>29</v>
      </c>
      <c r="F218" s="17">
        <v>30</v>
      </c>
      <c r="G218" s="17">
        <v>23</v>
      </c>
      <c r="H218" s="17">
        <v>24.6</v>
      </c>
      <c r="I218" s="17">
        <v>3.9</v>
      </c>
      <c r="J218" s="17">
        <v>5.5</v>
      </c>
      <c r="K218" s="17">
        <v>0.69899999999999995</v>
      </c>
      <c r="L218" s="17">
        <v>0</v>
      </c>
      <c r="M218" s="17">
        <v>0</v>
      </c>
      <c r="N218" s="17"/>
      <c r="O218" s="17">
        <v>3.9</v>
      </c>
      <c r="P218" s="17">
        <v>5.5</v>
      </c>
      <c r="Q218" s="17">
        <v>0.69899999999999995</v>
      </c>
      <c r="R218" s="17">
        <v>0.69899999999999995</v>
      </c>
      <c r="S218" s="17">
        <v>1.4</v>
      </c>
      <c r="T218" s="17">
        <v>2.2000000000000002</v>
      </c>
      <c r="U218" s="17">
        <v>0.627</v>
      </c>
      <c r="V218" s="17">
        <v>3.2</v>
      </c>
      <c r="W218" s="17">
        <v>5</v>
      </c>
      <c r="X218" s="17">
        <v>8.1999999999999993</v>
      </c>
      <c r="Y218" s="17">
        <v>2.5</v>
      </c>
      <c r="Z218" s="17">
        <v>0.6</v>
      </c>
      <c r="AA218" s="17">
        <v>1.7</v>
      </c>
      <c r="AB218" s="17">
        <v>1.2</v>
      </c>
      <c r="AC218" s="17">
        <v>3</v>
      </c>
      <c r="AD218" s="17">
        <v>9.1</v>
      </c>
      <c r="AE218" s="17"/>
      <c r="AG218" s="8" t="str">
        <v>Trayce Jackson-Davis</v>
      </c>
      <c r="AH218" s="8" t="str">
        <v>GSW</v>
      </c>
    </row>
    <row r="219" spans="1:34" ht="17" x14ac:dyDescent="0.2">
      <c r="A219" s="1">
        <v>211</v>
      </c>
      <c r="B219" s="18" t="s">
        <v>616</v>
      </c>
      <c r="C219" s="17">
        <v>19</v>
      </c>
      <c r="D219" s="18" t="s">
        <v>77</v>
      </c>
      <c r="E219" s="17" t="s">
        <v>54</v>
      </c>
      <c r="F219" s="17">
        <v>1</v>
      </c>
      <c r="G219" s="17">
        <v>0</v>
      </c>
      <c r="H219" s="17">
        <v>14</v>
      </c>
      <c r="I219" s="17">
        <v>4</v>
      </c>
      <c r="J219" s="17">
        <v>9</v>
      </c>
      <c r="K219" s="17">
        <v>0.44400000000000001</v>
      </c>
      <c r="L219" s="17">
        <v>0</v>
      </c>
      <c r="M219" s="17">
        <v>2</v>
      </c>
      <c r="N219" s="17">
        <v>0</v>
      </c>
      <c r="O219" s="17">
        <v>4</v>
      </c>
      <c r="P219" s="17">
        <v>7</v>
      </c>
      <c r="Q219" s="17">
        <v>0.57099999999999995</v>
      </c>
      <c r="R219" s="17">
        <v>0.44400000000000001</v>
      </c>
      <c r="S219" s="17">
        <v>1</v>
      </c>
      <c r="T219" s="17">
        <v>1</v>
      </c>
      <c r="U219" s="17">
        <v>1</v>
      </c>
      <c r="V219" s="17">
        <v>1</v>
      </c>
      <c r="W219" s="17">
        <v>3</v>
      </c>
      <c r="X219" s="17">
        <v>4</v>
      </c>
      <c r="Y219" s="17">
        <v>0</v>
      </c>
      <c r="Z219" s="17">
        <v>0</v>
      </c>
      <c r="AA219" s="17">
        <v>0</v>
      </c>
      <c r="AB219" s="17">
        <v>1</v>
      </c>
      <c r="AC219" s="17">
        <v>3</v>
      </c>
      <c r="AD219" s="17">
        <v>9</v>
      </c>
      <c r="AE219" s="17"/>
      <c r="AG219" s="8" t="str">
        <v>Peyton Watson</v>
      </c>
      <c r="AH219" s="8" t="str">
        <v>DEN</v>
      </c>
    </row>
    <row r="220" spans="1:34" ht="17" x14ac:dyDescent="0.2">
      <c r="A220" s="1">
        <v>212</v>
      </c>
      <c r="B220" s="18" t="s">
        <v>210</v>
      </c>
      <c r="C220" s="17">
        <v>26</v>
      </c>
      <c r="D220" s="18" t="s">
        <v>38</v>
      </c>
      <c r="E220" s="17" t="s">
        <v>29</v>
      </c>
      <c r="F220" s="17">
        <v>34</v>
      </c>
      <c r="G220" s="17">
        <v>1</v>
      </c>
      <c r="H220" s="17">
        <v>15.1</v>
      </c>
      <c r="I220" s="17">
        <v>3.1</v>
      </c>
      <c r="J220" s="17">
        <v>6</v>
      </c>
      <c r="K220" s="17">
        <v>0.52700000000000002</v>
      </c>
      <c r="L220" s="17">
        <v>1.6</v>
      </c>
      <c r="M220" s="17">
        <v>3.9</v>
      </c>
      <c r="N220" s="17">
        <v>0.42399999999999999</v>
      </c>
      <c r="O220" s="17">
        <v>1.5</v>
      </c>
      <c r="P220" s="17">
        <v>2.1</v>
      </c>
      <c r="Q220" s="17">
        <v>0.71799999999999997</v>
      </c>
      <c r="R220" s="17">
        <v>0.66500000000000004</v>
      </c>
      <c r="S220" s="17">
        <v>1.1000000000000001</v>
      </c>
      <c r="T220" s="17">
        <v>1.4</v>
      </c>
      <c r="U220" s="17">
        <v>0.78700000000000003</v>
      </c>
      <c r="V220" s="17">
        <v>0.5</v>
      </c>
      <c r="W220" s="17">
        <v>2</v>
      </c>
      <c r="X220" s="17">
        <v>2.5</v>
      </c>
      <c r="Y220" s="17">
        <v>0.8</v>
      </c>
      <c r="Z220" s="17">
        <v>0.3</v>
      </c>
      <c r="AA220" s="17">
        <v>1.1000000000000001</v>
      </c>
      <c r="AB220" s="17">
        <v>0.7</v>
      </c>
      <c r="AC220" s="17">
        <v>1.7</v>
      </c>
      <c r="AD220" s="17">
        <v>9</v>
      </c>
      <c r="AE220" s="17"/>
      <c r="AG220" s="8" t="str">
        <v>Draymond Green</v>
      </c>
      <c r="AH220" s="8" t="str">
        <v>GSW</v>
      </c>
    </row>
    <row r="221" spans="1:34" ht="17" x14ac:dyDescent="0.2">
      <c r="A221" s="1">
        <v>213</v>
      </c>
      <c r="B221" s="18" t="s">
        <v>67</v>
      </c>
      <c r="C221" s="17">
        <v>25</v>
      </c>
      <c r="D221" s="18" t="s">
        <v>58</v>
      </c>
      <c r="E221" s="17" t="s">
        <v>46</v>
      </c>
      <c r="F221" s="17">
        <v>28</v>
      </c>
      <c r="G221" s="17">
        <v>0</v>
      </c>
      <c r="H221" s="17">
        <v>16</v>
      </c>
      <c r="I221" s="17">
        <v>3.2</v>
      </c>
      <c r="J221" s="17">
        <v>7.8</v>
      </c>
      <c r="K221" s="17">
        <v>0.41299999999999998</v>
      </c>
      <c r="L221" s="17">
        <v>1.1000000000000001</v>
      </c>
      <c r="M221" s="17">
        <v>3.3</v>
      </c>
      <c r="N221" s="17">
        <v>0.35199999999999998</v>
      </c>
      <c r="O221" s="17">
        <v>2.1</v>
      </c>
      <c r="P221" s="17">
        <v>4.5</v>
      </c>
      <c r="Q221" s="17">
        <v>0.45700000000000002</v>
      </c>
      <c r="R221" s="17">
        <v>0.48599999999999999</v>
      </c>
      <c r="S221" s="17">
        <v>1.3</v>
      </c>
      <c r="T221" s="17">
        <v>2</v>
      </c>
      <c r="U221" s="17">
        <v>0.66100000000000003</v>
      </c>
      <c r="V221" s="17">
        <v>0.4</v>
      </c>
      <c r="W221" s="17">
        <v>1.8</v>
      </c>
      <c r="X221" s="17">
        <v>2.1</v>
      </c>
      <c r="Y221" s="17">
        <v>2.5</v>
      </c>
      <c r="Z221" s="17">
        <v>0.9</v>
      </c>
      <c r="AA221" s="17">
        <v>0.5</v>
      </c>
      <c r="AB221" s="17">
        <v>1.6</v>
      </c>
      <c r="AC221" s="17">
        <v>1</v>
      </c>
      <c r="AD221" s="17">
        <v>8.9</v>
      </c>
      <c r="AE221" s="17"/>
      <c r="AG221" s="8" t="str">
        <v>Al Horford</v>
      </c>
      <c r="AH221" s="8" t="str">
        <v>BOS</v>
      </c>
    </row>
    <row r="222" spans="1:34" ht="17" x14ac:dyDescent="0.2">
      <c r="A222" s="1">
        <v>214</v>
      </c>
      <c r="B222" s="18" t="s">
        <v>39</v>
      </c>
      <c r="C222" s="17">
        <v>26</v>
      </c>
      <c r="D222" s="18" t="s">
        <v>40</v>
      </c>
      <c r="E222" s="17" t="s">
        <v>35</v>
      </c>
      <c r="F222" s="17">
        <v>37</v>
      </c>
      <c r="G222" s="17">
        <v>2</v>
      </c>
      <c r="H222" s="17">
        <v>22.8</v>
      </c>
      <c r="I222" s="17">
        <v>3.2</v>
      </c>
      <c r="J222" s="17">
        <v>6.6</v>
      </c>
      <c r="K222" s="17">
        <v>0.48</v>
      </c>
      <c r="L222" s="17">
        <v>1.6</v>
      </c>
      <c r="M222" s="17">
        <v>3.9</v>
      </c>
      <c r="N222" s="17">
        <v>0.42699999999999999</v>
      </c>
      <c r="O222" s="17">
        <v>1.5</v>
      </c>
      <c r="P222" s="17">
        <v>2.8</v>
      </c>
      <c r="Q222" s="17">
        <v>0.55300000000000005</v>
      </c>
      <c r="R222" s="17">
        <v>0.60399999999999998</v>
      </c>
      <c r="S222" s="17">
        <v>0.8</v>
      </c>
      <c r="T222" s="17">
        <v>1.1000000000000001</v>
      </c>
      <c r="U222" s="17">
        <v>0.74399999999999999</v>
      </c>
      <c r="V222" s="17">
        <v>0.5</v>
      </c>
      <c r="W222" s="17">
        <v>2.2999999999999998</v>
      </c>
      <c r="X222" s="17">
        <v>2.8</v>
      </c>
      <c r="Y222" s="17">
        <v>2.4</v>
      </c>
      <c r="Z222" s="17">
        <v>0.7</v>
      </c>
      <c r="AA222" s="17">
        <v>0.3</v>
      </c>
      <c r="AB222" s="17">
        <v>1.3</v>
      </c>
      <c r="AC222" s="17">
        <v>1.6</v>
      </c>
      <c r="AD222" s="17">
        <v>8.8000000000000007</v>
      </c>
      <c r="AE222" s="17"/>
      <c r="AG222" s="8" t="str">
        <v>Luke Kennard</v>
      </c>
      <c r="AH222" s="8" t="str">
        <v>MEM</v>
      </c>
    </row>
    <row r="223" spans="1:34" ht="17" x14ac:dyDescent="0.2">
      <c r="A223" s="1">
        <v>215</v>
      </c>
      <c r="B223" s="18" t="s">
        <v>546</v>
      </c>
      <c r="C223" s="17">
        <v>23</v>
      </c>
      <c r="D223" s="18" t="s">
        <v>52</v>
      </c>
      <c r="E223" s="17" t="s">
        <v>54</v>
      </c>
      <c r="F223" s="17">
        <v>35</v>
      </c>
      <c r="G223" s="17">
        <v>28</v>
      </c>
      <c r="H223" s="17">
        <v>25.9</v>
      </c>
      <c r="I223" s="17">
        <v>3.4</v>
      </c>
      <c r="J223" s="17">
        <v>8.1</v>
      </c>
      <c r="K223" s="17">
        <v>0.41699999999999998</v>
      </c>
      <c r="L223" s="17">
        <v>1.3</v>
      </c>
      <c r="M223" s="17">
        <v>4</v>
      </c>
      <c r="N223" s="17">
        <v>0.317</v>
      </c>
      <c r="O223" s="17">
        <v>2.1</v>
      </c>
      <c r="P223" s="17">
        <v>4.0999999999999996</v>
      </c>
      <c r="Q223" s="17">
        <v>0.51400000000000001</v>
      </c>
      <c r="R223" s="17">
        <v>0.495</v>
      </c>
      <c r="S223" s="17">
        <v>0.8</v>
      </c>
      <c r="T223" s="17">
        <v>1</v>
      </c>
      <c r="U223" s="17">
        <v>0.80600000000000005</v>
      </c>
      <c r="V223" s="17">
        <v>1.2</v>
      </c>
      <c r="W223" s="17">
        <v>2.9</v>
      </c>
      <c r="X223" s="17">
        <v>4.0999999999999996</v>
      </c>
      <c r="Y223" s="17">
        <v>1.7</v>
      </c>
      <c r="Z223" s="17">
        <v>0.4</v>
      </c>
      <c r="AA223" s="17">
        <v>0.2</v>
      </c>
      <c r="AB223" s="17">
        <v>0.9</v>
      </c>
      <c r="AC223" s="17">
        <v>1.5</v>
      </c>
      <c r="AD223" s="17">
        <v>8.8000000000000007</v>
      </c>
      <c r="AE223" s="17"/>
      <c r="AG223" s="8" t="str">
        <v>Garrison Mathews</v>
      </c>
      <c r="AH223" s="8" t="str">
        <v>ATL</v>
      </c>
    </row>
    <row r="224" spans="1:34" ht="17" x14ac:dyDescent="0.2">
      <c r="A224" s="1">
        <v>216</v>
      </c>
      <c r="B224" s="18" t="s">
        <v>222</v>
      </c>
      <c r="C224" s="17">
        <v>24</v>
      </c>
      <c r="D224" s="18" t="s">
        <v>134</v>
      </c>
      <c r="E224" s="17" t="s">
        <v>29</v>
      </c>
      <c r="F224" s="17">
        <v>36</v>
      </c>
      <c r="G224" s="17">
        <v>29</v>
      </c>
      <c r="H224" s="17">
        <v>19.7</v>
      </c>
      <c r="I224" s="17">
        <v>3.9</v>
      </c>
      <c r="J224" s="17">
        <v>6.5</v>
      </c>
      <c r="K224" s="17">
        <v>0.59099999999999997</v>
      </c>
      <c r="L224" s="17">
        <v>0</v>
      </c>
      <c r="M224" s="17">
        <v>0</v>
      </c>
      <c r="N224" s="17">
        <v>0</v>
      </c>
      <c r="O224" s="17">
        <v>3.9</v>
      </c>
      <c r="P224" s="17">
        <v>6.5</v>
      </c>
      <c r="Q224" s="17">
        <v>0.59399999999999997</v>
      </c>
      <c r="R224" s="17">
        <v>0.59099999999999997</v>
      </c>
      <c r="S224" s="17">
        <v>1.1000000000000001</v>
      </c>
      <c r="T224" s="17">
        <v>1.7</v>
      </c>
      <c r="U224" s="17">
        <v>0.63300000000000001</v>
      </c>
      <c r="V224" s="17">
        <v>2.1</v>
      </c>
      <c r="W224" s="17">
        <v>3.9</v>
      </c>
      <c r="X224" s="17">
        <v>6</v>
      </c>
      <c r="Y224" s="17">
        <v>2.2000000000000002</v>
      </c>
      <c r="Z224" s="17">
        <v>0.4</v>
      </c>
      <c r="AA224" s="17">
        <v>0.8</v>
      </c>
      <c r="AB224" s="17">
        <v>0.9</v>
      </c>
      <c r="AC224" s="17">
        <v>1.4</v>
      </c>
      <c r="AD224" s="17">
        <v>8.8000000000000007</v>
      </c>
      <c r="AE224" s="17"/>
      <c r="AG224" s="8" t="str">
        <v>Jusuf Nurkić</v>
      </c>
      <c r="AH224" s="8" t="str">
        <v>PHO</v>
      </c>
    </row>
    <row r="225" spans="1:34" ht="17" x14ac:dyDescent="0.2">
      <c r="A225" s="1">
        <v>217</v>
      </c>
      <c r="B225" s="18" t="s">
        <v>415</v>
      </c>
      <c r="C225" s="17">
        <v>22</v>
      </c>
      <c r="D225" s="18" t="s">
        <v>93</v>
      </c>
      <c r="E225" s="17" t="s">
        <v>54</v>
      </c>
      <c r="F225" s="17">
        <v>36</v>
      </c>
      <c r="G225" s="17">
        <v>12</v>
      </c>
      <c r="H225" s="17">
        <v>24.4</v>
      </c>
      <c r="I225" s="17">
        <v>3.2</v>
      </c>
      <c r="J225" s="17">
        <v>6.7</v>
      </c>
      <c r="K225" s="17">
        <v>0.48099999999999998</v>
      </c>
      <c r="L225" s="17">
        <v>0.7</v>
      </c>
      <c r="M225" s="17">
        <v>2.2000000000000002</v>
      </c>
      <c r="N225" s="17">
        <v>0.33300000000000002</v>
      </c>
      <c r="O225" s="17">
        <v>2.5</v>
      </c>
      <c r="P225" s="17">
        <v>4.5</v>
      </c>
      <c r="Q225" s="17">
        <v>0.55200000000000005</v>
      </c>
      <c r="R225" s="17">
        <v>0.53500000000000003</v>
      </c>
      <c r="S225" s="17">
        <v>1.6</v>
      </c>
      <c r="T225" s="17">
        <v>2.2000000000000002</v>
      </c>
      <c r="U225" s="17">
        <v>0.75600000000000001</v>
      </c>
      <c r="V225" s="17">
        <v>0.9</v>
      </c>
      <c r="W225" s="17">
        <v>2.4</v>
      </c>
      <c r="X225" s="17">
        <v>3.4</v>
      </c>
      <c r="Y225" s="17">
        <v>1.4</v>
      </c>
      <c r="Z225" s="17">
        <v>0.8</v>
      </c>
      <c r="AA225" s="17">
        <v>1.1000000000000001</v>
      </c>
      <c r="AB225" s="17">
        <v>0.8</v>
      </c>
      <c r="AC225" s="17">
        <v>1.9</v>
      </c>
      <c r="AD225" s="17">
        <v>8.8000000000000007</v>
      </c>
      <c r="AE225" s="17"/>
      <c r="AG225" s="8" t="str">
        <v>Georges Niang</v>
      </c>
      <c r="AH225" s="8" t="str">
        <v>CLE</v>
      </c>
    </row>
    <row r="226" spans="1:34" ht="17" x14ac:dyDescent="0.2">
      <c r="A226" s="1">
        <v>218</v>
      </c>
      <c r="B226" s="18" t="s">
        <v>178</v>
      </c>
      <c r="C226" s="17">
        <v>34</v>
      </c>
      <c r="D226" s="18" t="s">
        <v>134</v>
      </c>
      <c r="E226" s="17" t="s">
        <v>27</v>
      </c>
      <c r="F226" s="17">
        <v>33</v>
      </c>
      <c r="G226" s="17">
        <v>31</v>
      </c>
      <c r="H226" s="17">
        <v>28.6</v>
      </c>
      <c r="I226" s="17">
        <v>3</v>
      </c>
      <c r="J226" s="17">
        <v>7.3</v>
      </c>
      <c r="K226" s="17">
        <v>0.41699999999999998</v>
      </c>
      <c r="L226" s="17">
        <v>1.4</v>
      </c>
      <c r="M226" s="17">
        <v>3.8</v>
      </c>
      <c r="N226" s="17">
        <v>0.36199999999999999</v>
      </c>
      <c r="O226" s="17">
        <v>1.6</v>
      </c>
      <c r="P226" s="17">
        <v>3.4</v>
      </c>
      <c r="Q226" s="17">
        <v>0.47799999999999998</v>
      </c>
      <c r="R226" s="17">
        <v>0.51300000000000001</v>
      </c>
      <c r="S226" s="17">
        <v>1.2</v>
      </c>
      <c r="T226" s="17">
        <v>2</v>
      </c>
      <c r="U226" s="17">
        <v>0.61499999999999999</v>
      </c>
      <c r="V226" s="17">
        <v>1.1000000000000001</v>
      </c>
      <c r="W226" s="17">
        <v>5.0999999999999996</v>
      </c>
      <c r="X226" s="17">
        <v>6.2</v>
      </c>
      <c r="Y226" s="17">
        <v>5.6</v>
      </c>
      <c r="Z226" s="17">
        <v>1.1000000000000001</v>
      </c>
      <c r="AA226" s="17">
        <v>1.2</v>
      </c>
      <c r="AB226" s="17">
        <v>2.5</v>
      </c>
      <c r="AC226" s="17">
        <v>3.2</v>
      </c>
      <c r="AD226" s="17">
        <v>8.6999999999999993</v>
      </c>
      <c r="AE226" s="17"/>
      <c r="AG226" s="8" t="str">
        <v>Anthony Black</v>
      </c>
      <c r="AH226" s="8" t="str">
        <v>ORL</v>
      </c>
    </row>
    <row r="227" spans="1:34" ht="17" x14ac:dyDescent="0.2">
      <c r="A227" s="1">
        <v>219</v>
      </c>
      <c r="B227" s="18" t="s">
        <v>205</v>
      </c>
      <c r="C227" s="17">
        <v>38</v>
      </c>
      <c r="D227" s="18" t="s">
        <v>68</v>
      </c>
      <c r="E227" s="17" t="s">
        <v>29</v>
      </c>
      <c r="F227" s="17">
        <v>29</v>
      </c>
      <c r="G227" s="17">
        <v>25</v>
      </c>
      <c r="H227" s="17">
        <v>28</v>
      </c>
      <c r="I227" s="17">
        <v>3.2</v>
      </c>
      <c r="J227" s="17">
        <v>7.5</v>
      </c>
      <c r="K227" s="17">
        <v>0.42399999999999999</v>
      </c>
      <c r="L227" s="17">
        <v>2</v>
      </c>
      <c r="M227" s="17">
        <v>5.4</v>
      </c>
      <c r="N227" s="17">
        <v>0.36699999999999999</v>
      </c>
      <c r="O227" s="17">
        <v>1.2</v>
      </c>
      <c r="P227" s="17">
        <v>2</v>
      </c>
      <c r="Q227" s="17">
        <v>0.57599999999999996</v>
      </c>
      <c r="R227" s="17">
        <v>0.55800000000000005</v>
      </c>
      <c r="S227" s="17">
        <v>0.3</v>
      </c>
      <c r="T227" s="17">
        <v>0.4</v>
      </c>
      <c r="U227" s="17">
        <v>0.83299999999999996</v>
      </c>
      <c r="V227" s="17">
        <v>1</v>
      </c>
      <c r="W227" s="17">
        <v>4.5</v>
      </c>
      <c r="X227" s="17">
        <v>5.5</v>
      </c>
      <c r="Y227" s="17">
        <v>2.2000000000000002</v>
      </c>
      <c r="Z227" s="17">
        <v>0.8</v>
      </c>
      <c r="AA227" s="17">
        <v>0.8</v>
      </c>
      <c r="AB227" s="17">
        <v>0.9</v>
      </c>
      <c r="AC227" s="17">
        <v>1.6</v>
      </c>
      <c r="AD227" s="17">
        <v>8.6999999999999993</v>
      </c>
      <c r="AE227" s="17"/>
      <c r="AG227" s="8" t="str">
        <v>Jaylen Nowell</v>
      </c>
      <c r="AH227" s="8" t="str">
        <v>NOP</v>
      </c>
    </row>
    <row r="228" spans="1:34" ht="17" x14ac:dyDescent="0.2">
      <c r="A228" s="1">
        <v>220</v>
      </c>
      <c r="B228" s="18" t="s">
        <v>243</v>
      </c>
      <c r="C228" s="17">
        <v>28</v>
      </c>
      <c r="D228" s="18" t="s">
        <v>38</v>
      </c>
      <c r="E228" s="17" t="s">
        <v>35</v>
      </c>
      <c r="F228" s="17">
        <v>25</v>
      </c>
      <c r="G228" s="17">
        <v>0</v>
      </c>
      <c r="H228" s="17">
        <v>21.4</v>
      </c>
      <c r="I228" s="17">
        <v>2.8</v>
      </c>
      <c r="J228" s="17">
        <v>6.3</v>
      </c>
      <c r="K228" s="17">
        <v>0.44600000000000001</v>
      </c>
      <c r="L228" s="17">
        <v>2</v>
      </c>
      <c r="M228" s="17">
        <v>4.4000000000000004</v>
      </c>
      <c r="N228" s="17">
        <v>0.45900000000000002</v>
      </c>
      <c r="O228" s="17">
        <v>0.8</v>
      </c>
      <c r="P228" s="17">
        <v>1.8</v>
      </c>
      <c r="Q228" s="17">
        <v>0.41299999999999998</v>
      </c>
      <c r="R228" s="17">
        <v>0.60799999999999998</v>
      </c>
      <c r="S228" s="17">
        <v>1</v>
      </c>
      <c r="T228" s="17">
        <v>1.2</v>
      </c>
      <c r="U228" s="17">
        <v>0.86699999999999999</v>
      </c>
      <c r="V228" s="17">
        <v>0.6</v>
      </c>
      <c r="W228" s="17">
        <v>2.2000000000000002</v>
      </c>
      <c r="X228" s="17">
        <v>2.8</v>
      </c>
      <c r="Y228" s="17">
        <v>3.2</v>
      </c>
      <c r="Z228" s="17">
        <v>0.6</v>
      </c>
      <c r="AA228" s="17">
        <v>0.1</v>
      </c>
      <c r="AB228" s="17">
        <v>0.9</v>
      </c>
      <c r="AC228" s="17">
        <v>0.8</v>
      </c>
      <c r="AD228" s="17">
        <v>8.6999999999999993</v>
      </c>
      <c r="AE228" s="17"/>
      <c r="AG228" s="8" t="str">
        <v>Wendell Carter Jr.</v>
      </c>
      <c r="AH228" s="8" t="str">
        <v>ORL</v>
      </c>
    </row>
    <row r="229" spans="1:34" ht="17" x14ac:dyDescent="0.2">
      <c r="A229" s="1">
        <v>221</v>
      </c>
      <c r="B229" s="18" t="s">
        <v>274</v>
      </c>
      <c r="C229" s="17">
        <v>28</v>
      </c>
      <c r="D229" s="18" t="s">
        <v>82</v>
      </c>
      <c r="E229" s="17" t="s">
        <v>35</v>
      </c>
      <c r="F229" s="17">
        <v>29</v>
      </c>
      <c r="G229" s="17">
        <v>2</v>
      </c>
      <c r="H229" s="17">
        <v>18.7</v>
      </c>
      <c r="I229" s="17">
        <v>2.6</v>
      </c>
      <c r="J229" s="17">
        <v>6</v>
      </c>
      <c r="K229" s="17">
        <v>0.42799999999999999</v>
      </c>
      <c r="L229" s="17">
        <v>2.1</v>
      </c>
      <c r="M229" s="17">
        <v>5</v>
      </c>
      <c r="N229" s="17">
        <v>0.42099999999999999</v>
      </c>
      <c r="O229" s="17">
        <v>0.4</v>
      </c>
      <c r="P229" s="17">
        <v>1</v>
      </c>
      <c r="Q229" s="17">
        <v>0.46400000000000002</v>
      </c>
      <c r="R229" s="17">
        <v>0.60399999999999998</v>
      </c>
      <c r="S229" s="17">
        <v>1.5</v>
      </c>
      <c r="T229" s="17">
        <v>1.8</v>
      </c>
      <c r="U229" s="17">
        <v>0.83</v>
      </c>
      <c r="V229" s="17">
        <v>0.3</v>
      </c>
      <c r="W229" s="17">
        <v>1.4</v>
      </c>
      <c r="X229" s="17">
        <v>1.7</v>
      </c>
      <c r="Y229" s="17">
        <v>1.5</v>
      </c>
      <c r="Z229" s="17">
        <v>0.7</v>
      </c>
      <c r="AA229" s="17">
        <v>0.3</v>
      </c>
      <c r="AB229" s="17">
        <v>0.7</v>
      </c>
      <c r="AC229" s="17">
        <v>1.7</v>
      </c>
      <c r="AD229" s="17">
        <v>8.6999999999999993</v>
      </c>
      <c r="AE229" s="17"/>
      <c r="AG229" s="8" t="str">
        <v>Trendon Watford</v>
      </c>
      <c r="AH229" s="8" t="str">
        <v>BRK</v>
      </c>
    </row>
    <row r="230" spans="1:34" ht="17" x14ac:dyDescent="0.2">
      <c r="A230" s="1">
        <v>222</v>
      </c>
      <c r="B230" s="18" t="s">
        <v>313</v>
      </c>
      <c r="C230" s="17">
        <v>30</v>
      </c>
      <c r="D230" s="18" t="s">
        <v>42</v>
      </c>
      <c r="E230" s="17" t="s">
        <v>29</v>
      </c>
      <c r="F230" s="17">
        <v>25</v>
      </c>
      <c r="G230" s="17">
        <v>23</v>
      </c>
      <c r="H230" s="17">
        <v>23.7</v>
      </c>
      <c r="I230" s="17">
        <v>3</v>
      </c>
      <c r="J230" s="17">
        <v>6.5</v>
      </c>
      <c r="K230" s="17">
        <v>0.45400000000000001</v>
      </c>
      <c r="L230" s="17">
        <v>0.8</v>
      </c>
      <c r="M230" s="17">
        <v>2.4</v>
      </c>
      <c r="N230" s="17">
        <v>0.32200000000000001</v>
      </c>
      <c r="O230" s="17">
        <v>2.2000000000000002</v>
      </c>
      <c r="P230" s="17">
        <v>4.2</v>
      </c>
      <c r="Q230" s="17">
        <v>0.52900000000000003</v>
      </c>
      <c r="R230" s="17">
        <v>0.51200000000000001</v>
      </c>
      <c r="S230" s="17">
        <v>1.9</v>
      </c>
      <c r="T230" s="17">
        <v>2.8</v>
      </c>
      <c r="U230" s="17">
        <v>0.69599999999999995</v>
      </c>
      <c r="V230" s="17">
        <v>1.8</v>
      </c>
      <c r="W230" s="17">
        <v>7.3</v>
      </c>
      <c r="X230" s="17">
        <v>9.1999999999999993</v>
      </c>
      <c r="Y230" s="17">
        <v>1.9</v>
      </c>
      <c r="Z230" s="17">
        <v>0.9</v>
      </c>
      <c r="AA230" s="17">
        <v>0.6</v>
      </c>
      <c r="AB230" s="17">
        <v>2.2999999999999998</v>
      </c>
      <c r="AC230" s="17">
        <v>3.1</v>
      </c>
      <c r="AD230" s="17">
        <v>8.6</v>
      </c>
      <c r="AE230" s="17"/>
      <c r="AG230" s="8" t="str">
        <v>A.J. Green</v>
      </c>
      <c r="AH230" s="8" t="str">
        <v>MIL</v>
      </c>
    </row>
    <row r="231" spans="1:34" ht="17" x14ac:dyDescent="0.2">
      <c r="A231" s="1">
        <v>223</v>
      </c>
      <c r="B231" s="18" t="s">
        <v>310</v>
      </c>
      <c r="C231" s="17">
        <v>31</v>
      </c>
      <c r="D231" s="18" t="s">
        <v>44</v>
      </c>
      <c r="E231" s="17" t="s">
        <v>27</v>
      </c>
      <c r="F231" s="17">
        <v>37</v>
      </c>
      <c r="G231" s="17">
        <v>1</v>
      </c>
      <c r="H231" s="17">
        <v>20.2</v>
      </c>
      <c r="I231" s="17">
        <v>3.2</v>
      </c>
      <c r="J231" s="17">
        <v>6.9</v>
      </c>
      <c r="K231" s="17">
        <v>0.47199999999999998</v>
      </c>
      <c r="L231" s="17">
        <v>1.7</v>
      </c>
      <c r="M231" s="17">
        <v>4.4000000000000004</v>
      </c>
      <c r="N231" s="17">
        <v>0.38700000000000001</v>
      </c>
      <c r="O231" s="17">
        <v>1.5</v>
      </c>
      <c r="P231" s="17">
        <v>2.5</v>
      </c>
      <c r="Q231" s="17">
        <v>0.626</v>
      </c>
      <c r="R231" s="17">
        <v>0.59599999999999997</v>
      </c>
      <c r="S231" s="17">
        <v>0.3</v>
      </c>
      <c r="T231" s="17">
        <v>0.4</v>
      </c>
      <c r="U231" s="17">
        <v>0.75</v>
      </c>
      <c r="V231" s="17">
        <v>0.6</v>
      </c>
      <c r="W231" s="17">
        <v>3.1</v>
      </c>
      <c r="X231" s="17">
        <v>3.7</v>
      </c>
      <c r="Y231" s="17">
        <v>1.6</v>
      </c>
      <c r="Z231" s="17">
        <v>0.3</v>
      </c>
      <c r="AA231" s="17">
        <v>0.1</v>
      </c>
      <c r="AB231" s="17">
        <v>1</v>
      </c>
      <c r="AC231" s="17">
        <v>2.4</v>
      </c>
      <c r="AD231" s="17">
        <v>8.5</v>
      </c>
      <c r="AE231" s="17"/>
      <c r="AG231" s="8" t="str">
        <v>Jaden Hardy</v>
      </c>
      <c r="AH231" s="8" t="str">
        <v>DAL</v>
      </c>
    </row>
    <row r="232" spans="1:34" ht="17" x14ac:dyDescent="0.2">
      <c r="A232" s="1">
        <v>224</v>
      </c>
      <c r="B232" s="18" t="s">
        <v>85</v>
      </c>
      <c r="C232" s="17">
        <v>21</v>
      </c>
      <c r="D232" s="18" t="s">
        <v>52</v>
      </c>
      <c r="E232" s="17" t="s">
        <v>46</v>
      </c>
      <c r="F232" s="17">
        <v>35</v>
      </c>
      <c r="G232" s="17">
        <v>3</v>
      </c>
      <c r="H232" s="17">
        <v>23.7</v>
      </c>
      <c r="I232" s="17">
        <v>2.9</v>
      </c>
      <c r="J232" s="17">
        <v>7.1</v>
      </c>
      <c r="K232" s="17">
        <v>0.40300000000000002</v>
      </c>
      <c r="L232" s="17">
        <v>0.6</v>
      </c>
      <c r="M232" s="17">
        <v>2.2999999999999998</v>
      </c>
      <c r="N232" s="17">
        <v>0.25900000000000001</v>
      </c>
      <c r="O232" s="17">
        <v>2.2999999999999998</v>
      </c>
      <c r="P232" s="17">
        <v>4.8</v>
      </c>
      <c r="Q232" s="17">
        <v>0.47299999999999998</v>
      </c>
      <c r="R232" s="17">
        <v>0.44600000000000001</v>
      </c>
      <c r="S232" s="17">
        <v>2.1</v>
      </c>
      <c r="T232" s="17">
        <v>2.7</v>
      </c>
      <c r="U232" s="17">
        <v>0.75800000000000001</v>
      </c>
      <c r="V232" s="17">
        <v>0.5</v>
      </c>
      <c r="W232" s="17">
        <v>2</v>
      </c>
      <c r="X232" s="17">
        <v>2.6</v>
      </c>
      <c r="Y232" s="17">
        <v>3.5</v>
      </c>
      <c r="Z232" s="17">
        <v>0.9</v>
      </c>
      <c r="AA232" s="17">
        <v>0.7</v>
      </c>
      <c r="AB232" s="17">
        <v>2.1</v>
      </c>
      <c r="AC232" s="17">
        <v>2.2999999999999998</v>
      </c>
      <c r="AD232" s="17">
        <v>8.4</v>
      </c>
      <c r="AE232" s="17"/>
      <c r="AG232" s="8" t="str">
        <v>Jake LaRavia</v>
      </c>
      <c r="AH232" s="8" t="str">
        <v>MEM</v>
      </c>
    </row>
    <row r="233" spans="1:34" ht="17" x14ac:dyDescent="0.2">
      <c r="A233" s="1">
        <v>225</v>
      </c>
      <c r="B233" s="18" t="s">
        <v>312</v>
      </c>
      <c r="C233" s="17">
        <v>25</v>
      </c>
      <c r="D233" s="18" t="s">
        <v>47</v>
      </c>
      <c r="E233" s="17" t="s">
        <v>35</v>
      </c>
      <c r="F233" s="17">
        <v>8</v>
      </c>
      <c r="G233" s="17">
        <v>0</v>
      </c>
      <c r="H233" s="17">
        <v>21</v>
      </c>
      <c r="I233" s="17">
        <v>3.3</v>
      </c>
      <c r="J233" s="17">
        <v>9.1</v>
      </c>
      <c r="K233" s="17">
        <v>0.35599999999999998</v>
      </c>
      <c r="L233" s="17">
        <v>1</v>
      </c>
      <c r="M233" s="17">
        <v>3.4</v>
      </c>
      <c r="N233" s="17">
        <v>0.29599999999999999</v>
      </c>
      <c r="O233" s="17">
        <v>2.2999999999999998</v>
      </c>
      <c r="P233" s="17">
        <v>5.8</v>
      </c>
      <c r="Q233" s="17">
        <v>0.39100000000000001</v>
      </c>
      <c r="R233" s="17">
        <v>0.41099999999999998</v>
      </c>
      <c r="S233" s="17">
        <v>0.9</v>
      </c>
      <c r="T233" s="17">
        <v>1.4</v>
      </c>
      <c r="U233" s="17">
        <v>0.63600000000000001</v>
      </c>
      <c r="V233" s="17">
        <v>0.8</v>
      </c>
      <c r="W233" s="17">
        <v>1.8</v>
      </c>
      <c r="X233" s="17">
        <v>2.5</v>
      </c>
      <c r="Y233" s="17">
        <v>2.2999999999999998</v>
      </c>
      <c r="Z233" s="17">
        <v>0.1</v>
      </c>
      <c r="AA233" s="17">
        <v>0.5</v>
      </c>
      <c r="AB233" s="17">
        <v>1</v>
      </c>
      <c r="AC233" s="17">
        <v>1.1000000000000001</v>
      </c>
      <c r="AD233" s="17">
        <v>8.4</v>
      </c>
      <c r="AE233" s="17"/>
      <c r="AG233" s="8" t="str">
        <v>Cody Martin</v>
      </c>
      <c r="AH233" s="8" t="str">
        <v>CHO</v>
      </c>
    </row>
    <row r="234" spans="1:34" ht="17" x14ac:dyDescent="0.2">
      <c r="A234" s="1">
        <v>226</v>
      </c>
      <c r="B234" s="18" t="s">
        <v>113</v>
      </c>
      <c r="C234" s="17">
        <v>25</v>
      </c>
      <c r="D234" s="18" t="s">
        <v>52</v>
      </c>
      <c r="E234" s="17" t="s">
        <v>29</v>
      </c>
      <c r="F234" s="17">
        <v>26</v>
      </c>
      <c r="G234" s="17">
        <v>19</v>
      </c>
      <c r="H234" s="17">
        <v>24.3</v>
      </c>
      <c r="I234" s="17">
        <v>3.1</v>
      </c>
      <c r="J234" s="17">
        <v>6.5</v>
      </c>
      <c r="K234" s="17">
        <v>0.47299999999999998</v>
      </c>
      <c r="L234" s="17">
        <v>0.4</v>
      </c>
      <c r="M234" s="17">
        <v>2.2000000000000002</v>
      </c>
      <c r="N234" s="17">
        <v>0.19600000000000001</v>
      </c>
      <c r="O234" s="17">
        <v>2.7</v>
      </c>
      <c r="P234" s="17">
        <v>4.3</v>
      </c>
      <c r="Q234" s="17">
        <v>0.61099999999999999</v>
      </c>
      <c r="R234" s="17">
        <v>0.50600000000000001</v>
      </c>
      <c r="S234" s="17">
        <v>1.8</v>
      </c>
      <c r="T234" s="17">
        <v>2.5</v>
      </c>
      <c r="U234" s="17">
        <v>0.69699999999999995</v>
      </c>
      <c r="V234" s="17">
        <v>1.5</v>
      </c>
      <c r="W234" s="17">
        <v>5.4</v>
      </c>
      <c r="X234" s="17">
        <v>7</v>
      </c>
      <c r="Y234" s="17">
        <v>2.1</v>
      </c>
      <c r="Z234" s="17">
        <v>0.8</v>
      </c>
      <c r="AA234" s="17">
        <v>0.6</v>
      </c>
      <c r="AB234" s="17">
        <v>0.8</v>
      </c>
      <c r="AC234" s="17">
        <v>2.5</v>
      </c>
      <c r="AD234" s="17">
        <v>8.3000000000000007</v>
      </c>
      <c r="AE234" s="17"/>
      <c r="AG234" s="8" t="str">
        <v>Max Strus</v>
      </c>
      <c r="AH234" s="8" t="str">
        <v>CLE</v>
      </c>
    </row>
    <row r="235" spans="1:34" ht="17" x14ac:dyDescent="0.2">
      <c r="A235" s="1">
        <v>227</v>
      </c>
      <c r="B235" s="18" t="s">
        <v>617</v>
      </c>
      <c r="C235" s="17">
        <v>24</v>
      </c>
      <c r="D235" s="18" t="s">
        <v>95</v>
      </c>
      <c r="E235" s="17" t="s">
        <v>27</v>
      </c>
      <c r="F235" s="17">
        <v>13</v>
      </c>
      <c r="G235" s="17">
        <v>0</v>
      </c>
      <c r="H235" s="17">
        <v>16.100000000000001</v>
      </c>
      <c r="I235" s="17">
        <v>2.7</v>
      </c>
      <c r="J235" s="17">
        <v>6.1</v>
      </c>
      <c r="K235" s="17">
        <v>0.443</v>
      </c>
      <c r="L235" s="17">
        <v>0.6</v>
      </c>
      <c r="M235" s="17">
        <v>2</v>
      </c>
      <c r="N235" s="17">
        <v>0.308</v>
      </c>
      <c r="O235" s="17">
        <v>2.1</v>
      </c>
      <c r="P235" s="17">
        <v>4.0999999999999996</v>
      </c>
      <c r="Q235" s="17">
        <v>0.50900000000000001</v>
      </c>
      <c r="R235" s="17">
        <v>0.49399999999999999</v>
      </c>
      <c r="S235" s="17">
        <v>2.2999999999999998</v>
      </c>
      <c r="T235" s="17">
        <v>2.7</v>
      </c>
      <c r="U235" s="17">
        <v>0.85699999999999998</v>
      </c>
      <c r="V235" s="17">
        <v>0.3</v>
      </c>
      <c r="W235" s="17">
        <v>2.5</v>
      </c>
      <c r="X235" s="17">
        <v>2.8</v>
      </c>
      <c r="Y235" s="17">
        <v>1.2</v>
      </c>
      <c r="Z235" s="17">
        <v>0.4</v>
      </c>
      <c r="AA235" s="17">
        <v>0.3</v>
      </c>
      <c r="AB235" s="17">
        <v>1.2</v>
      </c>
      <c r="AC235" s="17">
        <v>2.2999999999999998</v>
      </c>
      <c r="AD235" s="17">
        <v>8.3000000000000007</v>
      </c>
      <c r="AE235" s="17"/>
      <c r="AG235" s="8" t="str">
        <v>Max Christie</v>
      </c>
      <c r="AH235" s="8" t="str">
        <v>LAL</v>
      </c>
    </row>
    <row r="236" spans="1:34" ht="17" x14ac:dyDescent="0.2">
      <c r="A236" s="1">
        <v>228</v>
      </c>
      <c r="B236" s="18" t="s">
        <v>177</v>
      </c>
      <c r="C236" s="17">
        <v>25</v>
      </c>
      <c r="D236" s="18" t="s">
        <v>50</v>
      </c>
      <c r="E236" s="17" t="s">
        <v>35</v>
      </c>
      <c r="F236" s="17">
        <v>33</v>
      </c>
      <c r="G236" s="17">
        <v>4</v>
      </c>
      <c r="H236" s="17">
        <v>21.7</v>
      </c>
      <c r="I236" s="17">
        <v>2.8</v>
      </c>
      <c r="J236" s="17">
        <v>6</v>
      </c>
      <c r="K236" s="17">
        <v>0.46500000000000002</v>
      </c>
      <c r="L236" s="17">
        <v>2.4</v>
      </c>
      <c r="M236" s="17">
        <v>5.3</v>
      </c>
      <c r="N236" s="17">
        <v>0.45500000000000002</v>
      </c>
      <c r="O236" s="17">
        <v>0.4</v>
      </c>
      <c r="P236" s="17">
        <v>0.7</v>
      </c>
      <c r="Q236" s="17">
        <v>0.54500000000000004</v>
      </c>
      <c r="R236" s="17">
        <v>0.66700000000000004</v>
      </c>
      <c r="S236" s="17">
        <v>0.2</v>
      </c>
      <c r="T236" s="17">
        <v>0.3</v>
      </c>
      <c r="U236" s="17">
        <v>0.88900000000000001</v>
      </c>
      <c r="V236" s="17">
        <v>0.2</v>
      </c>
      <c r="W236" s="17">
        <v>2</v>
      </c>
      <c r="X236" s="17">
        <v>2.2000000000000002</v>
      </c>
      <c r="Y236" s="17">
        <v>1.4</v>
      </c>
      <c r="Z236" s="17">
        <v>0.5</v>
      </c>
      <c r="AA236" s="17">
        <v>0.1</v>
      </c>
      <c r="AB236" s="17">
        <v>0.6</v>
      </c>
      <c r="AC236" s="17">
        <v>2.2000000000000002</v>
      </c>
      <c r="AD236" s="17">
        <v>8.1999999999999993</v>
      </c>
      <c r="AE236" s="17"/>
      <c r="AG236" s="8" t="str">
        <v>Mike Conley</v>
      </c>
      <c r="AH236" s="8" t="str">
        <v>MIN</v>
      </c>
    </row>
    <row r="237" spans="1:34" ht="17" x14ac:dyDescent="0.2">
      <c r="A237" s="1">
        <v>229</v>
      </c>
      <c r="B237" s="18" t="s">
        <v>188</v>
      </c>
      <c r="C237" s="17">
        <v>22</v>
      </c>
      <c r="D237" s="18" t="s">
        <v>100</v>
      </c>
      <c r="E237" s="17" t="s">
        <v>35</v>
      </c>
      <c r="F237" s="17">
        <v>30</v>
      </c>
      <c r="G237" s="17">
        <v>3</v>
      </c>
      <c r="H237" s="17">
        <v>15.9</v>
      </c>
      <c r="I237" s="17">
        <v>3</v>
      </c>
      <c r="J237" s="17">
        <v>6.8</v>
      </c>
      <c r="K237" s="17">
        <v>0.441</v>
      </c>
      <c r="L237" s="17">
        <v>1.3</v>
      </c>
      <c r="M237" s="17">
        <v>3.2</v>
      </c>
      <c r="N237" s="17">
        <v>0.39600000000000002</v>
      </c>
      <c r="O237" s="17">
        <v>1.7</v>
      </c>
      <c r="P237" s="17">
        <v>3.6</v>
      </c>
      <c r="Q237" s="17">
        <v>0.48099999999999998</v>
      </c>
      <c r="R237" s="17">
        <v>0.53400000000000003</v>
      </c>
      <c r="S237" s="17">
        <v>0.9</v>
      </c>
      <c r="T237" s="17">
        <v>1.3</v>
      </c>
      <c r="U237" s="17">
        <v>0.73699999999999999</v>
      </c>
      <c r="V237" s="17">
        <v>0.2</v>
      </c>
      <c r="W237" s="17">
        <v>1.3</v>
      </c>
      <c r="X237" s="17">
        <v>1.5</v>
      </c>
      <c r="Y237" s="17">
        <v>1.3</v>
      </c>
      <c r="Z237" s="17">
        <v>0.6</v>
      </c>
      <c r="AA237" s="17">
        <v>0.2</v>
      </c>
      <c r="AB237" s="17">
        <v>1.4</v>
      </c>
      <c r="AC237" s="17">
        <v>1.6</v>
      </c>
      <c r="AD237" s="17">
        <v>8.1999999999999993</v>
      </c>
      <c r="AE237" s="17"/>
      <c r="AG237" s="8" t="str">
        <v>Isaiah Joe</v>
      </c>
      <c r="AH237" s="8" t="str">
        <v>OKC</v>
      </c>
    </row>
    <row r="238" spans="1:34" ht="17" x14ac:dyDescent="0.2">
      <c r="A238" s="1">
        <v>230</v>
      </c>
      <c r="B238" s="18" t="s">
        <v>252</v>
      </c>
      <c r="C238" s="17">
        <v>23</v>
      </c>
      <c r="D238" s="18" t="s">
        <v>38</v>
      </c>
      <c r="E238" s="17" t="s">
        <v>27</v>
      </c>
      <c r="F238" s="17">
        <v>37</v>
      </c>
      <c r="G238" s="17">
        <v>0</v>
      </c>
      <c r="H238" s="17">
        <v>22.3</v>
      </c>
      <c r="I238" s="17">
        <v>2.8</v>
      </c>
      <c r="J238" s="17">
        <v>5.7</v>
      </c>
      <c r="K238" s="17">
        <v>0.495</v>
      </c>
      <c r="L238" s="17">
        <v>0.9</v>
      </c>
      <c r="M238" s="17">
        <v>2.1</v>
      </c>
      <c r="N238" s="17">
        <v>0.43</v>
      </c>
      <c r="O238" s="17">
        <v>1.9</v>
      </c>
      <c r="P238" s="17">
        <v>3.6</v>
      </c>
      <c r="Q238" s="17">
        <v>0.53400000000000003</v>
      </c>
      <c r="R238" s="17">
        <v>0.57499999999999996</v>
      </c>
      <c r="S238" s="17">
        <v>1.6</v>
      </c>
      <c r="T238" s="17">
        <v>2.2999999999999998</v>
      </c>
      <c r="U238" s="17">
        <v>0.71399999999999997</v>
      </c>
      <c r="V238" s="17">
        <v>1.4</v>
      </c>
      <c r="W238" s="17">
        <v>3</v>
      </c>
      <c r="X238" s="17">
        <v>4.4000000000000004</v>
      </c>
      <c r="Y238" s="17">
        <v>3.4</v>
      </c>
      <c r="Z238" s="17">
        <v>0.8</v>
      </c>
      <c r="AA238" s="17">
        <v>0.5</v>
      </c>
      <c r="AB238" s="17">
        <v>1.6</v>
      </c>
      <c r="AC238" s="17">
        <v>2.1</v>
      </c>
      <c r="AD238" s="17">
        <v>8.1999999999999993</v>
      </c>
      <c r="AE238" s="17"/>
      <c r="AG238" s="8" t="str">
        <v>Svi Mykhailiuk</v>
      </c>
      <c r="AH238" s="8" t="str">
        <v>UTA</v>
      </c>
    </row>
    <row r="239" spans="1:34" ht="17" x14ac:dyDescent="0.2">
      <c r="A239" s="1">
        <v>231</v>
      </c>
      <c r="B239" s="18" t="s">
        <v>272</v>
      </c>
      <c r="C239" s="17">
        <v>29</v>
      </c>
      <c r="D239" s="18" t="s">
        <v>61</v>
      </c>
      <c r="E239" s="17" t="s">
        <v>54</v>
      </c>
      <c r="F239" s="17">
        <v>33</v>
      </c>
      <c r="G239" s="17">
        <v>7</v>
      </c>
      <c r="H239" s="17">
        <v>25.7</v>
      </c>
      <c r="I239" s="17">
        <v>3.2</v>
      </c>
      <c r="J239" s="17">
        <v>7.2</v>
      </c>
      <c r="K239" s="17">
        <v>0.441</v>
      </c>
      <c r="L239" s="17">
        <v>1</v>
      </c>
      <c r="M239" s="17">
        <v>3.4</v>
      </c>
      <c r="N239" s="17">
        <v>0.30599999999999999</v>
      </c>
      <c r="O239" s="17">
        <v>2.1</v>
      </c>
      <c r="P239" s="17">
        <v>3.8</v>
      </c>
      <c r="Q239" s="17">
        <v>0.56000000000000005</v>
      </c>
      <c r="R239" s="17">
        <v>0.51300000000000001</v>
      </c>
      <c r="S239" s="17">
        <v>0.8</v>
      </c>
      <c r="T239" s="17">
        <v>1.2</v>
      </c>
      <c r="U239" s="17">
        <v>0.68300000000000005</v>
      </c>
      <c r="V239" s="17">
        <v>1.1000000000000001</v>
      </c>
      <c r="W239" s="17">
        <v>3.7</v>
      </c>
      <c r="X239" s="17">
        <v>4.8</v>
      </c>
      <c r="Y239" s="17">
        <v>2.4</v>
      </c>
      <c r="Z239" s="17">
        <v>1.2</v>
      </c>
      <c r="AA239" s="17">
        <v>0.7</v>
      </c>
      <c r="AB239" s="17">
        <v>1.1000000000000001</v>
      </c>
      <c r="AC239" s="17">
        <v>2</v>
      </c>
      <c r="AD239" s="17">
        <v>8.1999999999999993</v>
      </c>
      <c r="AE239" s="17"/>
      <c r="AG239" s="8" t="str">
        <v>Jalen Smith</v>
      </c>
      <c r="AH239" s="8" t="str">
        <v>CHI</v>
      </c>
    </row>
    <row r="240" spans="1:34" ht="17" x14ac:dyDescent="0.2">
      <c r="A240" s="1">
        <v>232</v>
      </c>
      <c r="B240" s="18" t="s">
        <v>622</v>
      </c>
      <c r="C240" s="17">
        <v>28</v>
      </c>
      <c r="D240" s="18" t="s">
        <v>44</v>
      </c>
      <c r="E240" s="17" t="s">
        <v>54</v>
      </c>
      <c r="F240" s="17">
        <v>9</v>
      </c>
      <c r="G240" s="17">
        <v>0</v>
      </c>
      <c r="H240" s="17">
        <v>23.3</v>
      </c>
      <c r="I240" s="17">
        <v>2.9</v>
      </c>
      <c r="J240" s="17">
        <v>6.7</v>
      </c>
      <c r="K240" s="17">
        <v>0.433</v>
      </c>
      <c r="L240" s="17">
        <v>2.1</v>
      </c>
      <c r="M240" s="17">
        <v>5.4</v>
      </c>
      <c r="N240" s="17">
        <v>0.38800000000000001</v>
      </c>
      <c r="O240" s="17">
        <v>0.8</v>
      </c>
      <c r="P240" s="17">
        <v>1.2</v>
      </c>
      <c r="Q240" s="17">
        <v>0.63600000000000001</v>
      </c>
      <c r="R240" s="17">
        <v>0.59199999999999997</v>
      </c>
      <c r="S240" s="17">
        <v>0.3</v>
      </c>
      <c r="T240" s="17">
        <v>0.3</v>
      </c>
      <c r="U240" s="17">
        <v>1</v>
      </c>
      <c r="V240" s="17">
        <v>1</v>
      </c>
      <c r="W240" s="17">
        <v>2.6</v>
      </c>
      <c r="X240" s="17">
        <v>3.6</v>
      </c>
      <c r="Y240" s="17">
        <v>3.2</v>
      </c>
      <c r="Z240" s="17">
        <v>0.3</v>
      </c>
      <c r="AA240" s="17">
        <v>0.3</v>
      </c>
      <c r="AB240" s="17">
        <v>1.1000000000000001</v>
      </c>
      <c r="AC240" s="17">
        <v>1.9</v>
      </c>
      <c r="AD240" s="17">
        <v>8.1999999999999993</v>
      </c>
      <c r="AE240" s="17"/>
      <c r="AG240" s="8" t="str">
        <v>Tosan Evbuomwan</v>
      </c>
      <c r="AH240" s="8" t="str">
        <v>BRK</v>
      </c>
    </row>
    <row r="241" spans="1:34" ht="17" x14ac:dyDescent="0.2">
      <c r="A241" s="1">
        <v>233</v>
      </c>
      <c r="B241" s="18" t="s">
        <v>118</v>
      </c>
      <c r="C241" s="17">
        <v>21</v>
      </c>
      <c r="D241" s="18" t="s">
        <v>116</v>
      </c>
      <c r="E241" s="17" t="s">
        <v>35</v>
      </c>
      <c r="F241" s="17">
        <v>35</v>
      </c>
      <c r="G241" s="17">
        <v>14</v>
      </c>
      <c r="H241" s="17">
        <v>23.3</v>
      </c>
      <c r="I241" s="17">
        <v>2.6</v>
      </c>
      <c r="J241" s="17">
        <v>5.6</v>
      </c>
      <c r="K241" s="17">
        <v>0.45900000000000002</v>
      </c>
      <c r="L241" s="17">
        <v>1.1000000000000001</v>
      </c>
      <c r="M241" s="17">
        <v>2.9</v>
      </c>
      <c r="N241" s="17">
        <v>0.37</v>
      </c>
      <c r="O241" s="17">
        <v>1.5</v>
      </c>
      <c r="P241" s="17">
        <v>2.7</v>
      </c>
      <c r="Q241" s="17">
        <v>0.55200000000000005</v>
      </c>
      <c r="R241" s="17">
        <v>0.55400000000000005</v>
      </c>
      <c r="S241" s="17">
        <v>1.9</v>
      </c>
      <c r="T241" s="17">
        <v>2.2000000000000002</v>
      </c>
      <c r="U241" s="17">
        <v>0.88200000000000001</v>
      </c>
      <c r="V241" s="17">
        <v>0.7</v>
      </c>
      <c r="W241" s="17">
        <v>1.7</v>
      </c>
      <c r="X241" s="17">
        <v>2.4</v>
      </c>
      <c r="Y241" s="17">
        <v>1.3</v>
      </c>
      <c r="Z241" s="17">
        <v>0.9</v>
      </c>
      <c r="AA241" s="17">
        <v>0.4</v>
      </c>
      <c r="AB241" s="17">
        <v>0.8</v>
      </c>
      <c r="AC241" s="17">
        <v>1.7</v>
      </c>
      <c r="AD241" s="17">
        <v>8.1</v>
      </c>
      <c r="AE241" s="17"/>
      <c r="AG241" s="8" t="str">
        <v>Keon Johnson</v>
      </c>
      <c r="AH241" s="8" t="str">
        <v>BRK</v>
      </c>
    </row>
    <row r="242" spans="1:34" ht="17" x14ac:dyDescent="0.2">
      <c r="A242" s="1">
        <v>234</v>
      </c>
      <c r="B242" s="18" t="s">
        <v>126</v>
      </c>
      <c r="C242" s="17">
        <v>37</v>
      </c>
      <c r="D242" s="18" t="s">
        <v>40</v>
      </c>
      <c r="E242" s="17" t="s">
        <v>46</v>
      </c>
      <c r="F242" s="17">
        <v>33</v>
      </c>
      <c r="G242" s="17">
        <v>30</v>
      </c>
      <c r="H242" s="17">
        <v>24.9</v>
      </c>
      <c r="I242" s="17">
        <v>2.5</v>
      </c>
      <c r="J242" s="17">
        <v>7.1</v>
      </c>
      <c r="K242" s="17">
        <v>0.35899999999999999</v>
      </c>
      <c r="L242" s="17">
        <v>1.8</v>
      </c>
      <c r="M242" s="17">
        <v>4.8</v>
      </c>
      <c r="N242" s="17">
        <v>0.36699999999999999</v>
      </c>
      <c r="O242" s="17">
        <v>0.8</v>
      </c>
      <c r="P242" s="17">
        <v>2.2999999999999998</v>
      </c>
      <c r="Q242" s="17">
        <v>0.34200000000000003</v>
      </c>
      <c r="R242" s="17">
        <v>0.48299999999999998</v>
      </c>
      <c r="S242" s="17">
        <v>1.2</v>
      </c>
      <c r="T242" s="17">
        <v>1.4</v>
      </c>
      <c r="U242" s="17">
        <v>0.91100000000000003</v>
      </c>
      <c r="V242" s="17">
        <v>0.5</v>
      </c>
      <c r="W242" s="17">
        <v>2.2000000000000002</v>
      </c>
      <c r="X242" s="17">
        <v>2.7</v>
      </c>
      <c r="Y242" s="17">
        <v>4.3</v>
      </c>
      <c r="Z242" s="17">
        <v>1.4</v>
      </c>
      <c r="AA242" s="17">
        <v>0.2</v>
      </c>
      <c r="AB242" s="17">
        <v>1.2</v>
      </c>
      <c r="AC242" s="17">
        <v>1.5</v>
      </c>
      <c r="AD242" s="17">
        <v>8.1</v>
      </c>
      <c r="AE242" s="17"/>
      <c r="AG242" s="8" t="str">
        <v>Moses Moody</v>
      </c>
      <c r="AH242" s="8" t="str">
        <v>GSW</v>
      </c>
    </row>
    <row r="243" spans="1:34" ht="17" x14ac:dyDescent="0.2">
      <c r="A243" s="1">
        <v>235</v>
      </c>
      <c r="B243" s="18" t="s">
        <v>227</v>
      </c>
      <c r="C243" s="17">
        <v>25</v>
      </c>
      <c r="D243" s="18" t="s">
        <v>81</v>
      </c>
      <c r="E243" s="17" t="s">
        <v>35</v>
      </c>
      <c r="F243" s="17">
        <v>34</v>
      </c>
      <c r="G243" s="17">
        <v>10</v>
      </c>
      <c r="H243" s="17">
        <v>20.2</v>
      </c>
      <c r="I243" s="17">
        <v>2.9</v>
      </c>
      <c r="J243" s="17">
        <v>7.3</v>
      </c>
      <c r="K243" s="17">
        <v>0.39100000000000001</v>
      </c>
      <c r="L243" s="17">
        <v>2</v>
      </c>
      <c r="M243" s="17">
        <v>5.8</v>
      </c>
      <c r="N243" s="17">
        <v>0.35199999999999998</v>
      </c>
      <c r="O243" s="17">
        <v>0.8</v>
      </c>
      <c r="P243" s="17">
        <v>1.5</v>
      </c>
      <c r="Q243" s="17">
        <v>0.53800000000000003</v>
      </c>
      <c r="R243" s="17">
        <v>0.53</v>
      </c>
      <c r="S243" s="17">
        <v>0.4</v>
      </c>
      <c r="T243" s="17">
        <v>0.6</v>
      </c>
      <c r="U243" s="17">
        <v>0.73699999999999999</v>
      </c>
      <c r="V243" s="17">
        <v>0.5</v>
      </c>
      <c r="W243" s="17">
        <v>2.2000000000000002</v>
      </c>
      <c r="X243" s="17">
        <v>2.7</v>
      </c>
      <c r="Y243" s="17">
        <v>1.4</v>
      </c>
      <c r="Z243" s="17">
        <v>0.8</v>
      </c>
      <c r="AA243" s="17">
        <v>0.2</v>
      </c>
      <c r="AB243" s="17">
        <v>0.4</v>
      </c>
      <c r="AC243" s="17">
        <v>1.4</v>
      </c>
      <c r="AD243" s="17">
        <v>8.1</v>
      </c>
      <c r="AE243" s="17"/>
      <c r="AG243" s="8" t="str">
        <v>Brandin Podziemski</v>
      </c>
      <c r="AH243" s="8" t="str">
        <v>GSW</v>
      </c>
    </row>
    <row r="244" spans="1:34" ht="17" x14ac:dyDescent="0.2">
      <c r="A244" s="1">
        <v>236</v>
      </c>
      <c r="B244" s="18" t="s">
        <v>306</v>
      </c>
      <c r="C244" s="17">
        <v>27</v>
      </c>
      <c r="D244" s="18" t="s">
        <v>36</v>
      </c>
      <c r="E244" s="17" t="s">
        <v>54</v>
      </c>
      <c r="F244" s="17">
        <v>11</v>
      </c>
      <c r="G244" s="17">
        <v>5</v>
      </c>
      <c r="H244" s="17">
        <v>17</v>
      </c>
      <c r="I244" s="17">
        <v>2.8</v>
      </c>
      <c r="J244" s="17">
        <v>6.9</v>
      </c>
      <c r="K244" s="17">
        <v>0.40799999999999997</v>
      </c>
      <c r="L244" s="17">
        <v>1.8</v>
      </c>
      <c r="M244" s="17">
        <v>5.2</v>
      </c>
      <c r="N244" s="17">
        <v>0.35099999999999998</v>
      </c>
      <c r="O244" s="17">
        <v>1</v>
      </c>
      <c r="P244" s="17">
        <v>1.7</v>
      </c>
      <c r="Q244" s="17">
        <v>0.57899999999999996</v>
      </c>
      <c r="R244" s="17">
        <v>0.53900000000000003</v>
      </c>
      <c r="S244" s="17">
        <v>0.6</v>
      </c>
      <c r="T244" s="17">
        <v>0.8</v>
      </c>
      <c r="U244" s="17">
        <v>0.77800000000000002</v>
      </c>
      <c r="V244" s="17">
        <v>0.1</v>
      </c>
      <c r="W244" s="17">
        <v>1.6</v>
      </c>
      <c r="X244" s="17">
        <v>1.7</v>
      </c>
      <c r="Y244" s="17">
        <v>1.5</v>
      </c>
      <c r="Z244" s="17">
        <v>1</v>
      </c>
      <c r="AA244" s="17">
        <v>0.2</v>
      </c>
      <c r="AB244" s="17">
        <v>1.5</v>
      </c>
      <c r="AC244" s="17">
        <v>1</v>
      </c>
      <c r="AD244" s="17">
        <v>8.1</v>
      </c>
      <c r="AE244" s="17"/>
      <c r="AG244" s="8" t="str">
        <v>Sam Hauser</v>
      </c>
      <c r="AH244" s="8" t="str">
        <v>BOS</v>
      </c>
    </row>
    <row r="245" spans="1:34" ht="17" x14ac:dyDescent="0.2">
      <c r="A245" s="1">
        <v>237</v>
      </c>
      <c r="B245" s="18" t="s">
        <v>376</v>
      </c>
      <c r="C245" s="17">
        <v>24</v>
      </c>
      <c r="D245" s="18" t="s">
        <v>84</v>
      </c>
      <c r="E245" s="17" t="s">
        <v>29</v>
      </c>
      <c r="F245" s="17">
        <v>33</v>
      </c>
      <c r="G245" s="17">
        <v>1</v>
      </c>
      <c r="H245" s="17">
        <v>15.4</v>
      </c>
      <c r="I245" s="17">
        <v>2.8</v>
      </c>
      <c r="J245" s="17">
        <v>6.2</v>
      </c>
      <c r="K245" s="17">
        <v>0.46100000000000002</v>
      </c>
      <c r="L245" s="17">
        <v>1.2</v>
      </c>
      <c r="M245" s="17">
        <v>3.4</v>
      </c>
      <c r="N245" s="17">
        <v>0.33900000000000002</v>
      </c>
      <c r="O245" s="17">
        <v>1.7</v>
      </c>
      <c r="P245" s="17">
        <v>2.8</v>
      </c>
      <c r="Q245" s="17">
        <v>0.60899999999999999</v>
      </c>
      <c r="R245" s="17">
        <v>0.55400000000000005</v>
      </c>
      <c r="S245" s="17">
        <v>1.2</v>
      </c>
      <c r="T245" s="17">
        <v>1.5</v>
      </c>
      <c r="U245" s="17">
        <v>0.82</v>
      </c>
      <c r="V245" s="17">
        <v>1.5</v>
      </c>
      <c r="W245" s="17">
        <v>4.0999999999999996</v>
      </c>
      <c r="X245" s="17">
        <v>5.5</v>
      </c>
      <c r="Y245" s="17">
        <v>0.8</v>
      </c>
      <c r="Z245" s="17">
        <v>0.3</v>
      </c>
      <c r="AA245" s="17">
        <v>0.8</v>
      </c>
      <c r="AB245" s="17">
        <v>0.6</v>
      </c>
      <c r="AC245" s="17">
        <v>1.7</v>
      </c>
      <c r="AD245" s="17">
        <v>8.1</v>
      </c>
      <c r="AE245" s="17"/>
      <c r="AG245" s="8" t="str">
        <v>Tyrese Martin</v>
      </c>
      <c r="AH245" s="8" t="str">
        <v>BRK</v>
      </c>
    </row>
    <row r="246" spans="1:34" ht="17" x14ac:dyDescent="0.2">
      <c r="A246" s="1">
        <v>238</v>
      </c>
      <c r="B246" s="18" t="s">
        <v>668</v>
      </c>
      <c r="C246" s="17">
        <v>23</v>
      </c>
      <c r="D246" s="18" t="s">
        <v>95</v>
      </c>
      <c r="E246" s="17" t="s">
        <v>54</v>
      </c>
      <c r="F246" s="17">
        <v>3</v>
      </c>
      <c r="G246" s="17">
        <v>0</v>
      </c>
      <c r="H246" s="17">
        <v>24.7</v>
      </c>
      <c r="I246" s="17">
        <v>3</v>
      </c>
      <c r="J246" s="17">
        <v>6</v>
      </c>
      <c r="K246" s="17">
        <v>0.5</v>
      </c>
      <c r="L246" s="17">
        <v>0.3</v>
      </c>
      <c r="M246" s="17">
        <v>2</v>
      </c>
      <c r="N246" s="17">
        <v>0.16700000000000001</v>
      </c>
      <c r="O246" s="17">
        <v>2.7</v>
      </c>
      <c r="P246" s="17">
        <v>4</v>
      </c>
      <c r="Q246" s="17">
        <v>0.66700000000000004</v>
      </c>
      <c r="R246" s="17">
        <v>0.52800000000000002</v>
      </c>
      <c r="S246" s="17">
        <v>1.7</v>
      </c>
      <c r="T246" s="17">
        <v>3</v>
      </c>
      <c r="U246" s="17">
        <v>0.55600000000000005</v>
      </c>
      <c r="V246" s="17">
        <v>1</v>
      </c>
      <c r="W246" s="17">
        <v>3.7</v>
      </c>
      <c r="X246" s="17">
        <v>4.7</v>
      </c>
      <c r="Y246" s="17">
        <v>1</v>
      </c>
      <c r="Z246" s="17">
        <v>0.3</v>
      </c>
      <c r="AA246" s="17">
        <v>0.7</v>
      </c>
      <c r="AB246" s="17">
        <v>1.3</v>
      </c>
      <c r="AC246" s="17">
        <v>1.7</v>
      </c>
      <c r="AD246" s="17">
        <v>8</v>
      </c>
      <c r="AE246" s="17"/>
      <c r="AG246" s="8" t="str">
        <v>Ja'Kobe Walter</v>
      </c>
      <c r="AH246" s="8" t="str">
        <v>TOR</v>
      </c>
    </row>
    <row r="247" spans="1:34" ht="17" x14ac:dyDescent="0.2">
      <c r="A247" s="1">
        <v>239</v>
      </c>
      <c r="B247" s="18" t="s">
        <v>232</v>
      </c>
      <c r="C247" s="17">
        <v>22</v>
      </c>
      <c r="D247" s="18" t="s">
        <v>95</v>
      </c>
      <c r="E247" s="17" t="s">
        <v>35</v>
      </c>
      <c r="F247" s="17">
        <v>35</v>
      </c>
      <c r="G247" s="17">
        <v>16</v>
      </c>
      <c r="H247" s="17">
        <v>21.1</v>
      </c>
      <c r="I247" s="17">
        <v>2.9</v>
      </c>
      <c r="J247" s="17">
        <v>8.1</v>
      </c>
      <c r="K247" s="17">
        <v>0.36</v>
      </c>
      <c r="L247" s="17">
        <v>1.4</v>
      </c>
      <c r="M247" s="17">
        <v>4.5</v>
      </c>
      <c r="N247" s="17">
        <v>0.30199999999999999</v>
      </c>
      <c r="O247" s="17">
        <v>1.5</v>
      </c>
      <c r="P247" s="17">
        <v>3.5</v>
      </c>
      <c r="Q247" s="17">
        <v>0.435</v>
      </c>
      <c r="R247" s="17">
        <v>0.44500000000000001</v>
      </c>
      <c r="S247" s="17">
        <v>0.8</v>
      </c>
      <c r="T247" s="17">
        <v>1</v>
      </c>
      <c r="U247" s="17">
        <v>0.77100000000000002</v>
      </c>
      <c r="V247" s="17">
        <v>0.7</v>
      </c>
      <c r="W247" s="17">
        <v>2.7</v>
      </c>
      <c r="X247" s="17">
        <v>3.3</v>
      </c>
      <c r="Y247" s="17">
        <v>1.5</v>
      </c>
      <c r="Z247" s="17">
        <v>0.8</v>
      </c>
      <c r="AA247" s="17">
        <v>0.3</v>
      </c>
      <c r="AB247" s="17">
        <v>1.3</v>
      </c>
      <c r="AC247" s="17">
        <v>2.6</v>
      </c>
      <c r="AD247" s="17">
        <v>8</v>
      </c>
      <c r="AE247" s="17"/>
      <c r="AG247" s="8" t="str">
        <v>Brandon Clarke</v>
      </c>
      <c r="AH247" s="8" t="str">
        <v>MEM</v>
      </c>
    </row>
    <row r="248" spans="1:34" ht="17" x14ac:dyDescent="0.2">
      <c r="A248" s="1">
        <v>240</v>
      </c>
      <c r="B248" s="18" t="s">
        <v>296</v>
      </c>
      <c r="C248" s="17">
        <v>22</v>
      </c>
      <c r="D248" s="18" t="s">
        <v>134</v>
      </c>
      <c r="E248" s="17" t="s">
        <v>35</v>
      </c>
      <c r="F248" s="17">
        <v>30</v>
      </c>
      <c r="G248" s="17">
        <v>4</v>
      </c>
      <c r="H248" s="17">
        <v>16</v>
      </c>
      <c r="I248" s="17">
        <v>2.7</v>
      </c>
      <c r="J248" s="17">
        <v>6.2</v>
      </c>
      <c r="K248" s="17">
        <v>0.443</v>
      </c>
      <c r="L248" s="17">
        <v>1.5</v>
      </c>
      <c r="M248" s="17">
        <v>3.8</v>
      </c>
      <c r="N248" s="17">
        <v>0.39800000000000002</v>
      </c>
      <c r="O248" s="17">
        <v>1.2</v>
      </c>
      <c r="P248" s="17">
        <v>2.4</v>
      </c>
      <c r="Q248" s="17">
        <v>0.51400000000000001</v>
      </c>
      <c r="R248" s="17">
        <v>0.56499999999999995</v>
      </c>
      <c r="S248" s="17">
        <v>1</v>
      </c>
      <c r="T248" s="17">
        <v>1.4</v>
      </c>
      <c r="U248" s="17">
        <v>0.73799999999999999</v>
      </c>
      <c r="V248" s="17">
        <v>0.4</v>
      </c>
      <c r="W248" s="17">
        <v>1.4</v>
      </c>
      <c r="X248" s="17">
        <v>1.8</v>
      </c>
      <c r="Y248" s="17">
        <v>0.8</v>
      </c>
      <c r="Z248" s="17">
        <v>0.4</v>
      </c>
      <c r="AA248" s="17">
        <v>0.2</v>
      </c>
      <c r="AB248" s="17">
        <v>0.8</v>
      </c>
      <c r="AC248" s="17">
        <v>1.2</v>
      </c>
      <c r="AD248" s="17">
        <v>8</v>
      </c>
      <c r="AE248" s="17"/>
      <c r="AG248" s="8" t="str">
        <v>DaQuan Jeffries</v>
      </c>
      <c r="AH248" s="8" t="str">
        <v>CHO</v>
      </c>
    </row>
    <row r="249" spans="1:34" ht="17" x14ac:dyDescent="0.2">
      <c r="A249" s="1">
        <v>241</v>
      </c>
      <c r="B249" s="18" t="s">
        <v>327</v>
      </c>
      <c r="C249" s="17">
        <v>21</v>
      </c>
      <c r="D249" s="18" t="s">
        <v>134</v>
      </c>
      <c r="E249" s="17" t="s">
        <v>35</v>
      </c>
      <c r="F249" s="17">
        <v>30</v>
      </c>
      <c r="G249" s="17">
        <v>8</v>
      </c>
      <c r="H249" s="17">
        <v>24.2</v>
      </c>
      <c r="I249" s="17">
        <v>3.1</v>
      </c>
      <c r="J249" s="17">
        <v>7.7</v>
      </c>
      <c r="K249" s="17">
        <v>0.40400000000000003</v>
      </c>
      <c r="L249" s="17">
        <v>1</v>
      </c>
      <c r="M249" s="17">
        <v>3.5</v>
      </c>
      <c r="N249" s="17">
        <v>0.29499999999999998</v>
      </c>
      <c r="O249" s="17">
        <v>2.1</v>
      </c>
      <c r="P249" s="17">
        <v>4.2</v>
      </c>
      <c r="Q249" s="17">
        <v>0.496</v>
      </c>
      <c r="R249" s="17">
        <v>0.47199999999999998</v>
      </c>
      <c r="S249" s="17">
        <v>0.7</v>
      </c>
      <c r="T249" s="17">
        <v>1</v>
      </c>
      <c r="U249" s="17">
        <v>0.73299999999999998</v>
      </c>
      <c r="V249" s="17">
        <v>1</v>
      </c>
      <c r="W249" s="17">
        <v>3.5</v>
      </c>
      <c r="X249" s="17">
        <v>4.5</v>
      </c>
      <c r="Y249" s="17">
        <v>3.2</v>
      </c>
      <c r="Z249" s="17">
        <v>1</v>
      </c>
      <c r="AA249" s="17">
        <v>0.2</v>
      </c>
      <c r="AB249" s="17">
        <v>1</v>
      </c>
      <c r="AC249" s="17">
        <v>1.5</v>
      </c>
      <c r="AD249" s="17">
        <v>8</v>
      </c>
      <c r="AE249" s="17"/>
      <c r="AG249" s="8" t="str">
        <v>Ausar Thompson</v>
      </c>
      <c r="AH249" s="8" t="str">
        <v>DET</v>
      </c>
    </row>
    <row r="250" spans="1:34" ht="17" x14ac:dyDescent="0.2">
      <c r="A250" s="1">
        <v>242</v>
      </c>
      <c r="B250" s="18" t="s">
        <v>192</v>
      </c>
      <c r="C250" s="17">
        <v>27</v>
      </c>
      <c r="D250" s="18" t="s">
        <v>68</v>
      </c>
      <c r="E250" s="17" t="s">
        <v>27</v>
      </c>
      <c r="F250" s="17">
        <v>30</v>
      </c>
      <c r="G250" s="17">
        <v>6</v>
      </c>
      <c r="H250" s="17">
        <v>21.1</v>
      </c>
      <c r="I250" s="17">
        <v>2.8</v>
      </c>
      <c r="J250" s="17">
        <v>6.5</v>
      </c>
      <c r="K250" s="17">
        <v>0.43099999999999999</v>
      </c>
      <c r="L250" s="17">
        <v>2.1</v>
      </c>
      <c r="M250" s="17">
        <v>5.6</v>
      </c>
      <c r="N250" s="17">
        <v>0.377</v>
      </c>
      <c r="O250" s="17">
        <v>0.7</v>
      </c>
      <c r="P250" s="17">
        <v>0.9</v>
      </c>
      <c r="Q250" s="17">
        <v>0.75</v>
      </c>
      <c r="R250" s="17">
        <v>0.59199999999999997</v>
      </c>
      <c r="S250" s="17">
        <v>0.1</v>
      </c>
      <c r="T250" s="17">
        <v>0.1</v>
      </c>
      <c r="U250" s="17">
        <v>1</v>
      </c>
      <c r="V250" s="17">
        <v>0.7</v>
      </c>
      <c r="W250" s="17">
        <v>2.2999999999999998</v>
      </c>
      <c r="X250" s="17">
        <v>3</v>
      </c>
      <c r="Y250" s="17">
        <v>1.1000000000000001</v>
      </c>
      <c r="Z250" s="17">
        <v>0.7</v>
      </c>
      <c r="AA250" s="17">
        <v>0.2</v>
      </c>
      <c r="AB250" s="17">
        <v>0.3</v>
      </c>
      <c r="AC250" s="17">
        <v>1.1000000000000001</v>
      </c>
      <c r="AD250" s="17">
        <v>7.8</v>
      </c>
      <c r="AE250" s="17"/>
      <c r="AG250" s="8" t="str">
        <v>Johnny Juzang</v>
      </c>
      <c r="AH250" s="8" t="str">
        <v>UTA</v>
      </c>
    </row>
    <row r="251" spans="1:34" ht="17" x14ac:dyDescent="0.2">
      <c r="A251" s="1">
        <v>243</v>
      </c>
      <c r="B251" s="18" t="s">
        <v>574</v>
      </c>
      <c r="C251" s="17">
        <v>25</v>
      </c>
      <c r="D251" s="18" t="s">
        <v>95</v>
      </c>
      <c r="E251" s="17" t="s">
        <v>35</v>
      </c>
      <c r="F251" s="17">
        <v>21</v>
      </c>
      <c r="G251" s="17">
        <v>4</v>
      </c>
      <c r="H251" s="17">
        <v>18.7</v>
      </c>
      <c r="I251" s="17">
        <v>2.8</v>
      </c>
      <c r="J251" s="17">
        <v>6.7</v>
      </c>
      <c r="K251" s="17">
        <v>0.42099999999999999</v>
      </c>
      <c r="L251" s="17">
        <v>1.5</v>
      </c>
      <c r="M251" s="17">
        <v>4</v>
      </c>
      <c r="N251" s="17">
        <v>0.36499999999999999</v>
      </c>
      <c r="O251" s="17">
        <v>1.3</v>
      </c>
      <c r="P251" s="17">
        <v>2.6</v>
      </c>
      <c r="Q251" s="17">
        <v>0.50900000000000001</v>
      </c>
      <c r="R251" s="17">
        <v>0.53200000000000003</v>
      </c>
      <c r="S251" s="17">
        <v>0.7</v>
      </c>
      <c r="T251" s="17">
        <v>1</v>
      </c>
      <c r="U251" s="17">
        <v>0.66700000000000004</v>
      </c>
      <c r="V251" s="17">
        <v>1</v>
      </c>
      <c r="W251" s="17">
        <v>2.7</v>
      </c>
      <c r="X251" s="17">
        <v>3.6</v>
      </c>
      <c r="Y251" s="17">
        <v>1.7</v>
      </c>
      <c r="Z251" s="17">
        <v>0.5</v>
      </c>
      <c r="AA251" s="17">
        <v>0.1</v>
      </c>
      <c r="AB251" s="17">
        <v>1</v>
      </c>
      <c r="AC251" s="17">
        <v>1</v>
      </c>
      <c r="AD251" s="17">
        <v>7.8</v>
      </c>
      <c r="AE251" s="17"/>
      <c r="AG251" s="8" t="str">
        <v>Taurean Prince</v>
      </c>
      <c r="AH251" s="8" t="str">
        <v>MIL</v>
      </c>
    </row>
    <row r="252" spans="1:34" ht="17" x14ac:dyDescent="0.2">
      <c r="A252" s="1">
        <v>244</v>
      </c>
      <c r="B252" s="18" t="s">
        <v>569</v>
      </c>
      <c r="C252" s="17">
        <v>20</v>
      </c>
      <c r="D252" s="18" t="s">
        <v>30</v>
      </c>
      <c r="E252" s="17" t="s">
        <v>35</v>
      </c>
      <c r="F252" s="17">
        <v>23</v>
      </c>
      <c r="G252" s="17">
        <v>7</v>
      </c>
      <c r="H252" s="17">
        <v>19.600000000000001</v>
      </c>
      <c r="I252" s="17">
        <v>2.8</v>
      </c>
      <c r="J252" s="17">
        <v>7.2</v>
      </c>
      <c r="K252" s="17">
        <v>0.39400000000000002</v>
      </c>
      <c r="L252" s="17">
        <v>1</v>
      </c>
      <c r="M252" s="17">
        <v>3.5</v>
      </c>
      <c r="N252" s="17">
        <v>0.29599999999999999</v>
      </c>
      <c r="O252" s="17">
        <v>1.8</v>
      </c>
      <c r="P252" s="17">
        <v>3.7</v>
      </c>
      <c r="Q252" s="17">
        <v>0.48799999999999999</v>
      </c>
      <c r="R252" s="17">
        <v>0.46700000000000003</v>
      </c>
      <c r="S252" s="17">
        <v>1</v>
      </c>
      <c r="T252" s="17">
        <v>1.6</v>
      </c>
      <c r="U252" s="17">
        <v>0.66700000000000004</v>
      </c>
      <c r="V252" s="17">
        <v>0.9</v>
      </c>
      <c r="W252" s="17">
        <v>1.7</v>
      </c>
      <c r="X252" s="17">
        <v>2.5</v>
      </c>
      <c r="Y252" s="17">
        <v>1.5</v>
      </c>
      <c r="Z252" s="17">
        <v>0.5</v>
      </c>
      <c r="AA252" s="17">
        <v>0.3</v>
      </c>
      <c r="AB252" s="17">
        <v>0.9</v>
      </c>
      <c r="AC252" s="17">
        <v>1.9</v>
      </c>
      <c r="AD252" s="17">
        <v>7.7</v>
      </c>
      <c r="AE252" s="17"/>
      <c r="AG252" s="8" t="str">
        <v>Day'Ron Sharpe</v>
      </c>
      <c r="AH252" s="8" t="str">
        <v>BRK</v>
      </c>
    </row>
    <row r="253" spans="1:34" ht="17" x14ac:dyDescent="0.2">
      <c r="A253" s="1">
        <v>245</v>
      </c>
      <c r="B253" s="18" t="s">
        <v>522</v>
      </c>
      <c r="C253" s="17">
        <v>28</v>
      </c>
      <c r="D253" s="18" t="s">
        <v>38</v>
      </c>
      <c r="E253" s="17" t="s">
        <v>27</v>
      </c>
      <c r="F253" s="17">
        <v>35</v>
      </c>
      <c r="G253" s="17">
        <v>18</v>
      </c>
      <c r="H253" s="17">
        <v>18.600000000000001</v>
      </c>
      <c r="I253" s="17">
        <v>3.4</v>
      </c>
      <c r="J253" s="17">
        <v>5.6</v>
      </c>
      <c r="K253" s="17">
        <v>0.60499999999999998</v>
      </c>
      <c r="L253" s="17">
        <v>0</v>
      </c>
      <c r="M253" s="17">
        <v>0.5</v>
      </c>
      <c r="N253" s="17">
        <v>6.3E-2</v>
      </c>
      <c r="O253" s="17">
        <v>3.3</v>
      </c>
      <c r="P253" s="17">
        <v>5.0999999999999996</v>
      </c>
      <c r="Q253" s="17">
        <v>0.65400000000000003</v>
      </c>
      <c r="R253" s="17">
        <v>0.60799999999999998</v>
      </c>
      <c r="S253" s="17">
        <v>0.7</v>
      </c>
      <c r="T253" s="17">
        <v>1.1000000000000001</v>
      </c>
      <c r="U253" s="17">
        <v>0.63200000000000001</v>
      </c>
      <c r="V253" s="17">
        <v>1.7</v>
      </c>
      <c r="W253" s="17">
        <v>3.4</v>
      </c>
      <c r="X253" s="17">
        <v>5.0999999999999996</v>
      </c>
      <c r="Y253" s="17">
        <v>0.9</v>
      </c>
      <c r="Z253" s="17">
        <v>0.8</v>
      </c>
      <c r="AA253" s="17">
        <v>0.5</v>
      </c>
      <c r="AB253" s="17">
        <v>0.5</v>
      </c>
      <c r="AC253" s="17">
        <v>2.2999999999999998</v>
      </c>
      <c r="AD253" s="17">
        <v>7.5</v>
      </c>
      <c r="AE253" s="17"/>
      <c r="AG253" s="8" t="str">
        <v>Josh Green</v>
      </c>
      <c r="AH253" s="8" t="str">
        <v>CHO</v>
      </c>
    </row>
    <row r="254" spans="1:34" ht="17" x14ac:dyDescent="0.2">
      <c r="A254" s="1">
        <v>246</v>
      </c>
      <c r="B254" s="18" t="s">
        <v>618</v>
      </c>
      <c r="C254" s="17">
        <v>27</v>
      </c>
      <c r="D254" s="18" t="s">
        <v>61</v>
      </c>
      <c r="E254" s="17" t="s">
        <v>35</v>
      </c>
      <c r="F254" s="17">
        <v>8</v>
      </c>
      <c r="G254" s="17">
        <v>0</v>
      </c>
      <c r="H254" s="17">
        <v>19</v>
      </c>
      <c r="I254" s="17">
        <v>3</v>
      </c>
      <c r="J254" s="17">
        <v>5.6</v>
      </c>
      <c r="K254" s="17">
        <v>0.53300000000000003</v>
      </c>
      <c r="L254" s="17">
        <v>1.1000000000000001</v>
      </c>
      <c r="M254" s="17">
        <v>2.5</v>
      </c>
      <c r="N254" s="17">
        <v>0.45</v>
      </c>
      <c r="O254" s="17">
        <v>1.9</v>
      </c>
      <c r="P254" s="17">
        <v>3.1</v>
      </c>
      <c r="Q254" s="17">
        <v>0.6</v>
      </c>
      <c r="R254" s="17">
        <v>0.63300000000000001</v>
      </c>
      <c r="S254" s="17">
        <v>0.4</v>
      </c>
      <c r="T254" s="17">
        <v>0.5</v>
      </c>
      <c r="U254" s="17">
        <v>0.75</v>
      </c>
      <c r="V254" s="17">
        <v>0.8</v>
      </c>
      <c r="W254" s="17">
        <v>2.1</v>
      </c>
      <c r="X254" s="17">
        <v>2.9</v>
      </c>
      <c r="Y254" s="17">
        <v>0.6</v>
      </c>
      <c r="Z254" s="17">
        <v>0.6</v>
      </c>
      <c r="AA254" s="17">
        <v>0.6</v>
      </c>
      <c r="AB254" s="17">
        <v>0.8</v>
      </c>
      <c r="AC254" s="17">
        <v>1.8</v>
      </c>
      <c r="AD254" s="17">
        <v>7.5</v>
      </c>
      <c r="AE254" s="17"/>
      <c r="AG254" s="8" t="str">
        <v>Cole Anthony</v>
      </c>
      <c r="AH254" s="8" t="str">
        <v>ORL</v>
      </c>
    </row>
    <row r="255" spans="1:34" ht="17" x14ac:dyDescent="0.2">
      <c r="A255" s="1">
        <v>247</v>
      </c>
      <c r="B255" s="18" t="s">
        <v>619</v>
      </c>
      <c r="C255" s="17">
        <v>22</v>
      </c>
      <c r="D255" s="18" t="s">
        <v>60</v>
      </c>
      <c r="E255" s="17" t="s">
        <v>54</v>
      </c>
      <c r="F255" s="17">
        <v>16</v>
      </c>
      <c r="G255" s="17">
        <v>5</v>
      </c>
      <c r="H255" s="17">
        <v>18.100000000000001</v>
      </c>
      <c r="I255" s="17">
        <v>3.3</v>
      </c>
      <c r="J255" s="17">
        <v>6.3</v>
      </c>
      <c r="K255" s="17">
        <v>0.51500000000000001</v>
      </c>
      <c r="L255" s="17">
        <v>0.3</v>
      </c>
      <c r="M255" s="17">
        <v>1.2</v>
      </c>
      <c r="N255" s="17">
        <v>0.26300000000000001</v>
      </c>
      <c r="O255" s="17">
        <v>2.9</v>
      </c>
      <c r="P255" s="17">
        <v>5.0999999999999996</v>
      </c>
      <c r="Q255" s="17">
        <v>0.57299999999999995</v>
      </c>
      <c r="R255" s="17">
        <v>0.54</v>
      </c>
      <c r="S255" s="17">
        <v>0.7</v>
      </c>
      <c r="T255" s="17">
        <v>1.5</v>
      </c>
      <c r="U255" s="17">
        <v>0.45800000000000002</v>
      </c>
      <c r="V255" s="17">
        <v>1.4</v>
      </c>
      <c r="W255" s="17">
        <v>3.1</v>
      </c>
      <c r="X255" s="17">
        <v>4.5</v>
      </c>
      <c r="Y255" s="17">
        <v>1.8</v>
      </c>
      <c r="Z255" s="17">
        <v>1.5</v>
      </c>
      <c r="AA255" s="17">
        <v>0.3</v>
      </c>
      <c r="AB255" s="17">
        <v>1.5</v>
      </c>
      <c r="AC255" s="17">
        <v>2.6</v>
      </c>
      <c r="AD255" s="17">
        <v>7.5</v>
      </c>
      <c r="AE255" s="17"/>
      <c r="AG255" s="8" t="str">
        <v>Keon Ellis</v>
      </c>
      <c r="AH255" s="8" t="str">
        <v>SAC</v>
      </c>
    </row>
    <row r="256" spans="1:34" ht="17" x14ac:dyDescent="0.2">
      <c r="A256" s="1">
        <v>248</v>
      </c>
      <c r="B256" s="18" t="s">
        <v>242</v>
      </c>
      <c r="C256" s="17">
        <v>23</v>
      </c>
      <c r="D256" s="18" t="s">
        <v>36</v>
      </c>
      <c r="E256" s="17" t="s">
        <v>35</v>
      </c>
      <c r="F256" s="17">
        <v>32</v>
      </c>
      <c r="G256" s="17">
        <v>5</v>
      </c>
      <c r="H256" s="17">
        <v>17.8</v>
      </c>
      <c r="I256" s="17">
        <v>2.5</v>
      </c>
      <c r="J256" s="17">
        <v>5.9</v>
      </c>
      <c r="K256" s="17">
        <v>0.41799999999999998</v>
      </c>
      <c r="L256" s="17">
        <v>1.7</v>
      </c>
      <c r="M256" s="17">
        <v>4.2</v>
      </c>
      <c r="N256" s="17">
        <v>0.4</v>
      </c>
      <c r="O256" s="17">
        <v>0.8</v>
      </c>
      <c r="P256" s="17">
        <v>1.7</v>
      </c>
      <c r="Q256" s="17">
        <v>0.46300000000000002</v>
      </c>
      <c r="R256" s="17">
        <v>0.56100000000000005</v>
      </c>
      <c r="S256" s="17">
        <v>0.7</v>
      </c>
      <c r="T256" s="17">
        <v>0.8</v>
      </c>
      <c r="U256" s="17">
        <v>0.88</v>
      </c>
      <c r="V256" s="17">
        <v>0.6</v>
      </c>
      <c r="W256" s="17">
        <v>2.2000000000000002</v>
      </c>
      <c r="X256" s="17">
        <v>2.8</v>
      </c>
      <c r="Y256" s="17">
        <v>1</v>
      </c>
      <c r="Z256" s="17">
        <v>0.4</v>
      </c>
      <c r="AA256" s="17">
        <v>0.2</v>
      </c>
      <c r="AB256" s="17">
        <v>0.5</v>
      </c>
      <c r="AC256" s="17">
        <v>1.9</v>
      </c>
      <c r="AD256" s="17">
        <v>7.3</v>
      </c>
      <c r="AE256" s="17"/>
      <c r="AG256" s="8" t="str">
        <v>Vasilije Micić</v>
      </c>
      <c r="AH256" s="8" t="str">
        <v>CHO</v>
      </c>
    </row>
    <row r="257" spans="1:34" ht="17" x14ac:dyDescent="0.2">
      <c r="A257" s="1">
        <v>249</v>
      </c>
      <c r="B257" s="18" t="s">
        <v>335</v>
      </c>
      <c r="C257" s="17">
        <v>30</v>
      </c>
      <c r="D257" s="18" t="s">
        <v>50</v>
      </c>
      <c r="E257" s="17" t="s">
        <v>54</v>
      </c>
      <c r="F257" s="17">
        <v>35</v>
      </c>
      <c r="G257" s="17">
        <v>28</v>
      </c>
      <c r="H257" s="17">
        <v>25.7</v>
      </c>
      <c r="I257" s="17">
        <v>2.7</v>
      </c>
      <c r="J257" s="17">
        <v>5.9</v>
      </c>
      <c r="K257" s="17">
        <v>0.44700000000000001</v>
      </c>
      <c r="L257" s="17">
        <v>1.7</v>
      </c>
      <c r="M257" s="17">
        <v>3.7</v>
      </c>
      <c r="N257" s="17">
        <v>0.443</v>
      </c>
      <c r="O257" s="17">
        <v>1</v>
      </c>
      <c r="P257" s="17">
        <v>2.2000000000000002</v>
      </c>
      <c r="Q257" s="17">
        <v>0.45500000000000002</v>
      </c>
      <c r="R257" s="17">
        <v>0.58699999999999997</v>
      </c>
      <c r="S257" s="17">
        <v>0.4</v>
      </c>
      <c r="T257" s="17">
        <v>0.5</v>
      </c>
      <c r="U257" s="17">
        <v>0.72199999999999998</v>
      </c>
      <c r="V257" s="17">
        <v>0.6</v>
      </c>
      <c r="W257" s="17">
        <v>3.3</v>
      </c>
      <c r="X257" s="17">
        <v>3.9</v>
      </c>
      <c r="Y257" s="17">
        <v>1.8</v>
      </c>
      <c r="Z257" s="17">
        <v>0.9</v>
      </c>
      <c r="AA257" s="17">
        <v>0.2</v>
      </c>
      <c r="AB257" s="17">
        <v>1.2</v>
      </c>
      <c r="AC257" s="17">
        <v>1.9</v>
      </c>
      <c r="AD257" s="17">
        <v>7.3</v>
      </c>
      <c r="AE257" s="17"/>
      <c r="AG257" s="8" t="str">
        <v>Andre Drummond</v>
      </c>
      <c r="AH257" s="8" t="str">
        <v>PHI</v>
      </c>
    </row>
    <row r="258" spans="1:34" ht="17" x14ac:dyDescent="0.2">
      <c r="A258" s="1">
        <v>250</v>
      </c>
      <c r="B258" s="18" t="s">
        <v>621</v>
      </c>
      <c r="C258" s="17">
        <v>23</v>
      </c>
      <c r="D258" s="18" t="s">
        <v>95</v>
      </c>
      <c r="E258" s="17" t="s">
        <v>29</v>
      </c>
      <c r="F258" s="17">
        <v>15</v>
      </c>
      <c r="G258" s="17">
        <v>0</v>
      </c>
      <c r="H258" s="17">
        <v>16.7</v>
      </c>
      <c r="I258" s="17">
        <v>2.9</v>
      </c>
      <c r="J258" s="17">
        <v>6.4</v>
      </c>
      <c r="K258" s="17">
        <v>0.44800000000000001</v>
      </c>
      <c r="L258" s="17">
        <v>0.2</v>
      </c>
      <c r="M258" s="17">
        <v>1.3</v>
      </c>
      <c r="N258" s="17">
        <v>0.15</v>
      </c>
      <c r="O258" s="17">
        <v>2.7</v>
      </c>
      <c r="P258" s="17">
        <v>5.0999999999999996</v>
      </c>
      <c r="Q258" s="17">
        <v>0.52600000000000002</v>
      </c>
      <c r="R258" s="17">
        <v>0.46400000000000002</v>
      </c>
      <c r="S258" s="17">
        <v>1.3</v>
      </c>
      <c r="T258" s="17">
        <v>1.5</v>
      </c>
      <c r="U258" s="17">
        <v>0.87</v>
      </c>
      <c r="V258" s="17">
        <v>2.7</v>
      </c>
      <c r="W258" s="17">
        <v>3.4</v>
      </c>
      <c r="X258" s="17">
        <v>6.1</v>
      </c>
      <c r="Y258" s="17">
        <v>1.5</v>
      </c>
      <c r="Z258" s="17">
        <v>0.8</v>
      </c>
      <c r="AA258" s="17">
        <v>0.5</v>
      </c>
      <c r="AB258" s="17">
        <v>1.1000000000000001</v>
      </c>
      <c r="AC258" s="17">
        <v>1.9</v>
      </c>
      <c r="AD258" s="17">
        <v>7.3</v>
      </c>
      <c r="AE258" s="17"/>
      <c r="AG258" s="8" t="str">
        <v>Bones Hyland</v>
      </c>
      <c r="AH258" s="8" t="str">
        <v>LAC</v>
      </c>
    </row>
    <row r="259" spans="1:34" ht="17" x14ac:dyDescent="0.2">
      <c r="A259" s="1">
        <v>251</v>
      </c>
      <c r="B259" s="18" t="s">
        <v>181</v>
      </c>
      <c r="C259" s="17">
        <v>24</v>
      </c>
      <c r="D259" s="18" t="s">
        <v>61</v>
      </c>
      <c r="E259" s="17" t="s">
        <v>35</v>
      </c>
      <c r="F259" s="17">
        <v>33</v>
      </c>
      <c r="G259" s="17">
        <v>32</v>
      </c>
      <c r="H259" s="17">
        <v>28.3</v>
      </c>
      <c r="I259" s="17">
        <v>2.5</v>
      </c>
      <c r="J259" s="17">
        <v>6.2</v>
      </c>
      <c r="K259" s="17">
        <v>0.41</v>
      </c>
      <c r="L259" s="17">
        <v>1.4</v>
      </c>
      <c r="M259" s="17">
        <v>3.5</v>
      </c>
      <c r="N259" s="17">
        <v>0.40200000000000002</v>
      </c>
      <c r="O259" s="17">
        <v>1.1000000000000001</v>
      </c>
      <c r="P259" s="17">
        <v>2.7</v>
      </c>
      <c r="Q259" s="17">
        <v>0.42</v>
      </c>
      <c r="R259" s="17">
        <v>0.52400000000000002</v>
      </c>
      <c r="S259" s="17">
        <v>0.7</v>
      </c>
      <c r="T259" s="17">
        <v>1.1000000000000001</v>
      </c>
      <c r="U259" s="17">
        <v>0.63900000000000001</v>
      </c>
      <c r="V259" s="17">
        <v>1.1000000000000001</v>
      </c>
      <c r="W259" s="17">
        <v>1.6</v>
      </c>
      <c r="X259" s="17">
        <v>2.8</v>
      </c>
      <c r="Y259" s="17">
        <v>1.5</v>
      </c>
      <c r="Z259" s="17">
        <v>1</v>
      </c>
      <c r="AA259" s="17">
        <v>0.3</v>
      </c>
      <c r="AB259" s="17">
        <v>1</v>
      </c>
      <c r="AC259" s="17">
        <v>3</v>
      </c>
      <c r="AD259" s="17">
        <v>7.2</v>
      </c>
      <c r="AE259" s="17"/>
      <c r="AG259" s="8" t="str">
        <v>Isaiah Jackson</v>
      </c>
      <c r="AH259" s="8" t="str">
        <v>IND</v>
      </c>
    </row>
    <row r="260" spans="1:34" ht="17" x14ac:dyDescent="0.2">
      <c r="A260" s="1">
        <v>252</v>
      </c>
      <c r="B260" s="18" t="s">
        <v>51</v>
      </c>
      <c r="C260" s="17">
        <v>24</v>
      </c>
      <c r="D260" s="18" t="s">
        <v>52</v>
      </c>
      <c r="E260" s="17" t="s">
        <v>46</v>
      </c>
      <c r="F260" s="17">
        <v>36</v>
      </c>
      <c r="G260" s="17">
        <v>3</v>
      </c>
      <c r="H260" s="17">
        <v>14.1</v>
      </c>
      <c r="I260" s="17">
        <v>2.6</v>
      </c>
      <c r="J260" s="17">
        <v>6.8</v>
      </c>
      <c r="K260" s="17">
        <v>0.38700000000000001</v>
      </c>
      <c r="L260" s="17">
        <v>0.8</v>
      </c>
      <c r="M260" s="17">
        <v>2.6</v>
      </c>
      <c r="N260" s="17">
        <v>0.30099999999999999</v>
      </c>
      <c r="O260" s="17">
        <v>1.8</v>
      </c>
      <c r="P260" s="17">
        <v>4.2</v>
      </c>
      <c r="Q260" s="17">
        <v>0.44</v>
      </c>
      <c r="R260" s="17">
        <v>0.44400000000000001</v>
      </c>
      <c r="S260" s="17">
        <v>1.1000000000000001</v>
      </c>
      <c r="T260" s="17">
        <v>1.5</v>
      </c>
      <c r="U260" s="17">
        <v>0.77400000000000002</v>
      </c>
      <c r="V260" s="17">
        <v>0.4</v>
      </c>
      <c r="W260" s="17">
        <v>2</v>
      </c>
      <c r="X260" s="17">
        <v>2.5</v>
      </c>
      <c r="Y260" s="17">
        <v>2.5</v>
      </c>
      <c r="Z260" s="17">
        <v>0.5</v>
      </c>
      <c r="AA260" s="17">
        <v>0.3</v>
      </c>
      <c r="AB260" s="17">
        <v>1.6</v>
      </c>
      <c r="AC260" s="17">
        <v>1.8</v>
      </c>
      <c r="AD260" s="17">
        <v>7.1</v>
      </c>
      <c r="AE260" s="17"/>
      <c r="AG260" s="8" t="str">
        <v>Trey Lyles</v>
      </c>
      <c r="AH260" s="8" t="str">
        <v>SAC</v>
      </c>
    </row>
    <row r="261" spans="1:34" ht="17" x14ac:dyDescent="0.2">
      <c r="A261" s="1">
        <v>253</v>
      </c>
      <c r="B261" s="18" t="s">
        <v>156</v>
      </c>
      <c r="C261" s="17">
        <v>25</v>
      </c>
      <c r="D261" s="18" t="s">
        <v>72</v>
      </c>
      <c r="E261" s="17" t="s">
        <v>35</v>
      </c>
      <c r="F261" s="17">
        <v>35</v>
      </c>
      <c r="G261" s="17">
        <v>8</v>
      </c>
      <c r="H261" s="17">
        <v>21.6</v>
      </c>
      <c r="I261" s="17">
        <v>2.2999999999999998</v>
      </c>
      <c r="J261" s="17">
        <v>5</v>
      </c>
      <c r="K261" s="17">
        <v>0.46600000000000003</v>
      </c>
      <c r="L261" s="17">
        <v>1.4</v>
      </c>
      <c r="M261" s="17">
        <v>3.4</v>
      </c>
      <c r="N261" s="17">
        <v>0.41699999999999998</v>
      </c>
      <c r="O261" s="17">
        <v>0.9</v>
      </c>
      <c r="P261" s="17">
        <v>1.5</v>
      </c>
      <c r="Q261" s="17">
        <v>0.57399999999999995</v>
      </c>
      <c r="R261" s="17">
        <v>0.60899999999999999</v>
      </c>
      <c r="S261" s="17">
        <v>1.1000000000000001</v>
      </c>
      <c r="T261" s="17">
        <v>1.3</v>
      </c>
      <c r="U261" s="17">
        <v>0.84399999999999997</v>
      </c>
      <c r="V261" s="17">
        <v>0.8</v>
      </c>
      <c r="W261" s="17">
        <v>1.6</v>
      </c>
      <c r="X261" s="17">
        <v>2.4</v>
      </c>
      <c r="Y261" s="17">
        <v>1.2</v>
      </c>
      <c r="Z261" s="17">
        <v>1.4</v>
      </c>
      <c r="AA261" s="17">
        <v>0.8</v>
      </c>
      <c r="AB261" s="17">
        <v>0.9</v>
      </c>
      <c r="AC261" s="17">
        <v>1.9</v>
      </c>
      <c r="AD261" s="17">
        <v>7.1</v>
      </c>
      <c r="AE261" s="17"/>
      <c r="AG261" s="8" t="str">
        <v>Torrey Craig</v>
      </c>
      <c r="AH261" s="8" t="str">
        <v>CHI</v>
      </c>
    </row>
    <row r="262" spans="1:34" ht="17" x14ac:dyDescent="0.2">
      <c r="A262" s="1">
        <v>254</v>
      </c>
      <c r="B262" s="18" t="s">
        <v>285</v>
      </c>
      <c r="C262" s="17">
        <v>31</v>
      </c>
      <c r="D262" s="18" t="s">
        <v>61</v>
      </c>
      <c r="E262" s="17" t="s">
        <v>46</v>
      </c>
      <c r="F262" s="17">
        <v>24</v>
      </c>
      <c r="G262" s="17">
        <v>11</v>
      </c>
      <c r="H262" s="17">
        <v>21.1</v>
      </c>
      <c r="I262" s="17">
        <v>2.5</v>
      </c>
      <c r="J262" s="17">
        <v>7.8</v>
      </c>
      <c r="K262" s="17">
        <v>0.32800000000000001</v>
      </c>
      <c r="L262" s="17">
        <v>1.2</v>
      </c>
      <c r="M262" s="17">
        <v>3.7</v>
      </c>
      <c r="N262" s="17">
        <v>0.33</v>
      </c>
      <c r="O262" s="17">
        <v>1.3</v>
      </c>
      <c r="P262" s="17">
        <v>4.0999999999999996</v>
      </c>
      <c r="Q262" s="17">
        <v>0.32700000000000001</v>
      </c>
      <c r="R262" s="17">
        <v>0.40600000000000003</v>
      </c>
      <c r="S262" s="17">
        <v>0.8</v>
      </c>
      <c r="T262" s="17">
        <v>1</v>
      </c>
      <c r="U262" s="17">
        <v>0.8</v>
      </c>
      <c r="V262" s="17">
        <v>0.6</v>
      </c>
      <c r="W262" s="17">
        <v>1.7</v>
      </c>
      <c r="X262" s="17">
        <v>2.2999999999999998</v>
      </c>
      <c r="Y262" s="17">
        <v>3.6</v>
      </c>
      <c r="Z262" s="17">
        <v>0.5</v>
      </c>
      <c r="AA262" s="17">
        <v>0</v>
      </c>
      <c r="AB262" s="17">
        <v>2</v>
      </c>
      <c r="AC262" s="17">
        <v>1</v>
      </c>
      <c r="AD262" s="17">
        <v>7.1</v>
      </c>
      <c r="AE262" s="17"/>
      <c r="AG262" s="8" t="str">
        <v>Kyshawn George</v>
      </c>
      <c r="AH262" s="8" t="str">
        <v>WAS</v>
      </c>
    </row>
    <row r="263" spans="1:34" ht="17" x14ac:dyDescent="0.2">
      <c r="A263" s="1">
        <v>255</v>
      </c>
      <c r="B263" s="18" t="s">
        <v>148</v>
      </c>
      <c r="C263" s="17">
        <v>31</v>
      </c>
      <c r="D263" s="18" t="s">
        <v>64</v>
      </c>
      <c r="E263" s="17" t="s">
        <v>29</v>
      </c>
      <c r="F263" s="17">
        <v>26</v>
      </c>
      <c r="G263" s="17">
        <v>14</v>
      </c>
      <c r="H263" s="17">
        <v>18.899999999999999</v>
      </c>
      <c r="I263" s="17">
        <v>2.8</v>
      </c>
      <c r="J263" s="17">
        <v>5.5</v>
      </c>
      <c r="K263" s="17">
        <v>0.50700000000000001</v>
      </c>
      <c r="L263" s="17">
        <v>0</v>
      </c>
      <c r="M263" s="17">
        <v>0.4</v>
      </c>
      <c r="N263" s="17">
        <v>0.1</v>
      </c>
      <c r="O263" s="17">
        <v>2.8</v>
      </c>
      <c r="P263" s="17">
        <v>5.2</v>
      </c>
      <c r="Q263" s="17">
        <v>0.53700000000000003</v>
      </c>
      <c r="R263" s="17">
        <v>0.51</v>
      </c>
      <c r="S263" s="17">
        <v>1.3</v>
      </c>
      <c r="T263" s="17">
        <v>2.2999999999999998</v>
      </c>
      <c r="U263" s="17">
        <v>0.58299999999999996</v>
      </c>
      <c r="V263" s="17">
        <v>2.7</v>
      </c>
      <c r="W263" s="17">
        <v>5.3</v>
      </c>
      <c r="X263" s="17">
        <v>7.9</v>
      </c>
      <c r="Y263" s="17">
        <v>0.5</v>
      </c>
      <c r="Z263" s="17">
        <v>1.2</v>
      </c>
      <c r="AA263" s="17">
        <v>0.4</v>
      </c>
      <c r="AB263" s="17">
        <v>1.7</v>
      </c>
      <c r="AC263" s="17">
        <v>2.4</v>
      </c>
      <c r="AD263" s="17">
        <v>7</v>
      </c>
      <c r="AE263" s="17"/>
      <c r="AG263" s="8" t="str">
        <v>Haywood Highsmith</v>
      </c>
      <c r="AH263" s="8" t="str">
        <v>MIA</v>
      </c>
    </row>
    <row r="264" spans="1:34" ht="17" x14ac:dyDescent="0.2">
      <c r="A264" s="1">
        <v>256</v>
      </c>
      <c r="B264" s="18" t="s">
        <v>212</v>
      </c>
      <c r="C264" s="17">
        <v>24</v>
      </c>
      <c r="D264" s="18" t="s">
        <v>77</v>
      </c>
      <c r="E264" s="17" t="s">
        <v>46</v>
      </c>
      <c r="F264" s="17">
        <v>16</v>
      </c>
      <c r="G264" s="17">
        <v>0</v>
      </c>
      <c r="H264" s="17">
        <v>11</v>
      </c>
      <c r="I264" s="17">
        <v>2.1</v>
      </c>
      <c r="J264" s="17">
        <v>5.8</v>
      </c>
      <c r="K264" s="17">
        <v>0.36599999999999999</v>
      </c>
      <c r="L264" s="17">
        <v>1.6</v>
      </c>
      <c r="M264" s="17">
        <v>4.0999999999999996</v>
      </c>
      <c r="N264" s="17">
        <v>0.38500000000000001</v>
      </c>
      <c r="O264" s="17">
        <v>0.6</v>
      </c>
      <c r="P264" s="17">
        <v>1.8</v>
      </c>
      <c r="Q264" s="17">
        <v>0.32100000000000001</v>
      </c>
      <c r="R264" s="17">
        <v>0.5</v>
      </c>
      <c r="S264" s="17">
        <v>1.2</v>
      </c>
      <c r="T264" s="17">
        <v>1.4</v>
      </c>
      <c r="U264" s="17">
        <v>0.86399999999999999</v>
      </c>
      <c r="V264" s="17">
        <v>0.3</v>
      </c>
      <c r="W264" s="17">
        <v>0.8</v>
      </c>
      <c r="X264" s="17">
        <v>1.1000000000000001</v>
      </c>
      <c r="Y264" s="17">
        <v>1.3</v>
      </c>
      <c r="Z264" s="17">
        <v>0.8</v>
      </c>
      <c r="AA264" s="17">
        <v>0.3</v>
      </c>
      <c r="AB264" s="17">
        <v>1.1000000000000001</v>
      </c>
      <c r="AC264" s="17">
        <v>1.1000000000000001</v>
      </c>
      <c r="AD264" s="17">
        <v>7</v>
      </c>
      <c r="AE264" s="17"/>
      <c r="AG264" s="8" t="str">
        <v>Sam Merrill</v>
      </c>
      <c r="AH264" s="8" t="str">
        <v>CLE</v>
      </c>
    </row>
    <row r="265" spans="1:34" ht="17" x14ac:dyDescent="0.2">
      <c r="A265" s="1">
        <v>257</v>
      </c>
      <c r="B265" s="18" t="s">
        <v>219</v>
      </c>
      <c r="C265" s="17">
        <v>23</v>
      </c>
      <c r="D265" s="18" t="s">
        <v>99</v>
      </c>
      <c r="E265" s="17" t="s">
        <v>29</v>
      </c>
      <c r="F265" s="17">
        <v>5</v>
      </c>
      <c r="G265" s="17">
        <v>1</v>
      </c>
      <c r="H265" s="17">
        <v>16.8</v>
      </c>
      <c r="I265" s="17">
        <v>2.8</v>
      </c>
      <c r="J265" s="17">
        <v>4.5999999999999996</v>
      </c>
      <c r="K265" s="17">
        <v>0.60899999999999999</v>
      </c>
      <c r="L265" s="17">
        <v>0</v>
      </c>
      <c r="M265" s="17">
        <v>0</v>
      </c>
      <c r="N265" s="17"/>
      <c r="O265" s="17">
        <v>2.8</v>
      </c>
      <c r="P265" s="17">
        <v>4.5999999999999996</v>
      </c>
      <c r="Q265" s="17">
        <v>0.60899999999999999</v>
      </c>
      <c r="R265" s="17">
        <v>0.60899999999999999</v>
      </c>
      <c r="S265" s="17">
        <v>1.4</v>
      </c>
      <c r="T265" s="17">
        <v>2.8</v>
      </c>
      <c r="U265" s="17">
        <v>0.5</v>
      </c>
      <c r="V265" s="17">
        <v>2.2000000000000002</v>
      </c>
      <c r="W265" s="17">
        <v>3.4</v>
      </c>
      <c r="X265" s="17">
        <v>5.6</v>
      </c>
      <c r="Y265" s="17">
        <v>1</v>
      </c>
      <c r="Z265" s="17">
        <v>0.6</v>
      </c>
      <c r="AA265" s="17">
        <v>1.6</v>
      </c>
      <c r="AB265" s="17">
        <v>1</v>
      </c>
      <c r="AC265" s="17">
        <v>2.8</v>
      </c>
      <c r="AD265" s="17">
        <v>7</v>
      </c>
      <c r="AE265" s="17"/>
      <c r="AG265" s="8" t="str">
        <v>Cason Wallace</v>
      </c>
      <c r="AH265" s="8" t="str">
        <v>OKC</v>
      </c>
    </row>
    <row r="266" spans="1:34" ht="17" x14ac:dyDescent="0.2">
      <c r="A266" s="1">
        <v>258</v>
      </c>
      <c r="B266" s="18" t="s">
        <v>265</v>
      </c>
      <c r="C266" s="17">
        <v>29</v>
      </c>
      <c r="D266" s="18" t="s">
        <v>72</v>
      </c>
      <c r="E266" s="17" t="s">
        <v>27</v>
      </c>
      <c r="F266" s="17">
        <v>27</v>
      </c>
      <c r="G266" s="17">
        <v>2</v>
      </c>
      <c r="H266" s="17">
        <v>20.8</v>
      </c>
      <c r="I266" s="17">
        <v>2.2999999999999998</v>
      </c>
      <c r="J266" s="17">
        <v>5.7</v>
      </c>
      <c r="K266" s="17">
        <v>0.40500000000000003</v>
      </c>
      <c r="L266" s="17">
        <v>1.6</v>
      </c>
      <c r="M266" s="17">
        <v>4</v>
      </c>
      <c r="N266" s="17">
        <v>0.38500000000000001</v>
      </c>
      <c r="O266" s="17">
        <v>0.7</v>
      </c>
      <c r="P266" s="17">
        <v>1.6</v>
      </c>
      <c r="Q266" s="17">
        <v>0.45500000000000002</v>
      </c>
      <c r="R266" s="17">
        <v>0.54200000000000004</v>
      </c>
      <c r="S266" s="17">
        <v>0.9</v>
      </c>
      <c r="T266" s="17">
        <v>1.1000000000000001</v>
      </c>
      <c r="U266" s="17">
        <v>0.77400000000000002</v>
      </c>
      <c r="V266" s="17">
        <v>1</v>
      </c>
      <c r="W266" s="17">
        <v>3.5</v>
      </c>
      <c r="X266" s="17">
        <v>4.5</v>
      </c>
      <c r="Y266" s="17">
        <v>0.9</v>
      </c>
      <c r="Z266" s="17">
        <v>0.6</v>
      </c>
      <c r="AA266" s="17">
        <v>0.5</v>
      </c>
      <c r="AB266" s="17">
        <v>0.7</v>
      </c>
      <c r="AC266" s="17">
        <v>1.3</v>
      </c>
      <c r="AD266" s="17">
        <v>7</v>
      </c>
      <c r="AE266" s="17"/>
      <c r="AG266" s="8" t="str">
        <v>Shake Milton</v>
      </c>
      <c r="AH266" s="8" t="str">
        <v>LAL</v>
      </c>
    </row>
    <row r="267" spans="1:34" ht="17" x14ac:dyDescent="0.2">
      <c r="A267" s="1">
        <v>259</v>
      </c>
      <c r="B267" s="18" t="s">
        <v>130</v>
      </c>
      <c r="C267" s="17">
        <v>34</v>
      </c>
      <c r="D267" s="18" t="s">
        <v>84</v>
      </c>
      <c r="E267" s="17" t="s">
        <v>54</v>
      </c>
      <c r="F267" s="17">
        <v>9</v>
      </c>
      <c r="G267" s="17">
        <v>1</v>
      </c>
      <c r="H267" s="17">
        <v>12.6</v>
      </c>
      <c r="I267" s="17">
        <v>2.4</v>
      </c>
      <c r="J267" s="17">
        <v>5</v>
      </c>
      <c r="K267" s="17">
        <v>0.48899999999999999</v>
      </c>
      <c r="L267" s="17">
        <v>1.7</v>
      </c>
      <c r="M267" s="17">
        <v>3.9</v>
      </c>
      <c r="N267" s="17">
        <v>0.42899999999999999</v>
      </c>
      <c r="O267" s="17">
        <v>0.8</v>
      </c>
      <c r="P267" s="17">
        <v>1.1000000000000001</v>
      </c>
      <c r="Q267" s="17">
        <v>0.7</v>
      </c>
      <c r="R267" s="17">
        <v>0.65600000000000003</v>
      </c>
      <c r="S267" s="17">
        <v>0.3</v>
      </c>
      <c r="T267" s="17">
        <v>0.4</v>
      </c>
      <c r="U267" s="17">
        <v>0.75</v>
      </c>
      <c r="V267" s="17">
        <v>0.9</v>
      </c>
      <c r="W267" s="17">
        <v>1.9</v>
      </c>
      <c r="X267" s="17">
        <v>2.8</v>
      </c>
      <c r="Y267" s="17">
        <v>0.6</v>
      </c>
      <c r="Z267" s="17">
        <v>0.2</v>
      </c>
      <c r="AA267" s="17">
        <v>0.1</v>
      </c>
      <c r="AB267" s="17">
        <v>0</v>
      </c>
      <c r="AC267" s="17">
        <v>1.7</v>
      </c>
      <c r="AD267" s="17">
        <v>6.9</v>
      </c>
      <c r="AE267" s="17"/>
      <c r="AG267" s="8" t="str">
        <v>Ryan Dunn</v>
      </c>
      <c r="AH267" s="8" t="str">
        <v>PHO</v>
      </c>
    </row>
    <row r="268" spans="1:34" ht="17" x14ac:dyDescent="0.2">
      <c r="A268" s="1">
        <v>260</v>
      </c>
      <c r="B268" s="18" t="s">
        <v>538</v>
      </c>
      <c r="C268" s="17">
        <v>21</v>
      </c>
      <c r="D268" s="18" t="s">
        <v>56</v>
      </c>
      <c r="E268" s="17" t="s">
        <v>35</v>
      </c>
      <c r="F268" s="17">
        <v>30</v>
      </c>
      <c r="G268" s="17">
        <v>8</v>
      </c>
      <c r="H268" s="17">
        <v>25.6</v>
      </c>
      <c r="I268" s="17">
        <v>2.5</v>
      </c>
      <c r="J268" s="17">
        <v>7.5</v>
      </c>
      <c r="K268" s="17">
        <v>0.33</v>
      </c>
      <c r="L268" s="17">
        <v>1.2</v>
      </c>
      <c r="M268" s="17">
        <v>5</v>
      </c>
      <c r="N268" s="17">
        <v>0.24</v>
      </c>
      <c r="O268" s="17">
        <v>1.3</v>
      </c>
      <c r="P268" s="17">
        <v>2.5</v>
      </c>
      <c r="Q268" s="17">
        <v>0.51400000000000001</v>
      </c>
      <c r="R268" s="17">
        <v>0.41099999999999998</v>
      </c>
      <c r="S268" s="17">
        <v>0.8</v>
      </c>
      <c r="T268" s="17">
        <v>1.1000000000000001</v>
      </c>
      <c r="U268" s="17">
        <v>0.72699999999999998</v>
      </c>
      <c r="V268" s="17">
        <v>0.8</v>
      </c>
      <c r="W268" s="17">
        <v>3.2</v>
      </c>
      <c r="X268" s="17">
        <v>4</v>
      </c>
      <c r="Y268" s="17">
        <v>2.2000000000000002</v>
      </c>
      <c r="Z268" s="17">
        <v>0.8</v>
      </c>
      <c r="AA268" s="17">
        <v>0.7</v>
      </c>
      <c r="AB268" s="17">
        <v>1.2</v>
      </c>
      <c r="AC268" s="17">
        <v>2.9</v>
      </c>
      <c r="AD268" s="17">
        <v>6.9</v>
      </c>
      <c r="AE268" s="17"/>
      <c r="AG268" s="8" t="str">
        <v>Simone Fontecchio</v>
      </c>
      <c r="AH268" s="8" t="str">
        <v>DET</v>
      </c>
    </row>
    <row r="269" spans="1:34" ht="17" x14ac:dyDescent="0.2">
      <c r="A269" s="1">
        <v>261</v>
      </c>
      <c r="B269" s="18" t="s">
        <v>199</v>
      </c>
      <c r="C269" s="17">
        <v>28</v>
      </c>
      <c r="D269" s="18" t="s">
        <v>33</v>
      </c>
      <c r="E269" s="17" t="s">
        <v>54</v>
      </c>
      <c r="F269" s="17">
        <v>34</v>
      </c>
      <c r="G269" s="17">
        <v>27</v>
      </c>
      <c r="H269" s="17">
        <v>25</v>
      </c>
      <c r="I269" s="17">
        <v>2.6</v>
      </c>
      <c r="J269" s="17">
        <v>5.3</v>
      </c>
      <c r="K269" s="17">
        <v>0.48599999999999999</v>
      </c>
      <c r="L269" s="17">
        <v>1.3</v>
      </c>
      <c r="M269" s="17">
        <v>3.1</v>
      </c>
      <c r="N269" s="17">
        <v>0.41</v>
      </c>
      <c r="O269" s="17">
        <v>1.3</v>
      </c>
      <c r="P269" s="17">
        <v>2.2000000000000002</v>
      </c>
      <c r="Q269" s="17">
        <v>0.59199999999999997</v>
      </c>
      <c r="R269" s="17">
        <v>0.60499999999999998</v>
      </c>
      <c r="S269" s="17">
        <v>0.4</v>
      </c>
      <c r="T269" s="17">
        <v>0.6</v>
      </c>
      <c r="U269" s="17">
        <v>0.68200000000000005</v>
      </c>
      <c r="V269" s="17">
        <v>0.9</v>
      </c>
      <c r="W269" s="17">
        <v>2.5</v>
      </c>
      <c r="X269" s="17">
        <v>3.4</v>
      </c>
      <c r="Y269" s="17">
        <v>1.2</v>
      </c>
      <c r="Z269" s="17">
        <v>0.9</v>
      </c>
      <c r="AA269" s="17">
        <v>0.6</v>
      </c>
      <c r="AB269" s="17">
        <v>0.9</v>
      </c>
      <c r="AC269" s="17">
        <v>2.2000000000000002</v>
      </c>
      <c r="AD269" s="17">
        <v>6.9</v>
      </c>
      <c r="AE269" s="17"/>
      <c r="AG269" s="8" t="str">
        <v>Jared Butler</v>
      </c>
      <c r="AH269" s="8" t="str">
        <v>WAS</v>
      </c>
    </row>
    <row r="270" spans="1:34" ht="17" x14ac:dyDescent="0.2">
      <c r="A270" s="1">
        <v>262</v>
      </c>
      <c r="B270" s="18" t="s">
        <v>284</v>
      </c>
      <c r="C270" s="17">
        <v>28</v>
      </c>
      <c r="D270" s="18" t="s">
        <v>44</v>
      </c>
      <c r="E270" s="17" t="s">
        <v>35</v>
      </c>
      <c r="F270" s="17">
        <v>30</v>
      </c>
      <c r="G270" s="17">
        <v>2</v>
      </c>
      <c r="H270" s="17">
        <v>19</v>
      </c>
      <c r="I270" s="17">
        <v>2.2999999999999998</v>
      </c>
      <c r="J270" s="17">
        <v>5.9</v>
      </c>
      <c r="K270" s="17">
        <v>0.38400000000000001</v>
      </c>
      <c r="L270" s="17">
        <v>1.8</v>
      </c>
      <c r="M270" s="17">
        <v>5.0999999999999996</v>
      </c>
      <c r="N270" s="17">
        <v>0.34599999999999997</v>
      </c>
      <c r="O270" s="17">
        <v>0.5</v>
      </c>
      <c r="P270" s="17">
        <v>0.8</v>
      </c>
      <c r="Q270" s="17">
        <v>0.625</v>
      </c>
      <c r="R270" s="17">
        <v>0.53400000000000003</v>
      </c>
      <c r="S270" s="17">
        <v>0.6</v>
      </c>
      <c r="T270" s="17">
        <v>0.6</v>
      </c>
      <c r="U270" s="17">
        <v>0.94399999999999995</v>
      </c>
      <c r="V270" s="17">
        <v>0.4</v>
      </c>
      <c r="W270" s="17">
        <v>1.4</v>
      </c>
      <c r="X270" s="17">
        <v>1.8</v>
      </c>
      <c r="Y270" s="17">
        <v>1.6</v>
      </c>
      <c r="Z270" s="17">
        <v>0.6</v>
      </c>
      <c r="AA270" s="17">
        <v>0.2</v>
      </c>
      <c r="AB270" s="17">
        <v>0.5</v>
      </c>
      <c r="AC270" s="17">
        <v>2</v>
      </c>
      <c r="AD270" s="17">
        <v>6.9</v>
      </c>
      <c r="AE270" s="17"/>
      <c r="AG270" s="8" t="str">
        <v>Cameron Payne</v>
      </c>
      <c r="AH270" s="8" t="str">
        <v>NYK</v>
      </c>
    </row>
    <row r="271" spans="1:34" ht="17" x14ac:dyDescent="0.2">
      <c r="A271" s="1">
        <v>263</v>
      </c>
      <c r="B271" s="18" t="s">
        <v>410</v>
      </c>
      <c r="C271" s="17">
        <v>21</v>
      </c>
      <c r="D271" s="18" t="s">
        <v>81</v>
      </c>
      <c r="E271" s="17" t="s">
        <v>35</v>
      </c>
      <c r="F271" s="17">
        <v>35</v>
      </c>
      <c r="G271" s="17">
        <v>22</v>
      </c>
      <c r="H271" s="17">
        <v>27.1</v>
      </c>
      <c r="I271" s="17">
        <v>2.8</v>
      </c>
      <c r="J271" s="17">
        <v>6.5</v>
      </c>
      <c r="K271" s="17">
        <v>0.432</v>
      </c>
      <c r="L271" s="17">
        <v>1</v>
      </c>
      <c r="M271" s="17">
        <v>3.1</v>
      </c>
      <c r="N271" s="17">
        <v>0.318</v>
      </c>
      <c r="O271" s="17">
        <v>1.9</v>
      </c>
      <c r="P271" s="17">
        <v>3.5</v>
      </c>
      <c r="Q271" s="17">
        <v>0.53300000000000003</v>
      </c>
      <c r="R271" s="17">
        <v>0.50700000000000001</v>
      </c>
      <c r="S271" s="17">
        <v>0.3</v>
      </c>
      <c r="T271" s="17">
        <v>0.4</v>
      </c>
      <c r="U271" s="17">
        <v>0.84599999999999997</v>
      </c>
      <c r="V271" s="17">
        <v>1.1000000000000001</v>
      </c>
      <c r="W271" s="17">
        <v>2.2999999999999998</v>
      </c>
      <c r="X271" s="17">
        <v>3.3</v>
      </c>
      <c r="Y271" s="17">
        <v>2.4</v>
      </c>
      <c r="Z271" s="17">
        <v>1.7</v>
      </c>
      <c r="AA271" s="17">
        <v>0.7</v>
      </c>
      <c r="AB271" s="17">
        <v>0.6</v>
      </c>
      <c r="AC271" s="17">
        <v>2.1</v>
      </c>
      <c r="AD271" s="17">
        <v>6.9</v>
      </c>
      <c r="AE271" s="17"/>
      <c r="AG271" s="8" t="str">
        <v>Elfrid Payton</v>
      </c>
      <c r="AH271" s="8" t="str">
        <v>NOP</v>
      </c>
    </row>
    <row r="272" spans="1:34" ht="17" x14ac:dyDescent="0.2">
      <c r="A272" s="1">
        <v>264</v>
      </c>
      <c r="B272" s="18" t="s">
        <v>290</v>
      </c>
      <c r="C272" s="17">
        <v>28</v>
      </c>
      <c r="D272" s="17" t="s">
        <v>610</v>
      </c>
      <c r="E272" s="17" t="s">
        <v>35</v>
      </c>
      <c r="F272" s="17">
        <v>31</v>
      </c>
      <c r="G272" s="17">
        <v>1</v>
      </c>
      <c r="H272" s="17">
        <v>17.3</v>
      </c>
      <c r="I272" s="17">
        <v>2.5</v>
      </c>
      <c r="J272" s="17">
        <v>5.5</v>
      </c>
      <c r="K272" s="17">
        <v>0.45600000000000002</v>
      </c>
      <c r="L272" s="17">
        <v>1</v>
      </c>
      <c r="M272" s="17">
        <v>2.6</v>
      </c>
      <c r="N272" s="17">
        <v>0.37</v>
      </c>
      <c r="O272" s="17">
        <v>1.5</v>
      </c>
      <c r="P272" s="17">
        <v>2.8</v>
      </c>
      <c r="Q272" s="17">
        <v>0.53400000000000003</v>
      </c>
      <c r="R272" s="17">
        <v>0.54400000000000004</v>
      </c>
      <c r="S272" s="17">
        <v>0.9</v>
      </c>
      <c r="T272" s="17">
        <v>1.2</v>
      </c>
      <c r="U272" s="17">
        <v>0.75700000000000001</v>
      </c>
      <c r="V272" s="17">
        <v>0.5</v>
      </c>
      <c r="W272" s="17">
        <v>1.4</v>
      </c>
      <c r="X272" s="17">
        <v>2</v>
      </c>
      <c r="Y272" s="17">
        <v>2.2000000000000002</v>
      </c>
      <c r="Z272" s="17">
        <v>0.5</v>
      </c>
      <c r="AA272" s="17">
        <v>0.1</v>
      </c>
      <c r="AB272" s="17">
        <v>0.7</v>
      </c>
      <c r="AC272" s="17">
        <v>1.5</v>
      </c>
      <c r="AD272" s="17">
        <v>6.8</v>
      </c>
      <c r="AE272" s="17"/>
      <c r="AG272" s="8" t="str">
        <v>Ron Holland</v>
      </c>
      <c r="AH272" s="8" t="str">
        <v>DET</v>
      </c>
    </row>
    <row r="273" spans="1:34" ht="17" x14ac:dyDescent="0.2">
      <c r="A273" s="20">
        <v>264</v>
      </c>
      <c r="B273" s="18" t="s">
        <v>290</v>
      </c>
      <c r="C273" s="21">
        <v>28</v>
      </c>
      <c r="D273" s="18" t="s">
        <v>95</v>
      </c>
      <c r="E273" s="21" t="s">
        <v>35</v>
      </c>
      <c r="F273" s="21">
        <v>27</v>
      </c>
      <c r="G273" s="21">
        <v>1</v>
      </c>
      <c r="H273" s="21">
        <v>18.2</v>
      </c>
      <c r="I273" s="21">
        <v>2.7</v>
      </c>
      <c r="J273" s="21">
        <v>5.8</v>
      </c>
      <c r="K273" s="21">
        <v>0.46500000000000002</v>
      </c>
      <c r="L273" s="21">
        <v>1</v>
      </c>
      <c r="M273" s="21">
        <v>2.7</v>
      </c>
      <c r="N273" s="21">
        <v>0.38900000000000001</v>
      </c>
      <c r="O273" s="21">
        <v>1.7</v>
      </c>
      <c r="P273" s="21">
        <v>3.1</v>
      </c>
      <c r="Q273" s="21">
        <v>0.52900000000000003</v>
      </c>
      <c r="R273" s="21">
        <v>0.55400000000000005</v>
      </c>
      <c r="S273" s="21">
        <v>0.9</v>
      </c>
      <c r="T273" s="21">
        <v>1.2</v>
      </c>
      <c r="U273" s="21">
        <v>0.75800000000000001</v>
      </c>
      <c r="V273" s="21">
        <v>0.6</v>
      </c>
      <c r="W273" s="21">
        <v>1.3</v>
      </c>
      <c r="X273" s="21">
        <v>1.9</v>
      </c>
      <c r="Y273" s="21">
        <v>2.4</v>
      </c>
      <c r="Z273" s="21">
        <v>0.6</v>
      </c>
      <c r="AA273" s="21">
        <v>0</v>
      </c>
      <c r="AB273" s="21">
        <v>0.7</v>
      </c>
      <c r="AC273" s="21">
        <v>1.6</v>
      </c>
      <c r="AD273" s="21">
        <v>7.4</v>
      </c>
      <c r="AE273" s="21"/>
      <c r="AG273" s="8" t="str">
        <v>Jarace Walker</v>
      </c>
      <c r="AH273" s="8" t="str">
        <v>IND</v>
      </c>
    </row>
    <row r="274" spans="1:34" ht="17" x14ac:dyDescent="0.2">
      <c r="A274" s="20">
        <v>264</v>
      </c>
      <c r="B274" s="18" t="s">
        <v>290</v>
      </c>
      <c r="C274" s="21">
        <v>28</v>
      </c>
      <c r="D274" s="18" t="s">
        <v>116</v>
      </c>
      <c r="E274" s="21" t="s">
        <v>35</v>
      </c>
      <c r="F274" s="21">
        <v>4</v>
      </c>
      <c r="G274" s="21">
        <v>0</v>
      </c>
      <c r="H274" s="21">
        <v>11.3</v>
      </c>
      <c r="I274" s="21">
        <v>1</v>
      </c>
      <c r="J274" s="21">
        <v>3</v>
      </c>
      <c r="K274" s="21">
        <v>0.33300000000000002</v>
      </c>
      <c r="L274" s="21">
        <v>0.5</v>
      </c>
      <c r="M274" s="21">
        <v>2.2999999999999998</v>
      </c>
      <c r="N274" s="21">
        <v>0.222</v>
      </c>
      <c r="O274" s="21">
        <v>0.5</v>
      </c>
      <c r="P274" s="21">
        <v>0.8</v>
      </c>
      <c r="Q274" s="21">
        <v>0.66700000000000004</v>
      </c>
      <c r="R274" s="21">
        <v>0.41699999999999998</v>
      </c>
      <c r="S274" s="21">
        <v>0.8</v>
      </c>
      <c r="T274" s="21">
        <v>1</v>
      </c>
      <c r="U274" s="21">
        <v>0.75</v>
      </c>
      <c r="V274" s="21">
        <v>0.3</v>
      </c>
      <c r="W274" s="21">
        <v>2.2999999999999998</v>
      </c>
      <c r="X274" s="21">
        <v>2.5</v>
      </c>
      <c r="Y274" s="21">
        <v>1</v>
      </c>
      <c r="Z274" s="21">
        <v>0</v>
      </c>
      <c r="AA274" s="21">
        <v>0.3</v>
      </c>
      <c r="AB274" s="21">
        <v>0.8</v>
      </c>
      <c r="AC274" s="21">
        <v>0.5</v>
      </c>
      <c r="AD274" s="21">
        <v>3.3</v>
      </c>
      <c r="AE274" s="21"/>
      <c r="AG274" s="8" t="str">
        <v>Robert Williams</v>
      </c>
      <c r="AH274" s="8" t="str">
        <v>POR</v>
      </c>
    </row>
    <row r="275" spans="1:34" ht="17" x14ac:dyDescent="0.2">
      <c r="A275" s="1">
        <v>265</v>
      </c>
      <c r="B275" s="18" t="s">
        <v>545</v>
      </c>
      <c r="C275" s="17">
        <v>22</v>
      </c>
      <c r="D275" s="18" t="s">
        <v>42</v>
      </c>
      <c r="E275" s="17" t="s">
        <v>54</v>
      </c>
      <c r="F275" s="17">
        <v>32</v>
      </c>
      <c r="G275" s="17">
        <v>16</v>
      </c>
      <c r="H275" s="17">
        <v>19.5</v>
      </c>
      <c r="I275" s="17">
        <v>2.7</v>
      </c>
      <c r="J275" s="17">
        <v>6.2</v>
      </c>
      <c r="K275" s="17">
        <v>0.442</v>
      </c>
      <c r="L275" s="17">
        <v>1.1000000000000001</v>
      </c>
      <c r="M275" s="17">
        <v>3.6</v>
      </c>
      <c r="N275" s="17">
        <v>0.30199999999999999</v>
      </c>
      <c r="O275" s="17">
        <v>1.6</v>
      </c>
      <c r="P275" s="17">
        <v>2.5</v>
      </c>
      <c r="Q275" s="17">
        <v>0.64200000000000002</v>
      </c>
      <c r="R275" s="17">
        <v>0.53</v>
      </c>
      <c r="S275" s="17">
        <v>0.2</v>
      </c>
      <c r="T275" s="17">
        <v>0.4</v>
      </c>
      <c r="U275" s="17">
        <v>0.5</v>
      </c>
      <c r="V275" s="17">
        <v>0.8</v>
      </c>
      <c r="W275" s="17">
        <v>2.2999999999999998</v>
      </c>
      <c r="X275" s="17">
        <v>3.1</v>
      </c>
      <c r="Y275" s="17">
        <v>0.8</v>
      </c>
      <c r="Z275" s="17">
        <v>0.5</v>
      </c>
      <c r="AA275" s="17">
        <v>0.7</v>
      </c>
      <c r="AB275" s="17">
        <v>0.5</v>
      </c>
      <c r="AC275" s="17">
        <v>2.2999999999999998</v>
      </c>
      <c r="AD275" s="17">
        <v>6.8</v>
      </c>
      <c r="AE275" s="17"/>
      <c r="AG275" s="8" t="str">
        <v>Kris Dunn</v>
      </c>
      <c r="AH275" s="8" t="str">
        <v>LAC</v>
      </c>
    </row>
    <row r="276" spans="1:34" ht="17" x14ac:dyDescent="0.2">
      <c r="A276" s="1">
        <v>266</v>
      </c>
      <c r="B276" s="18" t="s">
        <v>161</v>
      </c>
      <c r="C276" s="17">
        <v>29</v>
      </c>
      <c r="D276" s="18" t="s">
        <v>60</v>
      </c>
      <c r="E276" s="17" t="s">
        <v>54</v>
      </c>
      <c r="F276" s="17">
        <v>33</v>
      </c>
      <c r="G276" s="17">
        <v>0</v>
      </c>
      <c r="H276" s="17">
        <v>18.5</v>
      </c>
      <c r="I276" s="17">
        <v>2.2000000000000002</v>
      </c>
      <c r="J276" s="17">
        <v>5.4</v>
      </c>
      <c r="K276" s="17">
        <v>0.40799999999999997</v>
      </c>
      <c r="L276" s="17">
        <v>1.2</v>
      </c>
      <c r="M276" s="17">
        <v>3.5</v>
      </c>
      <c r="N276" s="17">
        <v>0.35699999999999998</v>
      </c>
      <c r="O276" s="17">
        <v>1</v>
      </c>
      <c r="P276" s="17">
        <v>1.9</v>
      </c>
      <c r="Q276" s="17">
        <v>0.5</v>
      </c>
      <c r="R276" s="17">
        <v>0.52200000000000002</v>
      </c>
      <c r="S276" s="17">
        <v>1.1000000000000001</v>
      </c>
      <c r="T276" s="17">
        <v>1.3</v>
      </c>
      <c r="U276" s="17">
        <v>0.81799999999999995</v>
      </c>
      <c r="V276" s="17">
        <v>0.7</v>
      </c>
      <c r="W276" s="17">
        <v>2.2999999999999998</v>
      </c>
      <c r="X276" s="17">
        <v>3</v>
      </c>
      <c r="Y276" s="17">
        <v>0.9</v>
      </c>
      <c r="Z276" s="17">
        <v>0.4</v>
      </c>
      <c r="AA276" s="17">
        <v>0.2</v>
      </c>
      <c r="AB276" s="17">
        <v>0.9</v>
      </c>
      <c r="AC276" s="17">
        <v>1.2</v>
      </c>
      <c r="AD276" s="17">
        <v>6.8</v>
      </c>
      <c r="AE276" s="17"/>
      <c r="AG276" s="8" t="str">
        <v>KJ Martin</v>
      </c>
      <c r="AH276" s="8" t="str">
        <v>PHI</v>
      </c>
    </row>
    <row r="277" spans="1:34" ht="17" x14ac:dyDescent="0.2">
      <c r="A277" s="1">
        <v>267</v>
      </c>
      <c r="B277" s="18" t="s">
        <v>106</v>
      </c>
      <c r="C277" s="17">
        <v>24</v>
      </c>
      <c r="D277" s="18" t="s">
        <v>56</v>
      </c>
      <c r="E277" s="17" t="s">
        <v>35</v>
      </c>
      <c r="F277" s="17">
        <v>26</v>
      </c>
      <c r="G277" s="17">
        <v>0</v>
      </c>
      <c r="H277" s="17">
        <v>11.2</v>
      </c>
      <c r="I277" s="17">
        <v>2.7</v>
      </c>
      <c r="J277" s="17">
        <v>5.6</v>
      </c>
      <c r="K277" s="17">
        <v>0.47299999999999998</v>
      </c>
      <c r="L277" s="17">
        <v>0.5</v>
      </c>
      <c r="M277" s="17">
        <v>1.4</v>
      </c>
      <c r="N277" s="17">
        <v>0.36099999999999999</v>
      </c>
      <c r="O277" s="17">
        <v>2.2000000000000002</v>
      </c>
      <c r="P277" s="17">
        <v>4.2</v>
      </c>
      <c r="Q277" s="17">
        <v>0.50900000000000001</v>
      </c>
      <c r="R277" s="17">
        <v>0.51700000000000002</v>
      </c>
      <c r="S277" s="17">
        <v>0.9</v>
      </c>
      <c r="T277" s="17">
        <v>1.2</v>
      </c>
      <c r="U277" s="17">
        <v>0.75</v>
      </c>
      <c r="V277" s="17">
        <v>0.4</v>
      </c>
      <c r="W277" s="17">
        <v>0.7</v>
      </c>
      <c r="X277" s="17">
        <v>1.1000000000000001</v>
      </c>
      <c r="Y277" s="17">
        <v>2.7</v>
      </c>
      <c r="Z277" s="17">
        <v>0.4</v>
      </c>
      <c r="AA277" s="17">
        <v>0.1</v>
      </c>
      <c r="AB277" s="17">
        <v>0.9</v>
      </c>
      <c r="AC277" s="17">
        <v>1.2</v>
      </c>
      <c r="AD277" s="17">
        <v>6.7</v>
      </c>
      <c r="AE277" s="17"/>
      <c r="AG277" s="8" t="str">
        <v>Ajay Mitchell</v>
      </c>
      <c r="AH277" s="8" t="str">
        <v>OKC</v>
      </c>
    </row>
    <row r="278" spans="1:34" ht="17" x14ac:dyDescent="0.2">
      <c r="A278" s="1">
        <v>268</v>
      </c>
      <c r="B278" s="18" t="s">
        <v>320</v>
      </c>
      <c r="C278" s="17">
        <v>30</v>
      </c>
      <c r="D278" s="18" t="s">
        <v>31</v>
      </c>
      <c r="E278" s="17" t="s">
        <v>46</v>
      </c>
      <c r="F278" s="17">
        <v>32</v>
      </c>
      <c r="G278" s="17">
        <v>1</v>
      </c>
      <c r="H278" s="17">
        <v>15.3</v>
      </c>
      <c r="I278" s="17">
        <v>2.4</v>
      </c>
      <c r="J278" s="17">
        <v>5.7</v>
      </c>
      <c r="K278" s="17">
        <v>0.42099999999999999</v>
      </c>
      <c r="L278" s="17">
        <v>1.4</v>
      </c>
      <c r="M278" s="17">
        <v>3.5</v>
      </c>
      <c r="N278" s="17">
        <v>0.40500000000000003</v>
      </c>
      <c r="O278" s="17">
        <v>1</v>
      </c>
      <c r="P278" s="17">
        <v>2.2999999999999998</v>
      </c>
      <c r="Q278" s="17">
        <v>0.44400000000000001</v>
      </c>
      <c r="R278" s="17">
        <v>0.54400000000000004</v>
      </c>
      <c r="S278" s="17">
        <v>0.5</v>
      </c>
      <c r="T278" s="17">
        <v>0.6</v>
      </c>
      <c r="U278" s="17">
        <v>0.83299999999999996</v>
      </c>
      <c r="V278" s="17">
        <v>0.3</v>
      </c>
      <c r="W278" s="17">
        <v>1.2</v>
      </c>
      <c r="X278" s="17">
        <v>1.4</v>
      </c>
      <c r="Y278" s="17">
        <v>2.7</v>
      </c>
      <c r="Z278" s="17">
        <v>0.6</v>
      </c>
      <c r="AA278" s="17">
        <v>0.3</v>
      </c>
      <c r="AB278" s="17">
        <v>0.7</v>
      </c>
      <c r="AC278" s="17">
        <v>1.8</v>
      </c>
      <c r="AD278" s="17">
        <v>6.7</v>
      </c>
      <c r="AE278" s="17"/>
      <c r="AG278" s="8" t="str">
        <v>Kelly Olynyk</v>
      </c>
      <c r="AH278" s="8" t="str">
        <v>TOR</v>
      </c>
    </row>
    <row r="279" spans="1:34" ht="17" x14ac:dyDescent="0.2">
      <c r="A279" s="1">
        <v>269</v>
      </c>
      <c r="B279" s="18" t="s">
        <v>623</v>
      </c>
      <c r="C279" s="17">
        <v>30</v>
      </c>
      <c r="D279" s="18" t="s">
        <v>47</v>
      </c>
      <c r="E279" s="17" t="s">
        <v>46</v>
      </c>
      <c r="F279" s="17">
        <v>7</v>
      </c>
      <c r="G279" s="17">
        <v>3</v>
      </c>
      <c r="H279" s="17">
        <v>20.6</v>
      </c>
      <c r="I279" s="17">
        <v>3.3</v>
      </c>
      <c r="J279" s="17">
        <v>6.6</v>
      </c>
      <c r="K279" s="17">
        <v>0.5</v>
      </c>
      <c r="L279" s="17">
        <v>0</v>
      </c>
      <c r="M279" s="17">
        <v>0.1</v>
      </c>
      <c r="N279" s="17">
        <v>0</v>
      </c>
      <c r="O279" s="17">
        <v>3.3</v>
      </c>
      <c r="P279" s="17">
        <v>6.4</v>
      </c>
      <c r="Q279" s="17">
        <v>0.51100000000000001</v>
      </c>
      <c r="R279" s="17">
        <v>0.5</v>
      </c>
      <c r="S279" s="17">
        <v>0.1</v>
      </c>
      <c r="T279" s="17">
        <v>0.3</v>
      </c>
      <c r="U279" s="17">
        <v>0.5</v>
      </c>
      <c r="V279" s="17">
        <v>0.7</v>
      </c>
      <c r="W279" s="17">
        <v>2.7</v>
      </c>
      <c r="X279" s="17">
        <v>3.4</v>
      </c>
      <c r="Y279" s="17">
        <v>6.9</v>
      </c>
      <c r="Z279" s="17">
        <v>1.4</v>
      </c>
      <c r="AA279" s="17">
        <v>0.4</v>
      </c>
      <c r="AB279" s="17">
        <v>2.9</v>
      </c>
      <c r="AC279" s="17">
        <v>1.4</v>
      </c>
      <c r="AD279" s="17">
        <v>6.7</v>
      </c>
      <c r="AE279" s="17"/>
      <c r="AG279" s="8" t="str">
        <v>Alec Burks</v>
      </c>
      <c r="AH279" s="8" t="str">
        <v>MIA</v>
      </c>
    </row>
    <row r="280" spans="1:34" ht="17" x14ac:dyDescent="0.2">
      <c r="A280" s="1">
        <v>270</v>
      </c>
      <c r="B280" s="18" t="s">
        <v>548</v>
      </c>
      <c r="C280" s="17">
        <v>19</v>
      </c>
      <c r="D280" s="18" t="s">
        <v>60</v>
      </c>
      <c r="E280" s="17" t="s">
        <v>54</v>
      </c>
      <c r="F280" s="19">
        <v>38</v>
      </c>
      <c r="G280" s="17">
        <v>1</v>
      </c>
      <c r="H280" s="17">
        <v>15.9</v>
      </c>
      <c r="I280" s="17">
        <v>2.6</v>
      </c>
      <c r="J280" s="17">
        <v>5.3</v>
      </c>
      <c r="K280" s="17">
        <v>0.48299999999999998</v>
      </c>
      <c r="L280" s="17">
        <v>0.4</v>
      </c>
      <c r="M280" s="17">
        <v>1.9</v>
      </c>
      <c r="N280" s="17">
        <v>0.23</v>
      </c>
      <c r="O280" s="17">
        <v>2.1</v>
      </c>
      <c r="P280" s="17">
        <v>3.4</v>
      </c>
      <c r="Q280" s="17">
        <v>0.628</v>
      </c>
      <c r="R280" s="17">
        <v>0.52500000000000002</v>
      </c>
      <c r="S280" s="17">
        <v>0.9</v>
      </c>
      <c r="T280" s="17">
        <v>1.2</v>
      </c>
      <c r="U280" s="17">
        <v>0.8</v>
      </c>
      <c r="V280" s="17">
        <v>0.5</v>
      </c>
      <c r="W280" s="17">
        <v>2.4</v>
      </c>
      <c r="X280" s="17">
        <v>2.9</v>
      </c>
      <c r="Y280" s="17">
        <v>0.8</v>
      </c>
      <c r="Z280" s="17">
        <v>0.5</v>
      </c>
      <c r="AA280" s="17">
        <v>0.2</v>
      </c>
      <c r="AB280" s="17">
        <v>0.9</v>
      </c>
      <c r="AC280" s="17">
        <v>1.8</v>
      </c>
      <c r="AD280" s="17">
        <v>6.6</v>
      </c>
      <c r="AE280" s="17"/>
      <c r="AG280" s="8" t="str">
        <v>Talen Horton-Tucker</v>
      </c>
      <c r="AH280" s="8" t="str">
        <v>CHI</v>
      </c>
    </row>
    <row r="281" spans="1:34" ht="17" x14ac:dyDescent="0.2">
      <c r="A281" s="1">
        <v>271</v>
      </c>
      <c r="B281" s="18" t="s">
        <v>409</v>
      </c>
      <c r="C281" s="17">
        <v>21</v>
      </c>
      <c r="D281" s="18" t="s">
        <v>99</v>
      </c>
      <c r="E281" s="17" t="s">
        <v>27</v>
      </c>
      <c r="F281" s="19">
        <v>38</v>
      </c>
      <c r="G281" s="17">
        <v>1</v>
      </c>
      <c r="H281" s="17">
        <v>17.399999999999999</v>
      </c>
      <c r="I281" s="17">
        <v>2.2999999999999998</v>
      </c>
      <c r="J281" s="17">
        <v>5</v>
      </c>
      <c r="K281" s="17">
        <v>0.46800000000000003</v>
      </c>
      <c r="L281" s="17">
        <v>1.1000000000000001</v>
      </c>
      <c r="M281" s="17">
        <v>2.6</v>
      </c>
      <c r="N281" s="17">
        <v>0.4</v>
      </c>
      <c r="O281" s="17">
        <v>1.3</v>
      </c>
      <c r="P281" s="17">
        <v>2.4</v>
      </c>
      <c r="Q281" s="17">
        <v>0.54400000000000004</v>
      </c>
      <c r="R281" s="17">
        <v>0.57399999999999995</v>
      </c>
      <c r="S281" s="17">
        <v>0.8</v>
      </c>
      <c r="T281" s="17">
        <v>1.3</v>
      </c>
      <c r="U281" s="17">
        <v>0.64</v>
      </c>
      <c r="V281" s="17">
        <v>0.3</v>
      </c>
      <c r="W281" s="17">
        <v>2.8</v>
      </c>
      <c r="X281" s="17">
        <v>3.2</v>
      </c>
      <c r="Y281" s="17">
        <v>1.5</v>
      </c>
      <c r="Z281" s="17">
        <v>1</v>
      </c>
      <c r="AA281" s="17">
        <v>0.3</v>
      </c>
      <c r="AB281" s="17">
        <v>1.2</v>
      </c>
      <c r="AC281" s="17">
        <v>1.6</v>
      </c>
      <c r="AD281" s="17">
        <v>6.6</v>
      </c>
      <c r="AE281" s="17"/>
      <c r="AG281" s="8" t="str">
        <v>Jeremiah Robinson-Earl</v>
      </c>
      <c r="AH281" s="8" t="str">
        <v>NOP</v>
      </c>
    </row>
    <row r="282" spans="1:34" ht="17" x14ac:dyDescent="0.2">
      <c r="A282" s="1">
        <v>272</v>
      </c>
      <c r="B282" s="18" t="s">
        <v>430</v>
      </c>
      <c r="C282" s="17">
        <v>27</v>
      </c>
      <c r="D282" s="18" t="s">
        <v>58</v>
      </c>
      <c r="E282" s="17" t="s">
        <v>29</v>
      </c>
      <c r="F282" s="17">
        <v>12</v>
      </c>
      <c r="G282" s="17">
        <v>1</v>
      </c>
      <c r="H282" s="17">
        <v>16.5</v>
      </c>
      <c r="I282" s="17">
        <v>2.8</v>
      </c>
      <c r="J282" s="17">
        <v>3.8</v>
      </c>
      <c r="K282" s="17">
        <v>0.71699999999999997</v>
      </c>
      <c r="L282" s="17">
        <v>0.1</v>
      </c>
      <c r="M282" s="17">
        <v>0.3</v>
      </c>
      <c r="N282" s="17">
        <v>0.33300000000000002</v>
      </c>
      <c r="O282" s="17">
        <v>2.7</v>
      </c>
      <c r="P282" s="17">
        <v>3.6</v>
      </c>
      <c r="Q282" s="17">
        <v>0.74399999999999999</v>
      </c>
      <c r="R282" s="17">
        <v>0.72799999999999998</v>
      </c>
      <c r="S282" s="17">
        <v>1</v>
      </c>
      <c r="T282" s="17">
        <v>1.1000000000000001</v>
      </c>
      <c r="U282" s="17">
        <v>0.92300000000000004</v>
      </c>
      <c r="V282" s="17">
        <v>1.6</v>
      </c>
      <c r="W282" s="17">
        <v>3.4</v>
      </c>
      <c r="X282" s="17">
        <v>5</v>
      </c>
      <c r="Y282" s="17">
        <v>1</v>
      </c>
      <c r="Z282" s="17">
        <v>0.8</v>
      </c>
      <c r="AA282" s="17">
        <v>1.7</v>
      </c>
      <c r="AB282" s="17">
        <v>0.8</v>
      </c>
      <c r="AC282" s="17">
        <v>1.2</v>
      </c>
      <c r="AD282" s="17">
        <v>6.6</v>
      </c>
      <c r="AE282" s="17"/>
      <c r="AG282" s="8" t="str">
        <v>Dru Smith</v>
      </c>
      <c r="AH282" s="8" t="str">
        <v>MIA</v>
      </c>
    </row>
    <row r="283" spans="1:34" ht="17" x14ac:dyDescent="0.2">
      <c r="A283" s="1">
        <v>273</v>
      </c>
      <c r="B283" s="18" t="s">
        <v>150</v>
      </c>
      <c r="C283" s="17">
        <v>30</v>
      </c>
      <c r="D283" s="18" t="s">
        <v>77</v>
      </c>
      <c r="E283" s="17" t="s">
        <v>46</v>
      </c>
      <c r="F283" s="17">
        <v>37</v>
      </c>
      <c r="G283" s="17">
        <v>26</v>
      </c>
      <c r="H283" s="17">
        <v>23.4</v>
      </c>
      <c r="I283" s="17">
        <v>2.7</v>
      </c>
      <c r="J283" s="17">
        <v>6.1</v>
      </c>
      <c r="K283" s="17">
        <v>0.438</v>
      </c>
      <c r="L283" s="17">
        <v>1</v>
      </c>
      <c r="M283" s="17">
        <v>3.1</v>
      </c>
      <c r="N283" s="17">
        <v>0.32800000000000001</v>
      </c>
      <c r="O283" s="17">
        <v>1.6</v>
      </c>
      <c r="P283" s="17">
        <v>3</v>
      </c>
      <c r="Q283" s="17">
        <v>0.55500000000000005</v>
      </c>
      <c r="R283" s="17">
        <v>0.52200000000000002</v>
      </c>
      <c r="S283" s="17">
        <v>0.2</v>
      </c>
      <c r="T283" s="17">
        <v>0.3</v>
      </c>
      <c r="U283" s="17">
        <v>0.5</v>
      </c>
      <c r="V283" s="17">
        <v>0.7</v>
      </c>
      <c r="W283" s="17">
        <v>2.7</v>
      </c>
      <c r="X283" s="17">
        <v>3.4</v>
      </c>
      <c r="Y283" s="17">
        <v>2.6</v>
      </c>
      <c r="Z283" s="17">
        <v>1.6</v>
      </c>
      <c r="AA283" s="17">
        <v>0.4</v>
      </c>
      <c r="AB283" s="17">
        <v>1.2</v>
      </c>
      <c r="AC283" s="17">
        <v>2.5</v>
      </c>
      <c r="AD283" s="17">
        <v>6.5</v>
      </c>
      <c r="AE283" s="17"/>
      <c r="AG283" s="8" t="str">
        <v>Dean Wade</v>
      </c>
      <c r="AH283" s="8" t="str">
        <v>CLE</v>
      </c>
    </row>
    <row r="284" spans="1:34" ht="17" x14ac:dyDescent="0.2">
      <c r="A284" s="1">
        <v>274</v>
      </c>
      <c r="B284" s="18" t="s">
        <v>273</v>
      </c>
      <c r="C284" s="17">
        <v>24</v>
      </c>
      <c r="D284" s="18" t="s">
        <v>64</v>
      </c>
      <c r="E284" s="17" t="s">
        <v>27</v>
      </c>
      <c r="F284" s="17">
        <v>24</v>
      </c>
      <c r="G284" s="17">
        <v>7</v>
      </c>
      <c r="H284" s="17">
        <v>20</v>
      </c>
      <c r="I284" s="17">
        <v>2.5</v>
      </c>
      <c r="J284" s="17">
        <v>4.0999999999999996</v>
      </c>
      <c r="K284" s="17">
        <v>0.61599999999999999</v>
      </c>
      <c r="L284" s="17">
        <v>0.3</v>
      </c>
      <c r="M284" s="17">
        <v>0.9</v>
      </c>
      <c r="N284" s="17">
        <v>0.38100000000000001</v>
      </c>
      <c r="O284" s="17">
        <v>2.2000000000000002</v>
      </c>
      <c r="P284" s="17">
        <v>3.3</v>
      </c>
      <c r="Q284" s="17">
        <v>0.67900000000000005</v>
      </c>
      <c r="R284" s="17">
        <v>0.65700000000000003</v>
      </c>
      <c r="S284" s="17">
        <v>1</v>
      </c>
      <c r="T284" s="17">
        <v>1.2</v>
      </c>
      <c r="U284" s="17">
        <v>0.82799999999999996</v>
      </c>
      <c r="V284" s="17">
        <v>0.9</v>
      </c>
      <c r="W284" s="17">
        <v>2.1</v>
      </c>
      <c r="X284" s="17">
        <v>3</v>
      </c>
      <c r="Y284" s="17">
        <v>0.8</v>
      </c>
      <c r="Z284" s="17">
        <v>0.5</v>
      </c>
      <c r="AA284" s="17">
        <v>0.7</v>
      </c>
      <c r="AB284" s="17">
        <v>0.5</v>
      </c>
      <c r="AC284" s="17">
        <v>2.6</v>
      </c>
      <c r="AD284" s="17">
        <v>6.4</v>
      </c>
      <c r="AE284" s="17"/>
      <c r="AG284" s="8" t="str">
        <v>Terance Mann</v>
      </c>
      <c r="AH284" s="8" t="str">
        <v>LAC</v>
      </c>
    </row>
    <row r="285" spans="1:34" ht="17" x14ac:dyDescent="0.2">
      <c r="A285" s="1">
        <v>275</v>
      </c>
      <c r="B285" s="18" t="s">
        <v>551</v>
      </c>
      <c r="C285" s="17">
        <v>22</v>
      </c>
      <c r="D285" s="18" t="s">
        <v>81</v>
      </c>
      <c r="E285" s="17" t="s">
        <v>35</v>
      </c>
      <c r="F285" s="17">
        <v>34</v>
      </c>
      <c r="G285" s="17">
        <v>1</v>
      </c>
      <c r="H285" s="17">
        <v>16.5</v>
      </c>
      <c r="I285" s="17">
        <v>2.5</v>
      </c>
      <c r="J285" s="17">
        <v>4.9000000000000004</v>
      </c>
      <c r="K285" s="17">
        <v>0.50600000000000001</v>
      </c>
      <c r="L285" s="17">
        <v>0.6</v>
      </c>
      <c r="M285" s="17">
        <v>1.5</v>
      </c>
      <c r="N285" s="17">
        <v>0.43099999999999999</v>
      </c>
      <c r="O285" s="17">
        <v>1.8</v>
      </c>
      <c r="P285" s="17">
        <v>3.4</v>
      </c>
      <c r="Q285" s="17">
        <v>0.53900000000000003</v>
      </c>
      <c r="R285" s="17">
        <v>0.57199999999999995</v>
      </c>
      <c r="S285" s="17">
        <v>0.8</v>
      </c>
      <c r="T285" s="17">
        <v>1</v>
      </c>
      <c r="U285" s="17">
        <v>0.84799999999999998</v>
      </c>
      <c r="V285" s="17">
        <v>0.5</v>
      </c>
      <c r="W285" s="17">
        <v>1.5</v>
      </c>
      <c r="X285" s="17">
        <v>2</v>
      </c>
      <c r="Y285" s="17">
        <v>1.7</v>
      </c>
      <c r="Z285" s="17">
        <v>0.7</v>
      </c>
      <c r="AA285" s="17">
        <v>0.1</v>
      </c>
      <c r="AB285" s="17">
        <v>0.8</v>
      </c>
      <c r="AC285" s="17">
        <v>1.7</v>
      </c>
      <c r="AD285" s="17">
        <v>6.4</v>
      </c>
      <c r="AE285" s="17"/>
      <c r="AG285" s="8" t="str">
        <v>Josh Okogie</v>
      </c>
      <c r="AH285" s="8" t="str">
        <v>PHO</v>
      </c>
    </row>
    <row r="286" spans="1:34" ht="17" x14ac:dyDescent="0.2">
      <c r="A286" s="1">
        <v>276</v>
      </c>
      <c r="B286" s="18" t="s">
        <v>620</v>
      </c>
      <c r="C286" s="17">
        <v>33</v>
      </c>
      <c r="D286" s="18" t="s">
        <v>30</v>
      </c>
      <c r="E286" s="17" t="s">
        <v>29</v>
      </c>
      <c r="F286" s="17">
        <v>15</v>
      </c>
      <c r="G286" s="17">
        <v>1</v>
      </c>
      <c r="H286" s="17">
        <v>14.8</v>
      </c>
      <c r="I286" s="17">
        <v>2.2000000000000002</v>
      </c>
      <c r="J286" s="17">
        <v>4.7</v>
      </c>
      <c r="K286" s="17">
        <v>0.46500000000000002</v>
      </c>
      <c r="L286" s="17">
        <v>0.7</v>
      </c>
      <c r="M286" s="17">
        <v>1.7</v>
      </c>
      <c r="N286" s="17">
        <v>0.44</v>
      </c>
      <c r="O286" s="17">
        <v>1.5</v>
      </c>
      <c r="P286" s="17">
        <v>3.1</v>
      </c>
      <c r="Q286" s="17">
        <v>0.47799999999999998</v>
      </c>
      <c r="R286" s="17">
        <v>0.54200000000000004</v>
      </c>
      <c r="S286" s="17">
        <v>1.3</v>
      </c>
      <c r="T286" s="17">
        <v>1.5</v>
      </c>
      <c r="U286" s="17">
        <v>0.82599999999999996</v>
      </c>
      <c r="V286" s="17">
        <v>0.9</v>
      </c>
      <c r="W286" s="17">
        <v>2.7</v>
      </c>
      <c r="X286" s="17">
        <v>3.6</v>
      </c>
      <c r="Y286" s="17">
        <v>1.9</v>
      </c>
      <c r="Z286" s="17">
        <v>0.8</v>
      </c>
      <c r="AA286" s="17">
        <v>0.2</v>
      </c>
      <c r="AB286" s="17">
        <v>1.5</v>
      </c>
      <c r="AC286" s="17">
        <v>2.2000000000000002</v>
      </c>
      <c r="AD286" s="17">
        <v>6.4</v>
      </c>
      <c r="AE286" s="17"/>
      <c r="AG286" s="8" t="str">
        <v>Davion Mitchell</v>
      </c>
      <c r="AH286" s="8" t="str">
        <v>TOR</v>
      </c>
    </row>
    <row r="287" spans="1:34" ht="17" x14ac:dyDescent="0.2">
      <c r="A287" s="1">
        <v>277</v>
      </c>
      <c r="B287" s="18" t="s">
        <v>105</v>
      </c>
      <c r="C287" s="17">
        <v>33</v>
      </c>
      <c r="D287" s="18" t="s">
        <v>33</v>
      </c>
      <c r="E287" s="17" t="s">
        <v>35</v>
      </c>
      <c r="F287" s="17">
        <v>21</v>
      </c>
      <c r="G287" s="17">
        <v>0</v>
      </c>
      <c r="H287" s="17">
        <v>16.7</v>
      </c>
      <c r="I287" s="17">
        <v>1.9</v>
      </c>
      <c r="J287" s="17">
        <v>4.4000000000000004</v>
      </c>
      <c r="K287" s="17">
        <v>0.43</v>
      </c>
      <c r="L287" s="17">
        <v>1.5</v>
      </c>
      <c r="M287" s="17">
        <v>3.3</v>
      </c>
      <c r="N287" s="17">
        <v>0.44900000000000001</v>
      </c>
      <c r="O287" s="17">
        <v>0.4</v>
      </c>
      <c r="P287" s="17">
        <v>1.1000000000000001</v>
      </c>
      <c r="Q287" s="17">
        <v>0.375</v>
      </c>
      <c r="R287" s="17">
        <v>0.59699999999999998</v>
      </c>
      <c r="S287" s="17">
        <v>1</v>
      </c>
      <c r="T287" s="17">
        <v>1.2</v>
      </c>
      <c r="U287" s="17">
        <v>0.80800000000000005</v>
      </c>
      <c r="V287" s="17">
        <v>0.3</v>
      </c>
      <c r="W287" s="17">
        <v>2</v>
      </c>
      <c r="X287" s="17">
        <v>2.2999999999999998</v>
      </c>
      <c r="Y287" s="17">
        <v>1</v>
      </c>
      <c r="Z287" s="17">
        <v>0.6</v>
      </c>
      <c r="AA287" s="17">
        <v>0.2</v>
      </c>
      <c r="AB287" s="17">
        <v>0.3</v>
      </c>
      <c r="AC287" s="17">
        <v>0.7</v>
      </c>
      <c r="AD287" s="17">
        <v>6.3</v>
      </c>
      <c r="AE287" s="17"/>
      <c r="AG287" s="8" t="str">
        <v>Lindy Waters III</v>
      </c>
      <c r="AH287" s="8" t="str">
        <v>GSW</v>
      </c>
    </row>
    <row r="288" spans="1:34" ht="17" x14ac:dyDescent="0.2">
      <c r="A288" s="1">
        <v>278</v>
      </c>
      <c r="B288" s="18" t="s">
        <v>206</v>
      </c>
      <c r="C288" s="17">
        <v>24</v>
      </c>
      <c r="D288" s="18" t="s">
        <v>84</v>
      </c>
      <c r="E288" s="17" t="s">
        <v>35</v>
      </c>
      <c r="F288" s="17">
        <v>30</v>
      </c>
      <c r="G288" s="17">
        <v>0</v>
      </c>
      <c r="H288" s="17">
        <v>12.2</v>
      </c>
      <c r="I288" s="17">
        <v>2.2999999999999998</v>
      </c>
      <c r="J288" s="17">
        <v>4.8</v>
      </c>
      <c r="K288" s="17">
        <v>0.48299999999999998</v>
      </c>
      <c r="L288" s="17">
        <v>0.8</v>
      </c>
      <c r="M288" s="17">
        <v>2.1</v>
      </c>
      <c r="N288" s="17">
        <v>0.38100000000000001</v>
      </c>
      <c r="O288" s="17">
        <v>1.5</v>
      </c>
      <c r="P288" s="17">
        <v>2.7</v>
      </c>
      <c r="Q288" s="17">
        <v>0.56299999999999994</v>
      </c>
      <c r="R288" s="17">
        <v>0.56599999999999995</v>
      </c>
      <c r="S288" s="17">
        <v>0.9</v>
      </c>
      <c r="T288" s="17">
        <v>1.3</v>
      </c>
      <c r="U288" s="17">
        <v>0.68400000000000005</v>
      </c>
      <c r="V288" s="17">
        <v>0.4</v>
      </c>
      <c r="W288" s="17">
        <v>1.5</v>
      </c>
      <c r="X288" s="17">
        <v>1.9</v>
      </c>
      <c r="Y288" s="17">
        <v>1.5</v>
      </c>
      <c r="Z288" s="17">
        <v>0.4</v>
      </c>
      <c r="AA288" s="17">
        <v>0.3</v>
      </c>
      <c r="AB288" s="17">
        <v>0.6</v>
      </c>
      <c r="AC288" s="17">
        <v>1</v>
      </c>
      <c r="AD288" s="17">
        <v>6.3</v>
      </c>
      <c r="AE288" s="17"/>
      <c r="AG288" s="8" t="str">
        <v>Kenrich Williams</v>
      </c>
      <c r="AH288" s="8" t="str">
        <v>OKC</v>
      </c>
    </row>
    <row r="289" spans="1:34" ht="17" x14ac:dyDescent="0.2">
      <c r="A289" s="1">
        <v>279</v>
      </c>
      <c r="B289" s="18" t="s">
        <v>352</v>
      </c>
      <c r="C289" s="17">
        <v>24</v>
      </c>
      <c r="D289" s="18" t="s">
        <v>47</v>
      </c>
      <c r="E289" s="17" t="s">
        <v>27</v>
      </c>
      <c r="F289" s="17">
        <v>33</v>
      </c>
      <c r="G289" s="17">
        <v>5</v>
      </c>
      <c r="H289" s="17">
        <v>18.7</v>
      </c>
      <c r="I289" s="17">
        <v>2.4</v>
      </c>
      <c r="J289" s="17">
        <v>5.4</v>
      </c>
      <c r="K289" s="17">
        <v>0.44400000000000001</v>
      </c>
      <c r="L289" s="17">
        <v>0.8</v>
      </c>
      <c r="M289" s="17">
        <v>2.5</v>
      </c>
      <c r="N289" s="17">
        <v>0.32100000000000001</v>
      </c>
      <c r="O289" s="17">
        <v>1.6</v>
      </c>
      <c r="P289" s="17">
        <v>2.9</v>
      </c>
      <c r="Q289" s="17">
        <v>0.54600000000000004</v>
      </c>
      <c r="R289" s="17">
        <v>0.51700000000000002</v>
      </c>
      <c r="S289" s="17">
        <v>0.8</v>
      </c>
      <c r="T289" s="17">
        <v>0.9</v>
      </c>
      <c r="U289" s="17">
        <v>0.86199999999999999</v>
      </c>
      <c r="V289" s="17">
        <v>1.9</v>
      </c>
      <c r="W289" s="17">
        <v>2.9</v>
      </c>
      <c r="X289" s="17">
        <v>4.8</v>
      </c>
      <c r="Y289" s="17">
        <v>1.2</v>
      </c>
      <c r="Z289" s="17">
        <v>0.7</v>
      </c>
      <c r="AA289" s="17">
        <v>0.1</v>
      </c>
      <c r="AB289" s="17">
        <v>0.8</v>
      </c>
      <c r="AC289" s="17">
        <v>1.2</v>
      </c>
      <c r="AD289" s="17">
        <v>6.3</v>
      </c>
      <c r="AE289" s="17"/>
      <c r="AG289" s="8" t="str">
        <v>Isaiah Wong</v>
      </c>
      <c r="AH289" s="8" t="str">
        <v>CHO</v>
      </c>
    </row>
    <row r="290" spans="1:34" ht="17" x14ac:dyDescent="0.2">
      <c r="A290" s="1">
        <v>280</v>
      </c>
      <c r="B290" s="18" t="s">
        <v>374</v>
      </c>
      <c r="C290" s="17">
        <v>27</v>
      </c>
      <c r="D290" s="18" t="s">
        <v>33</v>
      </c>
      <c r="E290" s="17" t="s">
        <v>35</v>
      </c>
      <c r="F290" s="17">
        <v>14</v>
      </c>
      <c r="G290" s="17">
        <v>1</v>
      </c>
      <c r="H290" s="17">
        <v>19.100000000000001</v>
      </c>
      <c r="I290" s="17">
        <v>2.2000000000000002</v>
      </c>
      <c r="J290" s="17">
        <v>4.4000000000000004</v>
      </c>
      <c r="K290" s="17">
        <v>0.50800000000000001</v>
      </c>
      <c r="L290" s="17">
        <v>1.1000000000000001</v>
      </c>
      <c r="M290" s="17">
        <v>2.1</v>
      </c>
      <c r="N290" s="17">
        <v>0.53300000000000003</v>
      </c>
      <c r="O290" s="17">
        <v>1.1000000000000001</v>
      </c>
      <c r="P290" s="17">
        <v>2.2000000000000002</v>
      </c>
      <c r="Q290" s="17">
        <v>0.48399999999999999</v>
      </c>
      <c r="R290" s="17">
        <v>0.63900000000000001</v>
      </c>
      <c r="S290" s="17">
        <v>0.7</v>
      </c>
      <c r="T290" s="17">
        <v>0.9</v>
      </c>
      <c r="U290" s="17">
        <v>0.76900000000000002</v>
      </c>
      <c r="V290" s="17">
        <v>0.9</v>
      </c>
      <c r="W290" s="17">
        <v>1.7</v>
      </c>
      <c r="X290" s="17">
        <v>2.6</v>
      </c>
      <c r="Y290" s="17">
        <v>1.6</v>
      </c>
      <c r="Z290" s="17">
        <v>1.5</v>
      </c>
      <c r="AA290" s="17">
        <v>0.4</v>
      </c>
      <c r="AB290" s="17">
        <v>1.2</v>
      </c>
      <c r="AC290" s="17">
        <v>2.1</v>
      </c>
      <c r="AD290" s="17">
        <v>6.3</v>
      </c>
      <c r="AE290" s="17"/>
      <c r="AG290" s="8" t="str">
        <v>Jamison Battle</v>
      </c>
      <c r="AH290" s="8" t="str">
        <v>TOR</v>
      </c>
    </row>
    <row r="291" spans="1:34" ht="17" x14ac:dyDescent="0.2">
      <c r="A291" s="1">
        <v>281</v>
      </c>
      <c r="B291" s="18" t="s">
        <v>405</v>
      </c>
      <c r="C291" s="17">
        <v>28</v>
      </c>
      <c r="D291" s="18" t="s">
        <v>44</v>
      </c>
      <c r="E291" s="17" t="s">
        <v>27</v>
      </c>
      <c r="F291" s="17">
        <v>28</v>
      </c>
      <c r="G291" s="17">
        <v>19</v>
      </c>
      <c r="H291" s="17">
        <v>22.7</v>
      </c>
      <c r="I291" s="17">
        <v>2.1</v>
      </c>
      <c r="J291" s="17">
        <v>5</v>
      </c>
      <c r="K291" s="17">
        <v>0.42899999999999999</v>
      </c>
      <c r="L291" s="17">
        <v>1.6</v>
      </c>
      <c r="M291" s="17">
        <v>4.2</v>
      </c>
      <c r="N291" s="17">
        <v>0.373</v>
      </c>
      <c r="O291" s="17">
        <v>0.6</v>
      </c>
      <c r="P291" s="17">
        <v>0.8</v>
      </c>
      <c r="Q291" s="17">
        <v>0.72699999999999998</v>
      </c>
      <c r="R291" s="17">
        <v>0.58599999999999997</v>
      </c>
      <c r="S291" s="17">
        <v>0.4</v>
      </c>
      <c r="T291" s="17">
        <v>0.9</v>
      </c>
      <c r="U291" s="17">
        <v>0.5</v>
      </c>
      <c r="V291" s="17">
        <v>0.9</v>
      </c>
      <c r="W291" s="17">
        <v>4.0999999999999996</v>
      </c>
      <c r="X291" s="17">
        <v>5</v>
      </c>
      <c r="Y291" s="17">
        <v>1.5</v>
      </c>
      <c r="Z291" s="17">
        <v>0.9</v>
      </c>
      <c r="AA291" s="17">
        <v>0.5</v>
      </c>
      <c r="AB291" s="17">
        <v>0.3</v>
      </c>
      <c r="AC291" s="17">
        <v>1.7</v>
      </c>
      <c r="AD291" s="17">
        <v>6.3</v>
      </c>
      <c r="AE291" s="17"/>
      <c r="AG291" s="8" t="str">
        <v>Devin Carter</v>
      </c>
      <c r="AH291" s="8" t="str">
        <v>SAC</v>
      </c>
    </row>
    <row r="292" spans="1:34" ht="17" x14ac:dyDescent="0.2">
      <c r="A292" s="1">
        <v>282</v>
      </c>
      <c r="B292" s="18" t="s">
        <v>267</v>
      </c>
      <c r="C292" s="17">
        <v>28</v>
      </c>
      <c r="D292" s="18" t="s">
        <v>77</v>
      </c>
      <c r="E292" s="17" t="s">
        <v>35</v>
      </c>
      <c r="F292" s="17">
        <v>26</v>
      </c>
      <c r="G292" s="17">
        <v>11</v>
      </c>
      <c r="H292" s="17">
        <v>20.100000000000001</v>
      </c>
      <c r="I292" s="17">
        <v>2.4</v>
      </c>
      <c r="J292" s="17">
        <v>5.3</v>
      </c>
      <c r="K292" s="17">
        <v>0.45300000000000001</v>
      </c>
      <c r="L292" s="17">
        <v>0.8</v>
      </c>
      <c r="M292" s="17">
        <v>2</v>
      </c>
      <c r="N292" s="17">
        <v>0.377</v>
      </c>
      <c r="O292" s="17">
        <v>1.7</v>
      </c>
      <c r="P292" s="17">
        <v>3.3</v>
      </c>
      <c r="Q292" s="17">
        <v>0.5</v>
      </c>
      <c r="R292" s="17">
        <v>0.52500000000000002</v>
      </c>
      <c r="S292" s="17">
        <v>0.6</v>
      </c>
      <c r="T292" s="17">
        <v>0.9</v>
      </c>
      <c r="U292" s="17">
        <v>0.66700000000000004</v>
      </c>
      <c r="V292" s="17">
        <v>0.9</v>
      </c>
      <c r="W292" s="17">
        <v>1.9</v>
      </c>
      <c r="X292" s="17">
        <v>2.8</v>
      </c>
      <c r="Y292" s="17">
        <v>1.7</v>
      </c>
      <c r="Z292" s="17">
        <v>1</v>
      </c>
      <c r="AA292" s="17">
        <v>0.2</v>
      </c>
      <c r="AB292" s="17">
        <v>0.6</v>
      </c>
      <c r="AC292" s="17">
        <v>1.9</v>
      </c>
      <c r="AD292" s="17">
        <v>6.2</v>
      </c>
      <c r="AE292" s="17"/>
      <c r="AG292" s="8" t="str">
        <v>Javonte Green</v>
      </c>
      <c r="AH292" s="8" t="str">
        <v>NOP</v>
      </c>
    </row>
    <row r="293" spans="1:34" ht="17" x14ac:dyDescent="0.2">
      <c r="A293" s="1">
        <v>283</v>
      </c>
      <c r="B293" s="18" t="s">
        <v>315</v>
      </c>
      <c r="C293" s="17">
        <v>26</v>
      </c>
      <c r="D293" s="18" t="s">
        <v>42</v>
      </c>
      <c r="E293" s="17" t="s">
        <v>35</v>
      </c>
      <c r="F293" s="17">
        <v>24</v>
      </c>
      <c r="G293" s="17">
        <v>1</v>
      </c>
      <c r="H293" s="17">
        <v>14.3</v>
      </c>
      <c r="I293" s="17">
        <v>2.2999999999999998</v>
      </c>
      <c r="J293" s="17">
        <v>4.7</v>
      </c>
      <c r="K293" s="17">
        <v>0.49099999999999999</v>
      </c>
      <c r="L293" s="17">
        <v>0.7</v>
      </c>
      <c r="M293" s="17">
        <v>1.8</v>
      </c>
      <c r="N293" s="17">
        <v>0.38100000000000001</v>
      </c>
      <c r="O293" s="17">
        <v>1.6</v>
      </c>
      <c r="P293" s="17">
        <v>2.9</v>
      </c>
      <c r="Q293" s="17">
        <v>0.55700000000000005</v>
      </c>
      <c r="R293" s="17">
        <v>0.56299999999999994</v>
      </c>
      <c r="S293" s="17">
        <v>0.9</v>
      </c>
      <c r="T293" s="17">
        <v>1.3</v>
      </c>
      <c r="U293" s="17">
        <v>0.68799999999999994</v>
      </c>
      <c r="V293" s="17">
        <v>1.3</v>
      </c>
      <c r="W293" s="17">
        <v>1.6</v>
      </c>
      <c r="X293" s="17">
        <v>2.9</v>
      </c>
      <c r="Y293" s="17">
        <v>0.6</v>
      </c>
      <c r="Z293" s="17">
        <v>0.8</v>
      </c>
      <c r="AA293" s="17">
        <v>0.4</v>
      </c>
      <c r="AB293" s="17">
        <v>0.7</v>
      </c>
      <c r="AC293" s="17">
        <v>1.2</v>
      </c>
      <c r="AD293" s="17">
        <v>6.2</v>
      </c>
      <c r="AE293" s="17"/>
      <c r="AG293" s="8" t="str">
        <v>Isaac Okoro</v>
      </c>
      <c r="AH293" s="8" t="str">
        <v>CLE</v>
      </c>
    </row>
    <row r="294" spans="1:34" ht="17" x14ac:dyDescent="0.2">
      <c r="A294" s="1">
        <v>284</v>
      </c>
      <c r="B294" s="18" t="s">
        <v>292</v>
      </c>
      <c r="C294" s="17">
        <v>26</v>
      </c>
      <c r="D294" s="18" t="s">
        <v>30</v>
      </c>
      <c r="E294" s="17" t="s">
        <v>46</v>
      </c>
      <c r="F294" s="17">
        <v>34</v>
      </c>
      <c r="G294" s="17">
        <v>14</v>
      </c>
      <c r="H294" s="17">
        <v>24.2</v>
      </c>
      <c r="I294" s="17">
        <v>2.2999999999999998</v>
      </c>
      <c r="J294" s="17">
        <v>5.6</v>
      </c>
      <c r="K294" s="17">
        <v>0.40699999999999997</v>
      </c>
      <c r="L294" s="17">
        <v>0.9</v>
      </c>
      <c r="M294" s="17">
        <v>2.7</v>
      </c>
      <c r="N294" s="17">
        <v>0.32300000000000001</v>
      </c>
      <c r="O294" s="17">
        <v>1.4</v>
      </c>
      <c r="P294" s="17">
        <v>2.8</v>
      </c>
      <c r="Q294" s="17">
        <v>0.49</v>
      </c>
      <c r="R294" s="17">
        <v>0.48699999999999999</v>
      </c>
      <c r="S294" s="17">
        <v>0.6</v>
      </c>
      <c r="T294" s="17">
        <v>1</v>
      </c>
      <c r="U294" s="17">
        <v>0.66700000000000004</v>
      </c>
      <c r="V294" s="17">
        <v>0.4</v>
      </c>
      <c r="W294" s="17">
        <v>1.6</v>
      </c>
      <c r="X294" s="17">
        <v>2.1</v>
      </c>
      <c r="Y294" s="17">
        <v>4.5</v>
      </c>
      <c r="Z294" s="17">
        <v>0.7</v>
      </c>
      <c r="AA294" s="17">
        <v>0.2</v>
      </c>
      <c r="AB294" s="17">
        <v>1.7</v>
      </c>
      <c r="AC294" s="17">
        <v>2.5</v>
      </c>
      <c r="AD294" s="17">
        <v>6.1</v>
      </c>
      <c r="AE294" s="17"/>
      <c r="AG294" s="8" t="str">
        <v>James Wiseman</v>
      </c>
      <c r="AH294" s="8" t="str">
        <v>IND</v>
      </c>
    </row>
    <row r="295" spans="1:34" ht="17" x14ac:dyDescent="0.2">
      <c r="A295" s="1">
        <v>285</v>
      </c>
      <c r="B295" s="18" t="s">
        <v>414</v>
      </c>
      <c r="C295" s="17">
        <v>27</v>
      </c>
      <c r="D295" s="18" t="s">
        <v>134</v>
      </c>
      <c r="E295" s="17" t="s">
        <v>35</v>
      </c>
      <c r="F295" s="17">
        <v>30</v>
      </c>
      <c r="G295" s="17">
        <v>8</v>
      </c>
      <c r="H295" s="17">
        <v>18</v>
      </c>
      <c r="I295" s="17">
        <v>2.2000000000000002</v>
      </c>
      <c r="J295" s="17">
        <v>5.8</v>
      </c>
      <c r="K295" s="17">
        <v>0.38700000000000001</v>
      </c>
      <c r="L295" s="17">
        <v>1.4</v>
      </c>
      <c r="M295" s="17">
        <v>4.0999999999999996</v>
      </c>
      <c r="N295" s="17">
        <v>0.33900000000000002</v>
      </c>
      <c r="O295" s="17">
        <v>0.8</v>
      </c>
      <c r="P295" s="17">
        <v>1.6</v>
      </c>
      <c r="Q295" s="17">
        <v>0.51</v>
      </c>
      <c r="R295" s="17">
        <v>0.50900000000000001</v>
      </c>
      <c r="S295" s="17">
        <v>0.2</v>
      </c>
      <c r="T295" s="17">
        <v>0.2</v>
      </c>
      <c r="U295" s="17">
        <v>0.85699999999999998</v>
      </c>
      <c r="V295" s="17">
        <v>0.4</v>
      </c>
      <c r="W295" s="17">
        <v>2.1</v>
      </c>
      <c r="X295" s="17">
        <v>2.5</v>
      </c>
      <c r="Y295" s="17">
        <v>1.2</v>
      </c>
      <c r="Z295" s="17">
        <v>0.7</v>
      </c>
      <c r="AA295" s="17">
        <v>0.3</v>
      </c>
      <c r="AB295" s="17">
        <v>0.4</v>
      </c>
      <c r="AC295" s="17">
        <v>1.6</v>
      </c>
      <c r="AD295" s="17">
        <v>6.1</v>
      </c>
      <c r="AE295" s="17"/>
      <c r="AG295" s="8" t="str">
        <v>Kevin Love</v>
      </c>
      <c r="AH295" s="8" t="str">
        <v>MIA</v>
      </c>
    </row>
    <row r="296" spans="1:34" ht="17" x14ac:dyDescent="0.2">
      <c r="A296" s="1">
        <v>286</v>
      </c>
      <c r="B296" s="18" t="s">
        <v>428</v>
      </c>
      <c r="C296" s="17">
        <v>30</v>
      </c>
      <c r="D296" s="18" t="s">
        <v>81</v>
      </c>
      <c r="E296" s="17" t="s">
        <v>27</v>
      </c>
      <c r="F296" s="17">
        <v>26</v>
      </c>
      <c r="G296" s="17">
        <v>0</v>
      </c>
      <c r="H296" s="17">
        <v>13.2</v>
      </c>
      <c r="I296" s="17">
        <v>2.2999999999999998</v>
      </c>
      <c r="J296" s="17">
        <v>4.2</v>
      </c>
      <c r="K296" s="17">
        <v>0.55500000000000005</v>
      </c>
      <c r="L296" s="17">
        <v>0.9</v>
      </c>
      <c r="M296" s="17">
        <v>2.1</v>
      </c>
      <c r="N296" s="17">
        <v>0.436</v>
      </c>
      <c r="O296" s="17">
        <v>1.4</v>
      </c>
      <c r="P296" s="17">
        <v>2.1</v>
      </c>
      <c r="Q296" s="17">
        <v>0.67300000000000004</v>
      </c>
      <c r="R296" s="17">
        <v>0.66400000000000003</v>
      </c>
      <c r="S296" s="17">
        <v>0.5</v>
      </c>
      <c r="T296" s="17">
        <v>0.5</v>
      </c>
      <c r="U296" s="17">
        <v>0.92900000000000005</v>
      </c>
      <c r="V296" s="17">
        <v>0.8</v>
      </c>
      <c r="W296" s="17">
        <v>2</v>
      </c>
      <c r="X296" s="17">
        <v>2.9</v>
      </c>
      <c r="Y296" s="17">
        <v>1</v>
      </c>
      <c r="Z296" s="17">
        <v>0.7</v>
      </c>
      <c r="AA296" s="17">
        <v>0.2</v>
      </c>
      <c r="AB296" s="17">
        <v>0.4</v>
      </c>
      <c r="AC296" s="17">
        <v>1.6</v>
      </c>
      <c r="AD296" s="17">
        <v>6.1</v>
      </c>
      <c r="AE296" s="17"/>
      <c r="AG296" s="8" t="str">
        <v>Ben Simmons</v>
      </c>
      <c r="AH296" s="8" t="str">
        <v>BRK</v>
      </c>
    </row>
    <row r="297" spans="1:34" ht="17" x14ac:dyDescent="0.2">
      <c r="A297" s="1">
        <v>287</v>
      </c>
      <c r="B297" s="18" t="s">
        <v>624</v>
      </c>
      <c r="C297" s="17">
        <v>24</v>
      </c>
      <c r="D297" s="18" t="s">
        <v>61</v>
      </c>
      <c r="E297" s="17" t="s">
        <v>35</v>
      </c>
      <c r="F297" s="17">
        <v>10</v>
      </c>
      <c r="G297" s="17">
        <v>0</v>
      </c>
      <c r="H297" s="17">
        <v>14.3</v>
      </c>
      <c r="I297" s="17">
        <v>2</v>
      </c>
      <c r="J297" s="17">
        <v>5.6</v>
      </c>
      <c r="K297" s="17">
        <v>0.35699999999999998</v>
      </c>
      <c r="L297" s="17">
        <v>0.4</v>
      </c>
      <c r="M297" s="17">
        <v>1.7</v>
      </c>
      <c r="N297" s="17">
        <v>0.23499999999999999</v>
      </c>
      <c r="O297" s="17">
        <v>1.6</v>
      </c>
      <c r="P297" s="17">
        <v>3.9</v>
      </c>
      <c r="Q297" s="17">
        <v>0.41</v>
      </c>
      <c r="R297" s="17">
        <v>0.39300000000000002</v>
      </c>
      <c r="S297" s="17">
        <v>1.7</v>
      </c>
      <c r="T297" s="17">
        <v>2.6</v>
      </c>
      <c r="U297" s="17">
        <v>0.65400000000000003</v>
      </c>
      <c r="V297" s="17">
        <v>1.2</v>
      </c>
      <c r="W297" s="17">
        <v>1</v>
      </c>
      <c r="X297" s="17">
        <v>2.2000000000000002</v>
      </c>
      <c r="Y297" s="17">
        <v>1.8</v>
      </c>
      <c r="Z297" s="17">
        <v>0.6</v>
      </c>
      <c r="AA297" s="17">
        <v>0</v>
      </c>
      <c r="AB297" s="17">
        <v>1</v>
      </c>
      <c r="AC297" s="17">
        <v>1.1000000000000001</v>
      </c>
      <c r="AD297" s="17">
        <v>6.1</v>
      </c>
      <c r="AE297" s="17"/>
      <c r="AG297" s="8" t="str">
        <v>Kyle Filipowski</v>
      </c>
      <c r="AH297" s="8" t="str">
        <v>UTA</v>
      </c>
    </row>
    <row r="298" spans="1:34" ht="17" x14ac:dyDescent="0.2">
      <c r="A298" s="1">
        <v>288</v>
      </c>
      <c r="B298" s="18" t="s">
        <v>550</v>
      </c>
      <c r="C298" s="17">
        <v>23</v>
      </c>
      <c r="D298" s="18" t="s">
        <v>30</v>
      </c>
      <c r="E298" s="17" t="s">
        <v>54</v>
      </c>
      <c r="F298" s="17">
        <v>31</v>
      </c>
      <c r="G298" s="17">
        <v>0</v>
      </c>
      <c r="H298" s="17">
        <v>13.5</v>
      </c>
      <c r="I298" s="17">
        <v>2.1</v>
      </c>
      <c r="J298" s="17">
        <v>4.5</v>
      </c>
      <c r="K298" s="17">
        <v>0.47099999999999997</v>
      </c>
      <c r="L298" s="17">
        <v>1.4</v>
      </c>
      <c r="M298" s="17">
        <v>3.3</v>
      </c>
      <c r="N298" s="17">
        <v>0.43099999999999999</v>
      </c>
      <c r="O298" s="17">
        <v>0.7</v>
      </c>
      <c r="P298" s="17">
        <v>1.2</v>
      </c>
      <c r="Q298" s="17">
        <v>0.58299999999999996</v>
      </c>
      <c r="R298" s="17">
        <v>0.63</v>
      </c>
      <c r="S298" s="17">
        <v>0.4</v>
      </c>
      <c r="T298" s="17">
        <v>0.5</v>
      </c>
      <c r="U298" s="17">
        <v>0.85699999999999998</v>
      </c>
      <c r="V298" s="17">
        <v>0.6</v>
      </c>
      <c r="W298" s="17">
        <v>1.3</v>
      </c>
      <c r="X298" s="17">
        <v>1.9</v>
      </c>
      <c r="Y298" s="17">
        <v>1</v>
      </c>
      <c r="Z298" s="17">
        <v>0.1</v>
      </c>
      <c r="AA298" s="17">
        <v>0.1</v>
      </c>
      <c r="AB298" s="17">
        <v>0.4</v>
      </c>
      <c r="AC298" s="17">
        <v>1.2</v>
      </c>
      <c r="AD298" s="17">
        <v>6</v>
      </c>
      <c r="AE298" s="17"/>
      <c r="AG298" s="8" t="str">
        <v>Jonathan Isaac</v>
      </c>
      <c r="AH298" s="8" t="str">
        <v>ORL</v>
      </c>
    </row>
    <row r="299" spans="1:34" ht="17" x14ac:dyDescent="0.2">
      <c r="A299" s="1">
        <v>289</v>
      </c>
      <c r="B299" s="18" t="s">
        <v>665</v>
      </c>
      <c r="C299" s="17">
        <v>22</v>
      </c>
      <c r="D299" s="18" t="s">
        <v>72</v>
      </c>
      <c r="E299" s="17" t="s">
        <v>46</v>
      </c>
      <c r="F299" s="17">
        <v>3</v>
      </c>
      <c r="G299" s="17">
        <v>0</v>
      </c>
      <c r="H299" s="17">
        <v>14.7</v>
      </c>
      <c r="I299" s="17">
        <v>2</v>
      </c>
      <c r="J299" s="17">
        <v>6</v>
      </c>
      <c r="K299" s="17">
        <v>0.33300000000000002</v>
      </c>
      <c r="L299" s="17">
        <v>0.7</v>
      </c>
      <c r="M299" s="17">
        <v>3.3</v>
      </c>
      <c r="N299" s="17">
        <v>0.2</v>
      </c>
      <c r="O299" s="17">
        <v>1.3</v>
      </c>
      <c r="P299" s="17">
        <v>2.7</v>
      </c>
      <c r="Q299" s="17">
        <v>0.5</v>
      </c>
      <c r="R299" s="17">
        <v>0.38900000000000001</v>
      </c>
      <c r="S299" s="17">
        <v>1.3</v>
      </c>
      <c r="T299" s="17">
        <v>2</v>
      </c>
      <c r="U299" s="17">
        <v>0.66700000000000004</v>
      </c>
      <c r="V299" s="17">
        <v>1</v>
      </c>
      <c r="W299" s="17">
        <v>4.3</v>
      </c>
      <c r="X299" s="17">
        <v>5.3</v>
      </c>
      <c r="Y299" s="17">
        <v>2.2999999999999998</v>
      </c>
      <c r="Z299" s="17">
        <v>0.3</v>
      </c>
      <c r="AA299" s="17">
        <v>0.7</v>
      </c>
      <c r="AB299" s="17">
        <v>0.7</v>
      </c>
      <c r="AC299" s="17">
        <v>1.3</v>
      </c>
      <c r="AD299" s="17">
        <v>6</v>
      </c>
      <c r="AE299" s="17"/>
      <c r="AG299" s="8" t="str">
        <v>Marcus Sasser</v>
      </c>
      <c r="AH299" s="8" t="str">
        <v>DET</v>
      </c>
    </row>
    <row r="300" spans="1:34" ht="17" x14ac:dyDescent="0.2">
      <c r="A300" s="1">
        <v>290</v>
      </c>
      <c r="B300" s="18" t="s">
        <v>521</v>
      </c>
      <c r="C300" s="17">
        <v>31</v>
      </c>
      <c r="D300" s="18" t="s">
        <v>47</v>
      </c>
      <c r="E300" s="17" t="s">
        <v>35</v>
      </c>
      <c r="F300" s="17">
        <v>33</v>
      </c>
      <c r="G300" s="17">
        <v>12</v>
      </c>
      <c r="H300" s="17">
        <v>21.2</v>
      </c>
      <c r="I300" s="17">
        <v>2.2000000000000002</v>
      </c>
      <c r="J300" s="17">
        <v>4.7</v>
      </c>
      <c r="K300" s="17">
        <v>0.46100000000000002</v>
      </c>
      <c r="L300" s="17">
        <v>0.7</v>
      </c>
      <c r="M300" s="17">
        <v>2</v>
      </c>
      <c r="N300" s="17">
        <v>0.36399999999999999</v>
      </c>
      <c r="O300" s="17">
        <v>1.4</v>
      </c>
      <c r="P300" s="17">
        <v>2.7</v>
      </c>
      <c r="Q300" s="17">
        <v>0.53400000000000003</v>
      </c>
      <c r="R300" s="17">
        <v>0.53900000000000003</v>
      </c>
      <c r="S300" s="17">
        <v>1</v>
      </c>
      <c r="T300" s="17">
        <v>1.3</v>
      </c>
      <c r="U300" s="17">
        <v>0.75</v>
      </c>
      <c r="V300" s="17">
        <v>1</v>
      </c>
      <c r="W300" s="17">
        <v>2.2000000000000002</v>
      </c>
      <c r="X300" s="17">
        <v>3.2</v>
      </c>
      <c r="Y300" s="17">
        <v>0.7</v>
      </c>
      <c r="Z300" s="17">
        <v>0.9</v>
      </c>
      <c r="AA300" s="17">
        <v>0.6</v>
      </c>
      <c r="AB300" s="17">
        <v>0.7</v>
      </c>
      <c r="AC300" s="17">
        <v>1.4</v>
      </c>
      <c r="AD300" s="17">
        <v>6</v>
      </c>
      <c r="AE300" s="17"/>
      <c r="AG300" s="8" t="str">
        <v>Isaiah Stewart</v>
      </c>
      <c r="AH300" s="8" t="str">
        <v>DET</v>
      </c>
    </row>
    <row r="301" spans="1:34" ht="17" x14ac:dyDescent="0.2">
      <c r="A301" s="1">
        <v>291</v>
      </c>
      <c r="B301" s="18" t="s">
        <v>317</v>
      </c>
      <c r="C301" s="17">
        <v>24</v>
      </c>
      <c r="D301" s="18" t="s">
        <v>44</v>
      </c>
      <c r="E301" s="17" t="s">
        <v>35</v>
      </c>
      <c r="F301" s="17">
        <v>25</v>
      </c>
      <c r="G301" s="17">
        <v>16</v>
      </c>
      <c r="H301" s="17">
        <v>20.100000000000001</v>
      </c>
      <c r="I301" s="17">
        <v>2.1</v>
      </c>
      <c r="J301" s="17">
        <v>4.5999999999999996</v>
      </c>
      <c r="K301" s="17">
        <v>0.46500000000000002</v>
      </c>
      <c r="L301" s="17">
        <v>1.2</v>
      </c>
      <c r="M301" s="17">
        <v>2.7</v>
      </c>
      <c r="N301" s="17">
        <v>0.44800000000000001</v>
      </c>
      <c r="O301" s="17">
        <v>0.9</v>
      </c>
      <c r="P301" s="17">
        <v>1.9</v>
      </c>
      <c r="Q301" s="17">
        <v>0.48899999999999999</v>
      </c>
      <c r="R301" s="17">
        <v>0.59599999999999997</v>
      </c>
      <c r="S301" s="17">
        <v>0.6</v>
      </c>
      <c r="T301" s="17">
        <v>0.8</v>
      </c>
      <c r="U301" s="17">
        <v>0.71399999999999997</v>
      </c>
      <c r="V301" s="17">
        <v>0.9</v>
      </c>
      <c r="W301" s="17">
        <v>1.3</v>
      </c>
      <c r="X301" s="17">
        <v>2.2000000000000002</v>
      </c>
      <c r="Y301" s="17">
        <v>1.7</v>
      </c>
      <c r="Z301" s="17">
        <v>0.7</v>
      </c>
      <c r="AA301" s="17">
        <v>0.4</v>
      </c>
      <c r="AB301" s="17">
        <v>0.4</v>
      </c>
      <c r="AC301" s="17">
        <v>2</v>
      </c>
      <c r="AD301" s="17">
        <v>6</v>
      </c>
      <c r="AE301" s="17"/>
      <c r="AG301" s="8" t="str">
        <v>Kel'el Ware</v>
      </c>
      <c r="AH301" s="8" t="str">
        <v>MIA</v>
      </c>
    </row>
    <row r="302" spans="1:34" ht="17" x14ac:dyDescent="0.2">
      <c r="A302" s="1">
        <v>292</v>
      </c>
      <c r="B302" s="18" t="s">
        <v>435</v>
      </c>
      <c r="C302" s="17">
        <v>23</v>
      </c>
      <c r="D302" s="18" t="s">
        <v>99</v>
      </c>
      <c r="E302" s="17" t="s">
        <v>29</v>
      </c>
      <c r="F302" s="17">
        <v>1</v>
      </c>
      <c r="G302" s="17">
        <v>0</v>
      </c>
      <c r="H302" s="17">
        <v>5</v>
      </c>
      <c r="I302" s="17">
        <v>2</v>
      </c>
      <c r="J302" s="17">
        <v>4</v>
      </c>
      <c r="K302" s="17">
        <v>0.5</v>
      </c>
      <c r="L302" s="17">
        <v>0</v>
      </c>
      <c r="M302" s="17">
        <v>1</v>
      </c>
      <c r="N302" s="17">
        <v>0</v>
      </c>
      <c r="O302" s="17">
        <v>2</v>
      </c>
      <c r="P302" s="17">
        <v>3</v>
      </c>
      <c r="Q302" s="17">
        <v>0.66700000000000004</v>
      </c>
      <c r="R302" s="17">
        <v>0.5</v>
      </c>
      <c r="S302" s="17">
        <v>2</v>
      </c>
      <c r="T302" s="17">
        <v>2</v>
      </c>
      <c r="U302" s="17">
        <v>1</v>
      </c>
      <c r="V302" s="17">
        <v>0</v>
      </c>
      <c r="W302" s="17">
        <v>1</v>
      </c>
      <c r="X302" s="17">
        <v>1</v>
      </c>
      <c r="Y302" s="17">
        <v>0</v>
      </c>
      <c r="Z302" s="17">
        <v>0</v>
      </c>
      <c r="AA302" s="17">
        <v>0</v>
      </c>
      <c r="AB302" s="17">
        <v>0</v>
      </c>
      <c r="AC302" s="17">
        <v>0</v>
      </c>
      <c r="AD302" s="17">
        <v>6</v>
      </c>
      <c r="AE302" s="17"/>
      <c r="AG302" s="8" t="str">
        <v>Quenton Jackson</v>
      </c>
      <c r="AH302" s="8" t="str">
        <v>IND</v>
      </c>
    </row>
    <row r="303" spans="1:34" ht="17" x14ac:dyDescent="0.2">
      <c r="A303" s="1">
        <v>293</v>
      </c>
      <c r="B303" s="18" t="s">
        <v>263</v>
      </c>
      <c r="C303" s="17">
        <v>36</v>
      </c>
      <c r="D303" s="18" t="s">
        <v>33</v>
      </c>
      <c r="E303" s="17" t="s">
        <v>27</v>
      </c>
      <c r="F303" s="17">
        <v>16</v>
      </c>
      <c r="G303" s="17">
        <v>5</v>
      </c>
      <c r="H303" s="17">
        <v>11.4</v>
      </c>
      <c r="I303" s="17">
        <v>2</v>
      </c>
      <c r="J303" s="17">
        <v>5.7</v>
      </c>
      <c r="K303" s="17">
        <v>0.35199999999999998</v>
      </c>
      <c r="L303" s="17">
        <v>1.1000000000000001</v>
      </c>
      <c r="M303" s="17">
        <v>3.1</v>
      </c>
      <c r="N303" s="17">
        <v>0.36</v>
      </c>
      <c r="O303" s="17">
        <v>0.9</v>
      </c>
      <c r="P303" s="17">
        <v>2.6</v>
      </c>
      <c r="Q303" s="17">
        <v>0.34100000000000003</v>
      </c>
      <c r="R303" s="17">
        <v>0.45100000000000001</v>
      </c>
      <c r="S303" s="17">
        <v>0.8</v>
      </c>
      <c r="T303" s="17">
        <v>1.2</v>
      </c>
      <c r="U303" s="17">
        <v>0.68400000000000005</v>
      </c>
      <c r="V303" s="17">
        <v>1.1000000000000001</v>
      </c>
      <c r="W303" s="17">
        <v>3.4</v>
      </c>
      <c r="X303" s="17">
        <v>4.5</v>
      </c>
      <c r="Y303" s="17">
        <v>1.2</v>
      </c>
      <c r="Z303" s="17">
        <v>0.8</v>
      </c>
      <c r="AA303" s="17">
        <v>0.1</v>
      </c>
      <c r="AB303" s="17">
        <v>0.8</v>
      </c>
      <c r="AC303" s="17">
        <v>0.9</v>
      </c>
      <c r="AD303" s="17">
        <v>5.9</v>
      </c>
      <c r="AE303" s="17"/>
      <c r="AG303" s="8" t="str">
        <v>Jordan Miller</v>
      </c>
      <c r="AH303" s="8" t="str">
        <v>LAC</v>
      </c>
    </row>
    <row r="304" spans="1:34" ht="17" x14ac:dyDescent="0.2">
      <c r="A304" s="1">
        <v>294</v>
      </c>
      <c r="B304" s="18" t="s">
        <v>370</v>
      </c>
      <c r="C304" s="17">
        <v>28</v>
      </c>
      <c r="D304" s="18" t="s">
        <v>95</v>
      </c>
      <c r="E304" s="17" t="s">
        <v>46</v>
      </c>
      <c r="F304" s="17">
        <v>26</v>
      </c>
      <c r="G304" s="17">
        <v>20</v>
      </c>
      <c r="H304" s="17">
        <v>25.1</v>
      </c>
      <c r="I304" s="17">
        <v>2.7</v>
      </c>
      <c r="J304" s="17">
        <v>4.9000000000000004</v>
      </c>
      <c r="K304" s="17">
        <v>0.54300000000000004</v>
      </c>
      <c r="L304" s="17">
        <v>0</v>
      </c>
      <c r="M304" s="17">
        <v>0</v>
      </c>
      <c r="N304" s="17"/>
      <c r="O304" s="17">
        <v>2.7</v>
      </c>
      <c r="P304" s="17">
        <v>4.9000000000000004</v>
      </c>
      <c r="Q304" s="17">
        <v>0.54300000000000004</v>
      </c>
      <c r="R304" s="17">
        <v>0.54300000000000004</v>
      </c>
      <c r="S304" s="17">
        <v>0.6</v>
      </c>
      <c r="T304" s="17">
        <v>0.8</v>
      </c>
      <c r="U304" s="17">
        <v>0.71399999999999997</v>
      </c>
      <c r="V304" s="17">
        <v>0.9</v>
      </c>
      <c r="W304" s="17">
        <v>4.3</v>
      </c>
      <c r="X304" s="17">
        <v>5.2</v>
      </c>
      <c r="Y304" s="17">
        <v>6.9</v>
      </c>
      <c r="Z304" s="17">
        <v>0.8</v>
      </c>
      <c r="AA304" s="17">
        <v>0.5</v>
      </c>
      <c r="AB304" s="17">
        <v>2.8</v>
      </c>
      <c r="AC304" s="17">
        <v>2.2999999999999998</v>
      </c>
      <c r="AD304" s="17">
        <v>5.9</v>
      </c>
      <c r="AE304" s="17"/>
      <c r="AG304" s="8" t="str">
        <v>Precious Achiuwa</v>
      </c>
      <c r="AH304" s="8" t="str">
        <v>NYK</v>
      </c>
    </row>
    <row r="305" spans="1:34" ht="17" x14ac:dyDescent="0.2">
      <c r="A305" s="1">
        <v>295</v>
      </c>
      <c r="B305" s="18" t="s">
        <v>544</v>
      </c>
      <c r="C305" s="17">
        <v>21</v>
      </c>
      <c r="D305" s="18" t="s">
        <v>36</v>
      </c>
      <c r="E305" s="17" t="s">
        <v>29</v>
      </c>
      <c r="F305" s="17">
        <v>26</v>
      </c>
      <c r="G305" s="17">
        <v>8</v>
      </c>
      <c r="H305" s="17">
        <v>17.5</v>
      </c>
      <c r="I305" s="17">
        <v>2.2000000000000002</v>
      </c>
      <c r="J305" s="17">
        <v>4.4000000000000004</v>
      </c>
      <c r="K305" s="17">
        <v>0.496</v>
      </c>
      <c r="L305" s="17">
        <v>0.5</v>
      </c>
      <c r="M305" s="17">
        <v>1.7</v>
      </c>
      <c r="N305" s="17">
        <v>0.28899999999999998</v>
      </c>
      <c r="O305" s="17">
        <v>1.7</v>
      </c>
      <c r="P305" s="17">
        <v>2.7</v>
      </c>
      <c r="Q305" s="17">
        <v>0.629</v>
      </c>
      <c r="R305" s="17">
        <v>0.55200000000000005</v>
      </c>
      <c r="S305" s="17">
        <v>1</v>
      </c>
      <c r="T305" s="17">
        <v>1.6</v>
      </c>
      <c r="U305" s="17">
        <v>0.59499999999999997</v>
      </c>
      <c r="V305" s="17">
        <v>0.9</v>
      </c>
      <c r="W305" s="17">
        <v>3.8</v>
      </c>
      <c r="X305" s="17">
        <v>4.7</v>
      </c>
      <c r="Y305" s="17">
        <v>1.8</v>
      </c>
      <c r="Z305" s="17">
        <v>0.6</v>
      </c>
      <c r="AA305" s="17">
        <v>0.2</v>
      </c>
      <c r="AB305" s="17">
        <v>1.1000000000000001</v>
      </c>
      <c r="AC305" s="17">
        <v>1.9</v>
      </c>
      <c r="AD305" s="17">
        <v>5.8</v>
      </c>
      <c r="AE305" s="17"/>
      <c r="AG305" s="8" t="str">
        <v>Donovan Clingan</v>
      </c>
      <c r="AH305" s="8" t="str">
        <v>POR</v>
      </c>
    </row>
    <row r="306" spans="1:34" ht="17" x14ac:dyDescent="0.2">
      <c r="A306" s="1">
        <v>296</v>
      </c>
      <c r="B306" s="18" t="s">
        <v>216</v>
      </c>
      <c r="C306" s="17">
        <v>27</v>
      </c>
      <c r="D306" s="18" t="s">
        <v>52</v>
      </c>
      <c r="E306" s="17" t="s">
        <v>27</v>
      </c>
      <c r="F306" s="17">
        <v>33</v>
      </c>
      <c r="G306" s="17">
        <v>0</v>
      </c>
      <c r="H306" s="17">
        <v>16.7</v>
      </c>
      <c r="I306" s="17">
        <v>2.1</v>
      </c>
      <c r="J306" s="17">
        <v>5.0999999999999996</v>
      </c>
      <c r="K306" s="17">
        <v>0.40500000000000003</v>
      </c>
      <c r="L306" s="17">
        <v>0.6</v>
      </c>
      <c r="M306" s="17">
        <v>2.5</v>
      </c>
      <c r="N306" s="17">
        <v>0.25</v>
      </c>
      <c r="O306" s="17">
        <v>1.4</v>
      </c>
      <c r="P306" s="17">
        <v>2.5</v>
      </c>
      <c r="Q306" s="17">
        <v>0.56000000000000005</v>
      </c>
      <c r="R306" s="17">
        <v>0.46700000000000003</v>
      </c>
      <c r="S306" s="17">
        <v>1</v>
      </c>
      <c r="T306" s="17">
        <v>1.5</v>
      </c>
      <c r="U306" s="17">
        <v>0.69399999999999995</v>
      </c>
      <c r="V306" s="17">
        <v>1.7</v>
      </c>
      <c r="W306" s="17">
        <v>3</v>
      </c>
      <c r="X306" s="17">
        <v>4.8</v>
      </c>
      <c r="Y306" s="17">
        <v>0.5</v>
      </c>
      <c r="Z306" s="17">
        <v>0.8</v>
      </c>
      <c r="AA306" s="17">
        <v>1.3</v>
      </c>
      <c r="AB306" s="17">
        <v>0.5</v>
      </c>
      <c r="AC306" s="17">
        <v>1.4</v>
      </c>
      <c r="AD306" s="17">
        <v>5.8</v>
      </c>
      <c r="AE306" s="17"/>
      <c r="AG306" s="8" t="str">
        <v>Neemias Queta</v>
      </c>
      <c r="AH306" s="8" t="str">
        <v>BOS</v>
      </c>
    </row>
    <row r="307" spans="1:34" ht="17" x14ac:dyDescent="0.2">
      <c r="A307" s="1">
        <v>297</v>
      </c>
      <c r="B307" s="18" t="s">
        <v>363</v>
      </c>
      <c r="C307" s="17">
        <v>24</v>
      </c>
      <c r="D307" s="18" t="s">
        <v>60</v>
      </c>
      <c r="E307" s="17" t="s">
        <v>46</v>
      </c>
      <c r="F307" s="17">
        <v>27</v>
      </c>
      <c r="G307" s="17">
        <v>0</v>
      </c>
      <c r="H307" s="17">
        <v>13.9</v>
      </c>
      <c r="I307" s="17">
        <v>2.2999999999999998</v>
      </c>
      <c r="J307" s="17">
        <v>4.8</v>
      </c>
      <c r="K307" s="17">
        <v>0.47299999999999998</v>
      </c>
      <c r="L307" s="17">
        <v>1</v>
      </c>
      <c r="M307" s="17">
        <v>2.5</v>
      </c>
      <c r="N307" s="17">
        <v>0.38200000000000001</v>
      </c>
      <c r="O307" s="17">
        <v>1.3</v>
      </c>
      <c r="P307" s="17">
        <v>2.2999999999999998</v>
      </c>
      <c r="Q307" s="17">
        <v>0.57399999999999995</v>
      </c>
      <c r="R307" s="17">
        <v>0.57399999999999995</v>
      </c>
      <c r="S307" s="17">
        <v>0.3</v>
      </c>
      <c r="T307" s="17">
        <v>0.3</v>
      </c>
      <c r="U307" s="17">
        <v>1</v>
      </c>
      <c r="V307" s="17">
        <v>0.4</v>
      </c>
      <c r="W307" s="17">
        <v>0.7</v>
      </c>
      <c r="X307" s="17">
        <v>1.1000000000000001</v>
      </c>
      <c r="Y307" s="17">
        <v>1.9</v>
      </c>
      <c r="Z307" s="17">
        <v>0.7</v>
      </c>
      <c r="AA307" s="17">
        <v>0.1</v>
      </c>
      <c r="AB307" s="17">
        <v>0.9</v>
      </c>
      <c r="AC307" s="17">
        <v>1.2</v>
      </c>
      <c r="AD307" s="17">
        <v>5.8</v>
      </c>
      <c r="AE307" s="17"/>
      <c r="AG307" s="8" t="str">
        <v>Malaki Branham</v>
      </c>
      <c r="AH307" s="8" t="str">
        <v>SAS</v>
      </c>
    </row>
    <row r="308" spans="1:34" ht="17" x14ac:dyDescent="0.2">
      <c r="A308" s="1">
        <v>298</v>
      </c>
      <c r="B308" s="18" t="s">
        <v>380</v>
      </c>
      <c r="C308" s="17">
        <v>23</v>
      </c>
      <c r="D308" s="18" t="s">
        <v>60</v>
      </c>
      <c r="E308" s="17" t="s">
        <v>29</v>
      </c>
      <c r="F308" s="17">
        <v>34</v>
      </c>
      <c r="G308" s="17">
        <v>3</v>
      </c>
      <c r="H308" s="17">
        <v>20.9</v>
      </c>
      <c r="I308" s="17">
        <v>2.2999999999999998</v>
      </c>
      <c r="J308" s="17">
        <v>4.5</v>
      </c>
      <c r="K308" s="17">
        <v>0.52</v>
      </c>
      <c r="L308" s="17">
        <v>0.2</v>
      </c>
      <c r="M308" s="17">
        <v>0.9</v>
      </c>
      <c r="N308" s="17">
        <v>0.25</v>
      </c>
      <c r="O308" s="17">
        <v>2.1</v>
      </c>
      <c r="P308" s="17">
        <v>3.5</v>
      </c>
      <c r="Q308" s="17">
        <v>0.59199999999999997</v>
      </c>
      <c r="R308" s="17">
        <v>0.54600000000000004</v>
      </c>
      <c r="S308" s="17">
        <v>0.9</v>
      </c>
      <c r="T308" s="17">
        <v>1</v>
      </c>
      <c r="U308" s="17">
        <v>0.88600000000000001</v>
      </c>
      <c r="V308" s="17">
        <v>2.1</v>
      </c>
      <c r="W308" s="17">
        <v>3.8</v>
      </c>
      <c r="X308" s="17">
        <v>5.9</v>
      </c>
      <c r="Y308" s="17">
        <v>1.7</v>
      </c>
      <c r="Z308" s="17">
        <v>0.5</v>
      </c>
      <c r="AA308" s="17">
        <v>1.3</v>
      </c>
      <c r="AB308" s="17">
        <v>0.9</v>
      </c>
      <c r="AC308" s="17">
        <v>2.6</v>
      </c>
      <c r="AD308" s="17">
        <v>5.8</v>
      </c>
      <c r="AE308" s="17"/>
      <c r="AG308" s="8" t="str">
        <v>Alex Caruso</v>
      </c>
      <c r="AH308" s="8" t="str">
        <v>OKC</v>
      </c>
    </row>
    <row r="309" spans="1:34" ht="17" x14ac:dyDescent="0.2">
      <c r="A309" s="1">
        <v>299</v>
      </c>
      <c r="B309" s="18" t="s">
        <v>567</v>
      </c>
      <c r="C309" s="17">
        <v>20</v>
      </c>
      <c r="D309" s="18" t="s">
        <v>33</v>
      </c>
      <c r="E309" s="17" t="s">
        <v>29</v>
      </c>
      <c r="F309" s="17">
        <v>21</v>
      </c>
      <c r="G309" s="17">
        <v>0</v>
      </c>
      <c r="H309" s="17">
        <v>11.8</v>
      </c>
      <c r="I309" s="17">
        <v>2.4</v>
      </c>
      <c r="J309" s="17">
        <v>4</v>
      </c>
      <c r="K309" s="17">
        <v>0.60199999999999998</v>
      </c>
      <c r="L309" s="17">
        <v>0.4</v>
      </c>
      <c r="M309" s="17">
        <v>1</v>
      </c>
      <c r="N309" s="17">
        <v>0.42899999999999999</v>
      </c>
      <c r="O309" s="17">
        <v>2</v>
      </c>
      <c r="P309" s="17">
        <v>3</v>
      </c>
      <c r="Q309" s="17">
        <v>0.66100000000000003</v>
      </c>
      <c r="R309" s="17">
        <v>0.65700000000000003</v>
      </c>
      <c r="S309" s="17">
        <v>0.6</v>
      </c>
      <c r="T309" s="17">
        <v>0.9</v>
      </c>
      <c r="U309" s="17">
        <v>0.63200000000000001</v>
      </c>
      <c r="V309" s="17">
        <v>0.7</v>
      </c>
      <c r="W309" s="17">
        <v>2.2000000000000002</v>
      </c>
      <c r="X309" s="17">
        <v>2.9</v>
      </c>
      <c r="Y309" s="17">
        <v>0.5</v>
      </c>
      <c r="Z309" s="17">
        <v>0.5</v>
      </c>
      <c r="AA309" s="17">
        <v>0.8</v>
      </c>
      <c r="AB309" s="17">
        <v>0.6</v>
      </c>
      <c r="AC309" s="17">
        <v>1.1000000000000001</v>
      </c>
      <c r="AD309" s="17">
        <v>5.8</v>
      </c>
      <c r="AE309" s="17"/>
      <c r="AG309" s="8" t="str">
        <v>Ricky Council IV</v>
      </c>
      <c r="AH309" s="8" t="str">
        <v>PHI</v>
      </c>
    </row>
    <row r="310" spans="1:34" ht="17" x14ac:dyDescent="0.2">
      <c r="A310" s="1">
        <v>300</v>
      </c>
      <c r="B310" s="18" t="s">
        <v>530</v>
      </c>
      <c r="C310" s="17">
        <v>26</v>
      </c>
      <c r="D310" s="18" t="s">
        <v>99</v>
      </c>
      <c r="E310" s="17" t="s">
        <v>46</v>
      </c>
      <c r="F310" s="17">
        <v>18</v>
      </c>
      <c r="G310" s="17">
        <v>7</v>
      </c>
      <c r="H310" s="17">
        <v>14.1</v>
      </c>
      <c r="I310" s="17">
        <v>2.2000000000000002</v>
      </c>
      <c r="J310" s="17">
        <v>4.2</v>
      </c>
      <c r="K310" s="17">
        <v>0.51300000000000001</v>
      </c>
      <c r="L310" s="17">
        <v>0.5</v>
      </c>
      <c r="M310" s="17">
        <v>1.3</v>
      </c>
      <c r="N310" s="17">
        <v>0.375</v>
      </c>
      <c r="O310" s="17">
        <v>1.7</v>
      </c>
      <c r="P310" s="17">
        <v>2.9</v>
      </c>
      <c r="Q310" s="17">
        <v>0.57699999999999996</v>
      </c>
      <c r="R310" s="17">
        <v>0.57199999999999995</v>
      </c>
      <c r="S310" s="17">
        <v>0.8</v>
      </c>
      <c r="T310" s="17">
        <v>1.2</v>
      </c>
      <c r="U310" s="17">
        <v>0.71399999999999997</v>
      </c>
      <c r="V310" s="17">
        <v>0.6</v>
      </c>
      <c r="W310" s="17">
        <v>0.9</v>
      </c>
      <c r="X310" s="17">
        <v>1.5</v>
      </c>
      <c r="Y310" s="17">
        <v>1.7</v>
      </c>
      <c r="Z310" s="17">
        <v>0.5</v>
      </c>
      <c r="AA310" s="17">
        <v>0.3</v>
      </c>
      <c r="AB310" s="17">
        <v>0.6</v>
      </c>
      <c r="AC310" s="17">
        <v>1.8</v>
      </c>
      <c r="AD310" s="17">
        <v>5.7</v>
      </c>
      <c r="AE310" s="17"/>
      <c r="AG310" s="8" t="str">
        <v>Monte Morris</v>
      </c>
      <c r="AH310" s="8" t="str">
        <v>PHO</v>
      </c>
    </row>
    <row r="311" spans="1:34" ht="17" x14ac:dyDescent="0.2">
      <c r="A311" s="1">
        <v>301</v>
      </c>
      <c r="B311" s="18" t="s">
        <v>287</v>
      </c>
      <c r="C311" s="17">
        <v>25</v>
      </c>
      <c r="D311" s="18" t="s">
        <v>77</v>
      </c>
      <c r="E311" s="17" t="s">
        <v>54</v>
      </c>
      <c r="F311" s="17">
        <v>23</v>
      </c>
      <c r="G311" s="17">
        <v>0</v>
      </c>
      <c r="H311" s="17">
        <v>14.3</v>
      </c>
      <c r="I311" s="17">
        <v>2.2000000000000002</v>
      </c>
      <c r="J311" s="17">
        <v>5.0999999999999996</v>
      </c>
      <c r="K311" s="17">
        <v>0.42699999999999999</v>
      </c>
      <c r="L311" s="17">
        <v>0.3</v>
      </c>
      <c r="M311" s="17">
        <v>1.5</v>
      </c>
      <c r="N311" s="17">
        <v>0.22900000000000001</v>
      </c>
      <c r="O311" s="17">
        <v>1.8</v>
      </c>
      <c r="P311" s="17">
        <v>3.6</v>
      </c>
      <c r="Q311" s="17">
        <v>0.51200000000000001</v>
      </c>
      <c r="R311" s="17">
        <v>0.46200000000000002</v>
      </c>
      <c r="S311" s="17">
        <v>1</v>
      </c>
      <c r="T311" s="17">
        <v>1.3</v>
      </c>
      <c r="U311" s="17">
        <v>0.8</v>
      </c>
      <c r="V311" s="17">
        <v>1</v>
      </c>
      <c r="W311" s="17">
        <v>1.2</v>
      </c>
      <c r="X311" s="17">
        <v>2.2000000000000002</v>
      </c>
      <c r="Y311" s="17">
        <v>1.3</v>
      </c>
      <c r="Z311" s="17">
        <v>0.6</v>
      </c>
      <c r="AA311" s="17">
        <v>0.1</v>
      </c>
      <c r="AB311" s="17">
        <v>0.9</v>
      </c>
      <c r="AC311" s="17">
        <v>0.9</v>
      </c>
      <c r="AD311" s="17">
        <v>5.7</v>
      </c>
      <c r="AE311" s="17"/>
      <c r="AG311" s="8" t="str">
        <v>Ben Sheppard</v>
      </c>
      <c r="AH311" s="8" t="str">
        <v>IND</v>
      </c>
    </row>
    <row r="312" spans="1:34" ht="17" x14ac:dyDescent="0.2">
      <c r="A312" s="1">
        <v>302</v>
      </c>
      <c r="B312" s="18" t="s">
        <v>625</v>
      </c>
      <c r="C312" s="17">
        <v>25</v>
      </c>
      <c r="D312" s="18" t="s">
        <v>31</v>
      </c>
      <c r="E312" s="17" t="s">
        <v>27</v>
      </c>
      <c r="F312" s="17">
        <v>17</v>
      </c>
      <c r="G312" s="17">
        <v>1</v>
      </c>
      <c r="H312" s="17">
        <v>18.8</v>
      </c>
      <c r="I312" s="17">
        <v>2.4</v>
      </c>
      <c r="J312" s="17">
        <v>4.5</v>
      </c>
      <c r="K312" s="17">
        <v>0.52600000000000002</v>
      </c>
      <c r="L312" s="17">
        <v>0.3</v>
      </c>
      <c r="M312" s="17">
        <v>0.8</v>
      </c>
      <c r="N312" s="17">
        <v>0.35699999999999998</v>
      </c>
      <c r="O312" s="17">
        <v>2.1</v>
      </c>
      <c r="P312" s="17">
        <v>3.6</v>
      </c>
      <c r="Q312" s="17">
        <v>0.56499999999999995</v>
      </c>
      <c r="R312" s="17">
        <v>0.55900000000000005</v>
      </c>
      <c r="S312" s="17">
        <v>0.6</v>
      </c>
      <c r="T312" s="17">
        <v>1.2</v>
      </c>
      <c r="U312" s="17">
        <v>0.52400000000000002</v>
      </c>
      <c r="V312" s="17">
        <v>1.8</v>
      </c>
      <c r="W312" s="17">
        <v>4.0999999999999996</v>
      </c>
      <c r="X312" s="17">
        <v>5.9</v>
      </c>
      <c r="Y312" s="17">
        <v>0.9</v>
      </c>
      <c r="Z312" s="17">
        <v>0.6</v>
      </c>
      <c r="AA312" s="17">
        <v>0.7</v>
      </c>
      <c r="AB312" s="17">
        <v>0.9</v>
      </c>
      <c r="AC312" s="17">
        <v>1.3</v>
      </c>
      <c r="AD312" s="17">
        <v>5.6</v>
      </c>
      <c r="AE312" s="17"/>
      <c r="AG312" s="8" t="str">
        <v>Thomas Bryant</v>
      </c>
      <c r="AH312" s="8" t="str">
        <v>IND</v>
      </c>
    </row>
    <row r="313" spans="1:34" ht="17" x14ac:dyDescent="0.2">
      <c r="A313" s="1">
        <v>303</v>
      </c>
      <c r="B313" s="18" t="s">
        <v>549</v>
      </c>
      <c r="C313" s="17">
        <v>20</v>
      </c>
      <c r="D313" s="18" t="s">
        <v>58</v>
      </c>
      <c r="E313" s="17" t="s">
        <v>29</v>
      </c>
      <c r="F313" s="17">
        <v>29</v>
      </c>
      <c r="G313" s="17">
        <v>7</v>
      </c>
      <c r="H313" s="17">
        <v>16.100000000000001</v>
      </c>
      <c r="I313" s="17">
        <v>2.2999999999999998</v>
      </c>
      <c r="J313" s="17">
        <v>4.4000000000000004</v>
      </c>
      <c r="K313" s="17">
        <v>0.52800000000000002</v>
      </c>
      <c r="L313" s="17">
        <v>0.2</v>
      </c>
      <c r="M313" s="17">
        <v>0.7</v>
      </c>
      <c r="N313" s="17">
        <v>0.316</v>
      </c>
      <c r="O313" s="17">
        <v>2.1</v>
      </c>
      <c r="P313" s="17">
        <v>3.7</v>
      </c>
      <c r="Q313" s="17">
        <v>0.56499999999999995</v>
      </c>
      <c r="R313" s="17">
        <v>0.55100000000000005</v>
      </c>
      <c r="S313" s="17">
        <v>0.8</v>
      </c>
      <c r="T313" s="17">
        <v>1.1000000000000001</v>
      </c>
      <c r="U313" s="17">
        <v>0.71899999999999997</v>
      </c>
      <c r="V313" s="17">
        <v>2.7</v>
      </c>
      <c r="W313" s="17">
        <v>3.4</v>
      </c>
      <c r="X313" s="17">
        <v>6.1</v>
      </c>
      <c r="Y313" s="17">
        <v>0.6</v>
      </c>
      <c r="Z313" s="17">
        <v>0.4</v>
      </c>
      <c r="AA313" s="17">
        <v>1.6</v>
      </c>
      <c r="AB313" s="17">
        <v>1.1000000000000001</v>
      </c>
      <c r="AC313" s="17">
        <v>2.6</v>
      </c>
      <c r="AD313" s="17">
        <v>5.6</v>
      </c>
      <c r="AE313" s="17"/>
      <c r="AG313" s="8" t="str">
        <v>Lonzo Ball</v>
      </c>
      <c r="AH313" s="8" t="str">
        <v>CHI</v>
      </c>
    </row>
    <row r="314" spans="1:34" ht="17" x14ac:dyDescent="0.2">
      <c r="A314" s="1">
        <v>304</v>
      </c>
      <c r="B314" s="18" t="s">
        <v>339</v>
      </c>
      <c r="C314" s="17">
        <v>25</v>
      </c>
      <c r="D314" s="18" t="s">
        <v>68</v>
      </c>
      <c r="E314" s="17" t="s">
        <v>29</v>
      </c>
      <c r="F314" s="17">
        <v>30</v>
      </c>
      <c r="G314" s="17">
        <v>5</v>
      </c>
      <c r="H314" s="17">
        <v>15.8</v>
      </c>
      <c r="I314" s="17">
        <v>2.4</v>
      </c>
      <c r="J314" s="17">
        <v>3.6</v>
      </c>
      <c r="K314" s="17">
        <v>0.66100000000000003</v>
      </c>
      <c r="L314" s="17">
        <v>0</v>
      </c>
      <c r="M314" s="17">
        <v>0.1</v>
      </c>
      <c r="N314" s="17">
        <v>0</v>
      </c>
      <c r="O314" s="17">
        <v>2.4</v>
      </c>
      <c r="P314" s="17">
        <v>3.6</v>
      </c>
      <c r="Q314" s="17">
        <v>0.67300000000000004</v>
      </c>
      <c r="R314" s="17">
        <v>0.66100000000000003</v>
      </c>
      <c r="S314" s="17">
        <v>0.8</v>
      </c>
      <c r="T314" s="17">
        <v>1.1000000000000001</v>
      </c>
      <c r="U314" s="17">
        <v>0.71899999999999997</v>
      </c>
      <c r="V314" s="17">
        <v>1.7</v>
      </c>
      <c r="W314" s="17">
        <v>2.6</v>
      </c>
      <c r="X314" s="17">
        <v>4.3</v>
      </c>
      <c r="Y314" s="17">
        <v>0.6</v>
      </c>
      <c r="Z314" s="17">
        <v>0.3</v>
      </c>
      <c r="AA314" s="17">
        <v>0.8</v>
      </c>
      <c r="AB314" s="17">
        <v>0.7</v>
      </c>
      <c r="AC314" s="17">
        <v>2</v>
      </c>
      <c r="AD314" s="17">
        <v>5.6</v>
      </c>
      <c r="AE314" s="17"/>
      <c r="AG314" s="8" t="str">
        <v>Bruce Brown</v>
      </c>
      <c r="AH314" s="8" t="str">
        <v>TOR</v>
      </c>
    </row>
    <row r="315" spans="1:34" ht="17" x14ac:dyDescent="0.2">
      <c r="A315" s="1">
        <v>305</v>
      </c>
      <c r="B315" s="18" t="s">
        <v>91</v>
      </c>
      <c r="C315" s="17">
        <v>21</v>
      </c>
      <c r="D315" s="18" t="s">
        <v>70</v>
      </c>
      <c r="E315" s="17" t="s">
        <v>35</v>
      </c>
      <c r="F315" s="17">
        <v>23</v>
      </c>
      <c r="G315" s="17">
        <v>0</v>
      </c>
      <c r="H315" s="17">
        <v>11.5</v>
      </c>
      <c r="I315" s="17">
        <v>2</v>
      </c>
      <c r="J315" s="17">
        <v>4.5999999999999996</v>
      </c>
      <c r="K315" s="17">
        <v>0.438</v>
      </c>
      <c r="L315" s="17">
        <v>0.8</v>
      </c>
      <c r="M315" s="17">
        <v>2</v>
      </c>
      <c r="N315" s="17">
        <v>0.38300000000000001</v>
      </c>
      <c r="O315" s="17">
        <v>1.2</v>
      </c>
      <c r="P315" s="17">
        <v>2.5</v>
      </c>
      <c r="Q315" s="17">
        <v>0.48299999999999998</v>
      </c>
      <c r="R315" s="17">
        <v>0.52400000000000002</v>
      </c>
      <c r="S315" s="17">
        <v>0.7</v>
      </c>
      <c r="T315" s="17">
        <v>0.9</v>
      </c>
      <c r="U315" s="17">
        <v>0.85</v>
      </c>
      <c r="V315" s="17">
        <v>0.1</v>
      </c>
      <c r="W315" s="17">
        <v>1.2</v>
      </c>
      <c r="X315" s="17">
        <v>1.3</v>
      </c>
      <c r="Y315" s="17">
        <v>1.1000000000000001</v>
      </c>
      <c r="Z315" s="17">
        <v>0.3</v>
      </c>
      <c r="AA315" s="17">
        <v>0.1</v>
      </c>
      <c r="AB315" s="17">
        <v>1.1000000000000001</v>
      </c>
      <c r="AC315" s="17">
        <v>0.7</v>
      </c>
      <c r="AD315" s="17">
        <v>5.5</v>
      </c>
      <c r="AE315" s="17"/>
      <c r="AG315" s="8" t="str">
        <v>Kobe Bufkin</v>
      </c>
      <c r="AH315" s="8" t="str">
        <v>ATL</v>
      </c>
    </row>
    <row r="316" spans="1:34" ht="17" x14ac:dyDescent="0.2">
      <c r="A316" s="1">
        <v>306</v>
      </c>
      <c r="B316" s="18" t="s">
        <v>114</v>
      </c>
      <c r="C316" s="17">
        <v>30</v>
      </c>
      <c r="D316" s="18" t="s">
        <v>81</v>
      </c>
      <c r="E316" s="17" t="s">
        <v>35</v>
      </c>
      <c r="F316" s="17">
        <v>20</v>
      </c>
      <c r="G316" s="17">
        <v>0</v>
      </c>
      <c r="H316" s="17">
        <v>19.899999999999999</v>
      </c>
      <c r="I316" s="17">
        <v>2.2000000000000002</v>
      </c>
      <c r="J316" s="17">
        <v>5.7</v>
      </c>
      <c r="K316" s="17">
        <v>0.377</v>
      </c>
      <c r="L316" s="17">
        <v>0.9</v>
      </c>
      <c r="M316" s="17">
        <v>3.3</v>
      </c>
      <c r="N316" s="17">
        <v>0.26200000000000001</v>
      </c>
      <c r="O316" s="17">
        <v>1.3</v>
      </c>
      <c r="P316" s="17">
        <v>2.5</v>
      </c>
      <c r="Q316" s="17">
        <v>0.53100000000000003</v>
      </c>
      <c r="R316" s="17">
        <v>0.45200000000000001</v>
      </c>
      <c r="S316" s="17">
        <v>0.4</v>
      </c>
      <c r="T316" s="17">
        <v>0.5</v>
      </c>
      <c r="U316" s="17">
        <v>0.77800000000000002</v>
      </c>
      <c r="V316" s="17">
        <v>0.6</v>
      </c>
      <c r="W316" s="17">
        <v>2.2999999999999998</v>
      </c>
      <c r="X316" s="17">
        <v>2.9</v>
      </c>
      <c r="Y316" s="17">
        <v>2.5</v>
      </c>
      <c r="Z316" s="17">
        <v>1.9</v>
      </c>
      <c r="AA316" s="17">
        <v>0.6</v>
      </c>
      <c r="AB316" s="17">
        <v>0.8</v>
      </c>
      <c r="AC316" s="17">
        <v>2</v>
      </c>
      <c r="AD316" s="17">
        <v>5.5</v>
      </c>
      <c r="AE316" s="17"/>
      <c r="AG316" s="8" t="str">
        <v>Zach Collins</v>
      </c>
      <c r="AH316" s="8" t="str">
        <v>SAS</v>
      </c>
    </row>
    <row r="317" spans="1:34" ht="17" x14ac:dyDescent="0.2">
      <c r="A317" s="1">
        <v>307</v>
      </c>
      <c r="B317" s="18" t="s">
        <v>129</v>
      </c>
      <c r="C317" s="17">
        <v>23</v>
      </c>
      <c r="D317" s="18" t="s">
        <v>64</v>
      </c>
      <c r="E317" s="17" t="s">
        <v>54</v>
      </c>
      <c r="F317" s="17">
        <v>28</v>
      </c>
      <c r="G317" s="17">
        <v>0</v>
      </c>
      <c r="H317" s="17">
        <v>12.7</v>
      </c>
      <c r="I317" s="17">
        <v>1.8</v>
      </c>
      <c r="J317" s="17">
        <v>4.2</v>
      </c>
      <c r="K317" s="17">
        <v>0.41899999999999998</v>
      </c>
      <c r="L317" s="17">
        <v>0.4</v>
      </c>
      <c r="M317" s="17">
        <v>1.6</v>
      </c>
      <c r="N317" s="17">
        <v>0.26700000000000002</v>
      </c>
      <c r="O317" s="17">
        <v>1.3</v>
      </c>
      <c r="P317" s="17">
        <v>2.6</v>
      </c>
      <c r="Q317" s="17">
        <v>0.51400000000000001</v>
      </c>
      <c r="R317" s="17">
        <v>0.47</v>
      </c>
      <c r="S317" s="17">
        <v>1.6</v>
      </c>
      <c r="T317" s="17">
        <v>1.9</v>
      </c>
      <c r="U317" s="17">
        <v>0.84599999999999997</v>
      </c>
      <c r="V317" s="17">
        <v>0.6</v>
      </c>
      <c r="W317" s="17">
        <v>1.6</v>
      </c>
      <c r="X317" s="17">
        <v>2.2000000000000002</v>
      </c>
      <c r="Y317" s="17">
        <v>0.7</v>
      </c>
      <c r="Z317" s="17">
        <v>0.3</v>
      </c>
      <c r="AA317" s="17">
        <v>0.2</v>
      </c>
      <c r="AB317" s="17">
        <v>0.4</v>
      </c>
      <c r="AC317" s="17">
        <v>0.8</v>
      </c>
      <c r="AD317" s="17">
        <v>5.5</v>
      </c>
      <c r="AE317" s="17"/>
      <c r="AG317" s="8" t="str">
        <v>Eric Gordon</v>
      </c>
      <c r="AH317" s="8" t="str">
        <v>PHI</v>
      </c>
    </row>
    <row r="318" spans="1:34" ht="17" x14ac:dyDescent="0.2">
      <c r="A318" s="1">
        <v>308</v>
      </c>
      <c r="B318" s="18" t="s">
        <v>300</v>
      </c>
      <c r="C318" s="17">
        <v>29</v>
      </c>
      <c r="D318" s="18" t="s">
        <v>42</v>
      </c>
      <c r="E318" s="17" t="s">
        <v>46</v>
      </c>
      <c r="F318" s="17">
        <v>31</v>
      </c>
      <c r="G318" s="17">
        <v>0</v>
      </c>
      <c r="H318" s="17">
        <v>13.9</v>
      </c>
      <c r="I318" s="17">
        <v>1.9</v>
      </c>
      <c r="J318" s="17">
        <v>4.5</v>
      </c>
      <c r="K318" s="17">
        <v>0.41399999999999998</v>
      </c>
      <c r="L318" s="17">
        <v>0.6</v>
      </c>
      <c r="M318" s="17">
        <v>2</v>
      </c>
      <c r="N318" s="17">
        <v>0.30599999999999999</v>
      </c>
      <c r="O318" s="17">
        <v>1.3</v>
      </c>
      <c r="P318" s="17">
        <v>2.5</v>
      </c>
      <c r="Q318" s="17">
        <v>0.5</v>
      </c>
      <c r="R318" s="17">
        <v>0.48199999999999998</v>
      </c>
      <c r="S318" s="17">
        <v>1.1000000000000001</v>
      </c>
      <c r="T318" s="17">
        <v>1.3</v>
      </c>
      <c r="U318" s="17">
        <v>0.85</v>
      </c>
      <c r="V318" s="17">
        <v>0.3</v>
      </c>
      <c r="W318" s="17">
        <v>1.4</v>
      </c>
      <c r="X318" s="17">
        <v>1.6</v>
      </c>
      <c r="Y318" s="17">
        <v>1.7</v>
      </c>
      <c r="Z318" s="17">
        <v>0.5</v>
      </c>
      <c r="AA318" s="17">
        <v>0.1</v>
      </c>
      <c r="AB318" s="17">
        <v>0.5</v>
      </c>
      <c r="AC318" s="17">
        <v>0.6</v>
      </c>
      <c r="AD318" s="17">
        <v>5.5</v>
      </c>
      <c r="AE318" s="17"/>
      <c r="AG318" s="8" t="str">
        <v>Jaxson Hayes</v>
      </c>
      <c r="AH318" s="8" t="str">
        <v>LAL</v>
      </c>
    </row>
    <row r="319" spans="1:34" ht="17" x14ac:dyDescent="0.2">
      <c r="A319" s="1">
        <v>309</v>
      </c>
      <c r="B319" s="18" t="s">
        <v>368</v>
      </c>
      <c r="C319" s="17">
        <v>23</v>
      </c>
      <c r="D319" s="18" t="s">
        <v>99</v>
      </c>
      <c r="E319" s="17" t="s">
        <v>35</v>
      </c>
      <c r="F319" s="17">
        <v>24</v>
      </c>
      <c r="G319" s="17">
        <v>6</v>
      </c>
      <c r="H319" s="17">
        <v>19.899999999999999</v>
      </c>
      <c r="I319" s="17">
        <v>2</v>
      </c>
      <c r="J319" s="17">
        <v>4.8</v>
      </c>
      <c r="K319" s="17">
        <v>0.41399999999999998</v>
      </c>
      <c r="L319" s="17">
        <v>1.3</v>
      </c>
      <c r="M319" s="17">
        <v>3.5</v>
      </c>
      <c r="N319" s="17">
        <v>0.373</v>
      </c>
      <c r="O319" s="17">
        <v>0.7</v>
      </c>
      <c r="P319" s="17">
        <v>1.4</v>
      </c>
      <c r="Q319" s="17">
        <v>0.51500000000000001</v>
      </c>
      <c r="R319" s="17">
        <v>0.54700000000000004</v>
      </c>
      <c r="S319" s="17">
        <v>0.2</v>
      </c>
      <c r="T319" s="17">
        <v>0.2</v>
      </c>
      <c r="U319" s="17">
        <v>1</v>
      </c>
      <c r="V319" s="17">
        <v>0.7</v>
      </c>
      <c r="W319" s="17">
        <v>2</v>
      </c>
      <c r="X319" s="17">
        <v>2.6</v>
      </c>
      <c r="Y319" s="17">
        <v>1</v>
      </c>
      <c r="Z319" s="17">
        <v>0.5</v>
      </c>
      <c r="AA319" s="17">
        <v>0.3</v>
      </c>
      <c r="AB319" s="17">
        <v>0.3</v>
      </c>
      <c r="AC319" s="17">
        <v>2.4</v>
      </c>
      <c r="AD319" s="17">
        <v>5.5</v>
      </c>
      <c r="AE319" s="17"/>
      <c r="AG319" s="8" t="str">
        <v>Trevelin Queen</v>
      </c>
      <c r="AH319" s="8" t="str">
        <v>ORL</v>
      </c>
    </row>
    <row r="320" spans="1:34" ht="17" x14ac:dyDescent="0.2">
      <c r="A320" s="1">
        <v>310</v>
      </c>
      <c r="B320" s="18" t="s">
        <v>104</v>
      </c>
      <c r="C320" s="17">
        <v>27</v>
      </c>
      <c r="D320" s="17" t="s">
        <v>610</v>
      </c>
      <c r="E320" s="17" t="s">
        <v>29</v>
      </c>
      <c r="F320" s="17">
        <v>22</v>
      </c>
      <c r="G320" s="17">
        <v>1</v>
      </c>
      <c r="H320" s="17">
        <v>12.2</v>
      </c>
      <c r="I320" s="17">
        <v>2</v>
      </c>
      <c r="J320" s="17">
        <v>3.9</v>
      </c>
      <c r="K320" s="17">
        <v>0.50600000000000001</v>
      </c>
      <c r="L320" s="17">
        <v>0.7</v>
      </c>
      <c r="M320" s="17">
        <v>1.9</v>
      </c>
      <c r="N320" s="17">
        <v>0.38100000000000001</v>
      </c>
      <c r="O320" s="17">
        <v>1.2</v>
      </c>
      <c r="P320" s="17">
        <v>2</v>
      </c>
      <c r="Q320" s="17">
        <v>0.628</v>
      </c>
      <c r="R320" s="17">
        <v>0.6</v>
      </c>
      <c r="S320" s="17">
        <v>0.8</v>
      </c>
      <c r="T320" s="17">
        <v>0.8</v>
      </c>
      <c r="U320" s="17">
        <v>1</v>
      </c>
      <c r="V320" s="17">
        <v>1.1000000000000001</v>
      </c>
      <c r="W320" s="17">
        <v>2.2999999999999998</v>
      </c>
      <c r="X320" s="17">
        <v>3.4</v>
      </c>
      <c r="Y320" s="17">
        <v>0.6</v>
      </c>
      <c r="Z320" s="17">
        <v>0.3</v>
      </c>
      <c r="AA320" s="17">
        <v>0.6</v>
      </c>
      <c r="AB320" s="17">
        <v>0.2</v>
      </c>
      <c r="AC320" s="17">
        <v>1</v>
      </c>
      <c r="AD320" s="17">
        <v>5.4</v>
      </c>
      <c r="AE320" s="17"/>
      <c r="AG320" s="8" t="str">
        <v>Vince Williams Jr.</v>
      </c>
      <c r="AH320" s="8" t="str">
        <v>MEM</v>
      </c>
    </row>
    <row r="321" spans="1:34" ht="17" x14ac:dyDescent="0.2">
      <c r="A321" s="20">
        <v>310</v>
      </c>
      <c r="B321" s="18" t="s">
        <v>104</v>
      </c>
      <c r="C321" s="21">
        <v>27</v>
      </c>
      <c r="D321" s="18" t="s">
        <v>33</v>
      </c>
      <c r="E321" s="21" t="s">
        <v>29</v>
      </c>
      <c r="F321" s="21">
        <v>10</v>
      </c>
      <c r="G321" s="21">
        <v>0</v>
      </c>
      <c r="H321" s="21">
        <v>11.5</v>
      </c>
      <c r="I321" s="21">
        <v>1.2</v>
      </c>
      <c r="J321" s="21">
        <v>2.8</v>
      </c>
      <c r="K321" s="21">
        <v>0.42899999999999999</v>
      </c>
      <c r="L321" s="21">
        <v>0.6</v>
      </c>
      <c r="M321" s="21">
        <v>1.7</v>
      </c>
      <c r="N321" s="21">
        <v>0.35299999999999998</v>
      </c>
      <c r="O321" s="21">
        <v>0.6</v>
      </c>
      <c r="P321" s="21">
        <v>1.1000000000000001</v>
      </c>
      <c r="Q321" s="21">
        <v>0.54500000000000004</v>
      </c>
      <c r="R321" s="21">
        <v>0.53600000000000003</v>
      </c>
      <c r="S321" s="21">
        <v>1.1000000000000001</v>
      </c>
      <c r="T321" s="21">
        <v>1.1000000000000001</v>
      </c>
      <c r="U321" s="21">
        <v>1</v>
      </c>
      <c r="V321" s="21">
        <v>0.6</v>
      </c>
      <c r="W321" s="21">
        <v>2.6</v>
      </c>
      <c r="X321" s="21">
        <v>3.2</v>
      </c>
      <c r="Y321" s="21">
        <v>0.4</v>
      </c>
      <c r="Z321" s="21">
        <v>0.1</v>
      </c>
      <c r="AA321" s="21">
        <v>0.9</v>
      </c>
      <c r="AB321" s="21">
        <v>0.2</v>
      </c>
      <c r="AC321" s="21">
        <v>0.9</v>
      </c>
      <c r="AD321" s="21">
        <v>4.0999999999999996</v>
      </c>
      <c r="AE321" s="21"/>
      <c r="AG321" s="8" t="str">
        <v>Seth Curry</v>
      </c>
      <c r="AH321" s="8" t="str">
        <v>CHO</v>
      </c>
    </row>
    <row r="322" spans="1:34" ht="17" x14ac:dyDescent="0.2">
      <c r="A322" s="20">
        <v>310</v>
      </c>
      <c r="B322" s="18" t="s">
        <v>104</v>
      </c>
      <c r="C322" s="21">
        <v>27</v>
      </c>
      <c r="D322" s="18" t="s">
        <v>99</v>
      </c>
      <c r="E322" s="21" t="s">
        <v>29</v>
      </c>
      <c r="F322" s="21">
        <v>12</v>
      </c>
      <c r="G322" s="21">
        <v>1</v>
      </c>
      <c r="H322" s="21">
        <v>12.8</v>
      </c>
      <c r="I322" s="21">
        <v>2.6</v>
      </c>
      <c r="J322" s="21">
        <v>4.8</v>
      </c>
      <c r="K322" s="21">
        <v>0.54400000000000004</v>
      </c>
      <c r="L322" s="21">
        <v>0.8</v>
      </c>
      <c r="M322" s="21">
        <v>2.1</v>
      </c>
      <c r="N322" s="21">
        <v>0.4</v>
      </c>
      <c r="O322" s="21">
        <v>1.8</v>
      </c>
      <c r="P322" s="21">
        <v>2.7</v>
      </c>
      <c r="Q322" s="21">
        <v>0.65600000000000003</v>
      </c>
      <c r="R322" s="21">
        <v>0.63200000000000001</v>
      </c>
      <c r="S322" s="21">
        <v>0.5</v>
      </c>
      <c r="T322" s="21">
        <v>0.5</v>
      </c>
      <c r="U322" s="21">
        <v>1</v>
      </c>
      <c r="V322" s="21">
        <v>1.5</v>
      </c>
      <c r="W322" s="21">
        <v>2.1</v>
      </c>
      <c r="X322" s="21">
        <v>3.6</v>
      </c>
      <c r="Y322" s="21">
        <v>0.8</v>
      </c>
      <c r="Z322" s="21">
        <v>0.5</v>
      </c>
      <c r="AA322" s="21">
        <v>0.3</v>
      </c>
      <c r="AB322" s="21">
        <v>0.3</v>
      </c>
      <c r="AC322" s="21">
        <v>1.1000000000000001</v>
      </c>
      <c r="AD322" s="21">
        <v>6.5</v>
      </c>
      <c r="AE322" s="21"/>
      <c r="AG322" s="8" t="str">
        <v>David Roddy</v>
      </c>
      <c r="AH322" s="8" t="str">
        <v>ATL</v>
      </c>
    </row>
    <row r="323" spans="1:34" ht="17" x14ac:dyDescent="0.2">
      <c r="A323" s="1">
        <v>311</v>
      </c>
      <c r="B323" s="18" t="s">
        <v>555</v>
      </c>
      <c r="C323" s="17">
        <v>27</v>
      </c>
      <c r="D323" s="18" t="s">
        <v>84</v>
      </c>
      <c r="E323" s="17" t="s">
        <v>46</v>
      </c>
      <c r="F323" s="17">
        <v>18</v>
      </c>
      <c r="G323" s="17">
        <v>0</v>
      </c>
      <c r="H323" s="17">
        <v>19.2</v>
      </c>
      <c r="I323" s="17">
        <v>1.8</v>
      </c>
      <c r="J323" s="17">
        <v>5.3</v>
      </c>
      <c r="K323" s="17">
        <v>0.34399999999999997</v>
      </c>
      <c r="L323" s="17">
        <v>1.3</v>
      </c>
      <c r="M323" s="17">
        <v>4.3</v>
      </c>
      <c r="N323" s="17">
        <v>0.29499999999999998</v>
      </c>
      <c r="O323" s="17">
        <v>0.6</v>
      </c>
      <c r="P323" s="17">
        <v>1</v>
      </c>
      <c r="Q323" s="17">
        <v>0.55600000000000005</v>
      </c>
      <c r="R323" s="17">
        <v>0.46400000000000002</v>
      </c>
      <c r="S323" s="17">
        <v>0.5</v>
      </c>
      <c r="T323" s="17">
        <v>0.7</v>
      </c>
      <c r="U323" s="17">
        <v>0.75</v>
      </c>
      <c r="V323" s="17">
        <v>0.4</v>
      </c>
      <c r="W323" s="17">
        <v>2.9</v>
      </c>
      <c r="X323" s="17">
        <v>3.3</v>
      </c>
      <c r="Y323" s="17">
        <v>3.6</v>
      </c>
      <c r="Z323" s="17">
        <v>1.5</v>
      </c>
      <c r="AA323" s="17">
        <v>0.5</v>
      </c>
      <c r="AB323" s="17">
        <v>1.2</v>
      </c>
      <c r="AC323" s="17">
        <v>1.4</v>
      </c>
      <c r="AD323" s="17">
        <v>5.4</v>
      </c>
      <c r="AE323" s="17"/>
      <c r="AG323" s="8" t="str">
        <v>Jamal Shead</v>
      </c>
      <c r="AH323" s="8" t="str">
        <v>TOR</v>
      </c>
    </row>
    <row r="324" spans="1:34" ht="17" x14ac:dyDescent="0.2">
      <c r="A324" s="1">
        <v>312</v>
      </c>
      <c r="B324" s="18" t="s">
        <v>615</v>
      </c>
      <c r="C324" s="17">
        <v>28</v>
      </c>
      <c r="D324" s="18" t="s">
        <v>30</v>
      </c>
      <c r="E324" s="17" t="s">
        <v>46</v>
      </c>
      <c r="F324" s="17">
        <v>5</v>
      </c>
      <c r="G324" s="17">
        <v>0</v>
      </c>
      <c r="H324" s="17">
        <v>18</v>
      </c>
      <c r="I324" s="17">
        <v>2.2000000000000002</v>
      </c>
      <c r="J324" s="17">
        <v>5.8</v>
      </c>
      <c r="K324" s="17">
        <v>0.379</v>
      </c>
      <c r="L324" s="17">
        <v>0.2</v>
      </c>
      <c r="M324" s="17">
        <v>1.2</v>
      </c>
      <c r="N324" s="17">
        <v>0.16700000000000001</v>
      </c>
      <c r="O324" s="17">
        <v>2</v>
      </c>
      <c r="P324" s="17">
        <v>4.5999999999999996</v>
      </c>
      <c r="Q324" s="17">
        <v>0.435</v>
      </c>
      <c r="R324" s="17">
        <v>0.39700000000000002</v>
      </c>
      <c r="S324" s="17">
        <v>0.8</v>
      </c>
      <c r="T324" s="17">
        <v>1</v>
      </c>
      <c r="U324" s="17">
        <v>0.8</v>
      </c>
      <c r="V324" s="17">
        <v>0.6</v>
      </c>
      <c r="W324" s="17">
        <v>1.4</v>
      </c>
      <c r="X324" s="17">
        <v>2</v>
      </c>
      <c r="Y324" s="17">
        <v>0.6</v>
      </c>
      <c r="Z324" s="17">
        <v>0.6</v>
      </c>
      <c r="AA324" s="17">
        <v>0</v>
      </c>
      <c r="AB324" s="17">
        <v>0.6</v>
      </c>
      <c r="AC324" s="17">
        <v>1.4</v>
      </c>
      <c r="AD324" s="17">
        <v>5.4</v>
      </c>
      <c r="AE324" s="17"/>
      <c r="AG324" s="8" t="str">
        <v>Kevon Looney</v>
      </c>
      <c r="AH324" s="8" t="str">
        <v>GSW</v>
      </c>
    </row>
    <row r="325" spans="1:34" ht="17" x14ac:dyDescent="0.2">
      <c r="A325" s="1">
        <v>313</v>
      </c>
      <c r="B325" s="18" t="s">
        <v>626</v>
      </c>
      <c r="C325" s="17">
        <v>21</v>
      </c>
      <c r="D325" s="18" t="s">
        <v>82</v>
      </c>
      <c r="E325" s="17" t="s">
        <v>35</v>
      </c>
      <c r="F325" s="17">
        <v>10</v>
      </c>
      <c r="G325" s="17">
        <v>0</v>
      </c>
      <c r="H325" s="17">
        <v>12.4</v>
      </c>
      <c r="I325" s="17">
        <v>1.8</v>
      </c>
      <c r="J325" s="17">
        <v>4.7</v>
      </c>
      <c r="K325" s="17">
        <v>0.38300000000000001</v>
      </c>
      <c r="L325" s="17">
        <v>0.4</v>
      </c>
      <c r="M325" s="17">
        <v>1.9</v>
      </c>
      <c r="N325" s="17">
        <v>0.21099999999999999</v>
      </c>
      <c r="O325" s="17">
        <v>1.4</v>
      </c>
      <c r="P325" s="17">
        <v>2.8</v>
      </c>
      <c r="Q325" s="17">
        <v>0.5</v>
      </c>
      <c r="R325" s="17">
        <v>0.42599999999999999</v>
      </c>
      <c r="S325" s="17">
        <v>1.3</v>
      </c>
      <c r="T325" s="17">
        <v>1.8</v>
      </c>
      <c r="U325" s="17">
        <v>0.72199999999999998</v>
      </c>
      <c r="V325" s="17">
        <v>0.5</v>
      </c>
      <c r="W325" s="17">
        <v>1.6</v>
      </c>
      <c r="X325" s="17">
        <v>2.1</v>
      </c>
      <c r="Y325" s="17">
        <v>1.7</v>
      </c>
      <c r="Z325" s="17">
        <v>0.3</v>
      </c>
      <c r="AA325" s="17">
        <v>0.2</v>
      </c>
      <c r="AB325" s="17">
        <v>0.8</v>
      </c>
      <c r="AC325" s="17">
        <v>0.9</v>
      </c>
      <c r="AD325" s="17">
        <v>5.3</v>
      </c>
      <c r="AE325" s="17"/>
      <c r="AG325" s="8" t="str">
        <v>Jonathan Mogbo</v>
      </c>
      <c r="AH325" s="8" t="str">
        <v>TOR</v>
      </c>
    </row>
    <row r="326" spans="1:34" ht="17" x14ac:dyDescent="0.2">
      <c r="A326" s="1">
        <v>314</v>
      </c>
      <c r="B326" s="18" t="s">
        <v>125</v>
      </c>
      <c r="C326" s="17">
        <v>27</v>
      </c>
      <c r="D326" s="18" t="s">
        <v>70</v>
      </c>
      <c r="E326" s="17" t="s">
        <v>29</v>
      </c>
      <c r="F326" s="17">
        <v>29</v>
      </c>
      <c r="G326" s="17">
        <v>4</v>
      </c>
      <c r="H326" s="17">
        <v>13.5</v>
      </c>
      <c r="I326" s="17">
        <v>1.9</v>
      </c>
      <c r="J326" s="17">
        <v>4.3</v>
      </c>
      <c r="K326" s="17">
        <v>0.44800000000000001</v>
      </c>
      <c r="L326" s="17">
        <v>0.4</v>
      </c>
      <c r="M326" s="17">
        <v>1.5</v>
      </c>
      <c r="N326" s="17">
        <v>0.27300000000000002</v>
      </c>
      <c r="O326" s="17">
        <v>1.5</v>
      </c>
      <c r="P326" s="17">
        <v>2.8</v>
      </c>
      <c r="Q326" s="17">
        <v>0.54300000000000004</v>
      </c>
      <c r="R326" s="17">
        <v>0.496</v>
      </c>
      <c r="S326" s="17">
        <v>1.1000000000000001</v>
      </c>
      <c r="T326" s="17">
        <v>1.2</v>
      </c>
      <c r="U326" s="17">
        <v>0.88600000000000001</v>
      </c>
      <c r="V326" s="17">
        <v>1.2</v>
      </c>
      <c r="W326" s="17">
        <v>2</v>
      </c>
      <c r="X326" s="17">
        <v>3.2</v>
      </c>
      <c r="Y326" s="17">
        <v>1.6</v>
      </c>
      <c r="Z326" s="17">
        <v>0.4</v>
      </c>
      <c r="AA326" s="17">
        <v>0.4</v>
      </c>
      <c r="AB326" s="17">
        <v>0.8</v>
      </c>
      <c r="AC326" s="17">
        <v>2.2000000000000002</v>
      </c>
      <c r="AD326" s="17">
        <v>5.3</v>
      </c>
      <c r="AE326" s="17"/>
      <c r="AG326" s="8" t="str">
        <v>Kyle Anderson</v>
      </c>
      <c r="AH326" s="8" t="str">
        <v>GSW</v>
      </c>
    </row>
    <row r="327" spans="1:34" ht="17" x14ac:dyDescent="0.2">
      <c r="A327" s="1">
        <v>315</v>
      </c>
      <c r="B327" s="18" t="s">
        <v>175</v>
      </c>
      <c r="C327" s="17">
        <v>36</v>
      </c>
      <c r="D327" s="18" t="s">
        <v>64</v>
      </c>
      <c r="E327" s="17" t="s">
        <v>35</v>
      </c>
      <c r="F327" s="17">
        <v>24</v>
      </c>
      <c r="G327" s="17">
        <v>2</v>
      </c>
      <c r="H327" s="17">
        <v>16.8</v>
      </c>
      <c r="I327" s="17">
        <v>1.8</v>
      </c>
      <c r="J327" s="17">
        <v>4.5999999999999996</v>
      </c>
      <c r="K327" s="17">
        <v>0.39100000000000001</v>
      </c>
      <c r="L327" s="17">
        <v>0.9</v>
      </c>
      <c r="M327" s="17">
        <v>2.9</v>
      </c>
      <c r="N327" s="17">
        <v>0.31900000000000001</v>
      </c>
      <c r="O327" s="17">
        <v>0.9</v>
      </c>
      <c r="P327" s="17">
        <v>1.7</v>
      </c>
      <c r="Q327" s="17">
        <v>0.51200000000000001</v>
      </c>
      <c r="R327" s="17">
        <v>0.49099999999999999</v>
      </c>
      <c r="S327" s="17">
        <v>0.8</v>
      </c>
      <c r="T327" s="17">
        <v>1.1000000000000001</v>
      </c>
      <c r="U327" s="17">
        <v>0.73099999999999998</v>
      </c>
      <c r="V327" s="17">
        <v>0.1</v>
      </c>
      <c r="W327" s="17">
        <v>0.8</v>
      </c>
      <c r="X327" s="17">
        <v>0.9</v>
      </c>
      <c r="Y327" s="17">
        <v>1.2</v>
      </c>
      <c r="Z327" s="17">
        <v>0.6</v>
      </c>
      <c r="AA327" s="17">
        <v>0.3</v>
      </c>
      <c r="AB327" s="17">
        <v>0.7</v>
      </c>
      <c r="AC327" s="17">
        <v>0.7</v>
      </c>
      <c r="AD327" s="17">
        <v>5.3</v>
      </c>
      <c r="AE327" s="17"/>
      <c r="AG327" s="8" t="str">
        <v>Cam Christie</v>
      </c>
      <c r="AH327" s="8" t="str">
        <v>LAC</v>
      </c>
    </row>
    <row r="328" spans="1:34" ht="17" x14ac:dyDescent="0.2">
      <c r="A328" s="1">
        <v>316</v>
      </c>
      <c r="B328" s="18" t="s">
        <v>194</v>
      </c>
      <c r="C328" s="17">
        <v>24</v>
      </c>
      <c r="D328" s="18" t="s">
        <v>116</v>
      </c>
      <c r="E328" s="17" t="s">
        <v>29</v>
      </c>
      <c r="F328" s="17">
        <v>15</v>
      </c>
      <c r="G328" s="17">
        <v>2</v>
      </c>
      <c r="H328" s="17">
        <v>15.9</v>
      </c>
      <c r="I328" s="17">
        <v>1.9</v>
      </c>
      <c r="J328" s="17">
        <v>3</v>
      </c>
      <c r="K328" s="17">
        <v>0.64400000000000002</v>
      </c>
      <c r="L328" s="17">
        <v>0</v>
      </c>
      <c r="M328" s="17">
        <v>0</v>
      </c>
      <c r="N328" s="17"/>
      <c r="O328" s="17">
        <v>1.9</v>
      </c>
      <c r="P328" s="17">
        <v>3</v>
      </c>
      <c r="Q328" s="17">
        <v>0.64400000000000002</v>
      </c>
      <c r="R328" s="17">
        <v>0.64400000000000002</v>
      </c>
      <c r="S328" s="17">
        <v>1.5</v>
      </c>
      <c r="T328" s="17">
        <v>1.9</v>
      </c>
      <c r="U328" s="17">
        <v>0.75900000000000001</v>
      </c>
      <c r="V328" s="17">
        <v>1.7</v>
      </c>
      <c r="W328" s="17">
        <v>2.5</v>
      </c>
      <c r="X328" s="17">
        <v>4.0999999999999996</v>
      </c>
      <c r="Y328" s="17">
        <v>0.7</v>
      </c>
      <c r="Z328" s="17">
        <v>0.4</v>
      </c>
      <c r="AA328" s="17">
        <v>0.8</v>
      </c>
      <c r="AB328" s="17">
        <v>0.6</v>
      </c>
      <c r="AC328" s="17">
        <v>2.5</v>
      </c>
      <c r="AD328" s="17">
        <v>5.3</v>
      </c>
      <c r="AE328" s="17"/>
      <c r="AG328" s="8" t="str">
        <v>Tidjane Salaün</v>
      </c>
      <c r="AH328" s="8" t="str">
        <v>CHO</v>
      </c>
    </row>
    <row r="329" spans="1:34" ht="17" x14ac:dyDescent="0.2">
      <c r="A329" s="1">
        <v>317</v>
      </c>
      <c r="B329" s="18" t="s">
        <v>338</v>
      </c>
      <c r="C329" s="17">
        <v>27</v>
      </c>
      <c r="D329" s="18" t="s">
        <v>52</v>
      </c>
      <c r="E329" s="17" t="s">
        <v>35</v>
      </c>
      <c r="F329" s="17">
        <v>12</v>
      </c>
      <c r="G329" s="17">
        <v>2</v>
      </c>
      <c r="H329" s="17">
        <v>15.8</v>
      </c>
      <c r="I329" s="17">
        <v>1.8</v>
      </c>
      <c r="J329" s="17">
        <v>4.5</v>
      </c>
      <c r="K329" s="17">
        <v>0.40699999999999997</v>
      </c>
      <c r="L329" s="17">
        <v>1</v>
      </c>
      <c r="M329" s="17">
        <v>2.4</v>
      </c>
      <c r="N329" s="17">
        <v>0.41399999999999998</v>
      </c>
      <c r="O329" s="17">
        <v>0.8</v>
      </c>
      <c r="P329" s="17">
        <v>2.1</v>
      </c>
      <c r="Q329" s="17">
        <v>0.4</v>
      </c>
      <c r="R329" s="17">
        <v>0.51900000000000002</v>
      </c>
      <c r="S329" s="17">
        <v>0.6</v>
      </c>
      <c r="T329" s="17">
        <v>0.7</v>
      </c>
      <c r="U329" s="17">
        <v>0.875</v>
      </c>
      <c r="V329" s="17">
        <v>0.7</v>
      </c>
      <c r="W329" s="17">
        <v>0.8</v>
      </c>
      <c r="X329" s="17">
        <v>1.4</v>
      </c>
      <c r="Y329" s="17">
        <v>1.6</v>
      </c>
      <c r="Z329" s="17">
        <v>1</v>
      </c>
      <c r="AA329" s="17">
        <v>0.4</v>
      </c>
      <c r="AB329" s="17">
        <v>1.1000000000000001</v>
      </c>
      <c r="AC329" s="17">
        <v>1.9</v>
      </c>
      <c r="AD329" s="17">
        <v>5.3</v>
      </c>
      <c r="AE329" s="17"/>
      <c r="AG329" s="8" t="str">
        <v>Alondes Williams</v>
      </c>
      <c r="AH329" s="8" t="str">
        <v>DET</v>
      </c>
    </row>
    <row r="330" spans="1:34" ht="17" x14ac:dyDescent="0.2">
      <c r="A330" s="1">
        <v>318</v>
      </c>
      <c r="B330" s="18" t="s">
        <v>431</v>
      </c>
      <c r="C330" s="17">
        <v>24</v>
      </c>
      <c r="D330" s="18" t="s">
        <v>38</v>
      </c>
      <c r="E330" s="17" t="s">
        <v>35</v>
      </c>
      <c r="F330" s="17">
        <v>3</v>
      </c>
      <c r="G330" s="17">
        <v>0</v>
      </c>
      <c r="H330" s="17">
        <v>15</v>
      </c>
      <c r="I330" s="17">
        <v>2.2999999999999998</v>
      </c>
      <c r="J330" s="17">
        <v>6.3</v>
      </c>
      <c r="K330" s="17">
        <v>0.36799999999999999</v>
      </c>
      <c r="L330" s="17">
        <v>0.3</v>
      </c>
      <c r="M330" s="17">
        <v>2.7</v>
      </c>
      <c r="N330" s="17">
        <v>0.125</v>
      </c>
      <c r="O330" s="17">
        <v>2</v>
      </c>
      <c r="P330" s="17">
        <v>3.7</v>
      </c>
      <c r="Q330" s="17">
        <v>0.54500000000000004</v>
      </c>
      <c r="R330" s="17">
        <v>0.39500000000000002</v>
      </c>
      <c r="S330" s="17">
        <v>0.3</v>
      </c>
      <c r="T330" s="17">
        <v>1.3</v>
      </c>
      <c r="U330" s="17">
        <v>0.25</v>
      </c>
      <c r="V330" s="17">
        <v>1.3</v>
      </c>
      <c r="W330" s="17">
        <v>2.2999999999999998</v>
      </c>
      <c r="X330" s="17">
        <v>3.7</v>
      </c>
      <c r="Y330" s="17">
        <v>3</v>
      </c>
      <c r="Z330" s="17">
        <v>0</v>
      </c>
      <c r="AA330" s="17">
        <v>0.7</v>
      </c>
      <c r="AB330" s="17">
        <v>2.2999999999999998</v>
      </c>
      <c r="AC330" s="17">
        <v>3</v>
      </c>
      <c r="AD330" s="17">
        <v>5.3</v>
      </c>
      <c r="AE330" s="17"/>
      <c r="AG330" s="8" t="str">
        <v>Marvin Bagley III</v>
      </c>
      <c r="AH330" s="8" t="str">
        <v>WAS</v>
      </c>
    </row>
    <row r="331" spans="1:34" ht="17" x14ac:dyDescent="0.2">
      <c r="A331" s="1">
        <v>319</v>
      </c>
      <c r="B331" s="18" t="s">
        <v>132</v>
      </c>
      <c r="C331" s="17">
        <v>34</v>
      </c>
      <c r="D331" s="18" t="s">
        <v>61</v>
      </c>
      <c r="E331" s="17" t="s">
        <v>35</v>
      </c>
      <c r="F331" s="17">
        <v>30</v>
      </c>
      <c r="G331" s="17">
        <v>8</v>
      </c>
      <c r="H331" s="17">
        <v>13.8</v>
      </c>
      <c r="I331" s="17">
        <v>1.9</v>
      </c>
      <c r="J331" s="17">
        <v>4.2</v>
      </c>
      <c r="K331" s="17">
        <v>0.46400000000000002</v>
      </c>
      <c r="L331" s="17">
        <v>0.9</v>
      </c>
      <c r="M331" s="17">
        <v>2.2000000000000002</v>
      </c>
      <c r="N331" s="17">
        <v>0.42399999999999999</v>
      </c>
      <c r="O331" s="17">
        <v>1</v>
      </c>
      <c r="P331" s="17">
        <v>2</v>
      </c>
      <c r="Q331" s="17">
        <v>0.50800000000000001</v>
      </c>
      <c r="R331" s="17">
        <v>0.57599999999999996</v>
      </c>
      <c r="S331" s="17">
        <v>0.4</v>
      </c>
      <c r="T331" s="17">
        <v>0.5</v>
      </c>
      <c r="U331" s="17">
        <v>0.86699999999999999</v>
      </c>
      <c r="V331" s="17">
        <v>0.4</v>
      </c>
      <c r="W331" s="17">
        <v>1</v>
      </c>
      <c r="X331" s="17">
        <v>1.4</v>
      </c>
      <c r="Y331" s="17">
        <v>0.5</v>
      </c>
      <c r="Z331" s="17">
        <v>0.5</v>
      </c>
      <c r="AA331" s="17">
        <v>0.2</v>
      </c>
      <c r="AB331" s="17">
        <v>0.3</v>
      </c>
      <c r="AC331" s="17">
        <v>1</v>
      </c>
      <c r="AD331" s="17">
        <v>5.2</v>
      </c>
      <c r="AE331" s="17"/>
      <c r="AG331" s="8" t="str">
        <v>Drew Eubanks</v>
      </c>
      <c r="AH331" s="8" t="str">
        <v>UTA</v>
      </c>
    </row>
    <row r="332" spans="1:34" ht="17" x14ac:dyDescent="0.2">
      <c r="A332" s="1">
        <v>320</v>
      </c>
      <c r="B332" s="18" t="s">
        <v>353</v>
      </c>
      <c r="C332" s="17">
        <v>23</v>
      </c>
      <c r="D332" s="18" t="s">
        <v>82</v>
      </c>
      <c r="E332" s="17" t="s">
        <v>27</v>
      </c>
      <c r="F332" s="17">
        <v>21</v>
      </c>
      <c r="G332" s="17">
        <v>1</v>
      </c>
      <c r="H332" s="17">
        <v>12.9</v>
      </c>
      <c r="I332" s="17">
        <v>1.9</v>
      </c>
      <c r="J332" s="17">
        <v>3.3</v>
      </c>
      <c r="K332" s="17">
        <v>0.57099999999999995</v>
      </c>
      <c r="L332" s="17">
        <v>0.8</v>
      </c>
      <c r="M332" s="17">
        <v>1.7</v>
      </c>
      <c r="N332" s="17">
        <v>0.45700000000000002</v>
      </c>
      <c r="O332" s="17">
        <v>1.1000000000000001</v>
      </c>
      <c r="P332" s="17">
        <v>1.7</v>
      </c>
      <c r="Q332" s="17">
        <v>0.68600000000000005</v>
      </c>
      <c r="R332" s="17">
        <v>0.68600000000000005</v>
      </c>
      <c r="S332" s="17">
        <v>0.7</v>
      </c>
      <c r="T332" s="17">
        <v>0.8</v>
      </c>
      <c r="U332" s="17">
        <v>0.875</v>
      </c>
      <c r="V332" s="17">
        <v>0.3</v>
      </c>
      <c r="W332" s="17">
        <v>2</v>
      </c>
      <c r="X332" s="17">
        <v>2.2999999999999998</v>
      </c>
      <c r="Y332" s="17">
        <v>1.1000000000000001</v>
      </c>
      <c r="Z332" s="17">
        <v>0.4</v>
      </c>
      <c r="AA332" s="17">
        <v>0.2</v>
      </c>
      <c r="AB332" s="17">
        <v>0.8</v>
      </c>
      <c r="AC332" s="17">
        <v>0.7</v>
      </c>
      <c r="AD332" s="17">
        <v>5.2</v>
      </c>
      <c r="AE332" s="17"/>
      <c r="AG332" s="8" t="str">
        <v>Jett Howard</v>
      </c>
      <c r="AH332" s="8" t="str">
        <v>ORL</v>
      </c>
    </row>
    <row r="333" spans="1:34" ht="17" x14ac:dyDescent="0.2">
      <c r="A333" s="1">
        <v>321</v>
      </c>
      <c r="B333" s="18" t="s">
        <v>554</v>
      </c>
      <c r="C333" s="17">
        <v>22</v>
      </c>
      <c r="D333" s="18" t="s">
        <v>30</v>
      </c>
      <c r="E333" s="17" t="s">
        <v>46</v>
      </c>
      <c r="F333" s="17">
        <v>34</v>
      </c>
      <c r="G333" s="17">
        <v>0</v>
      </c>
      <c r="H333" s="17">
        <v>15.9</v>
      </c>
      <c r="I333" s="17">
        <v>2.1</v>
      </c>
      <c r="J333" s="17">
        <v>4.9000000000000004</v>
      </c>
      <c r="K333" s="17">
        <v>0.41699999999999998</v>
      </c>
      <c r="L333" s="17">
        <v>0.7</v>
      </c>
      <c r="M333" s="17">
        <v>2.1</v>
      </c>
      <c r="N333" s="17">
        <v>0.33300000000000002</v>
      </c>
      <c r="O333" s="17">
        <v>1.4</v>
      </c>
      <c r="P333" s="17">
        <v>2.8</v>
      </c>
      <c r="Q333" s="17">
        <v>0.47899999999999998</v>
      </c>
      <c r="R333" s="17">
        <v>0.48799999999999999</v>
      </c>
      <c r="S333" s="17">
        <v>0.4</v>
      </c>
      <c r="T333" s="17">
        <v>0.6</v>
      </c>
      <c r="U333" s="17">
        <v>0.63200000000000001</v>
      </c>
      <c r="V333" s="17">
        <v>0.2</v>
      </c>
      <c r="W333" s="17">
        <v>0.9</v>
      </c>
      <c r="X333" s="17">
        <v>1.1000000000000001</v>
      </c>
      <c r="Y333" s="17">
        <v>3.5</v>
      </c>
      <c r="Z333" s="17">
        <v>0.6</v>
      </c>
      <c r="AA333" s="17">
        <v>0.1</v>
      </c>
      <c r="AB333" s="17">
        <v>1.5</v>
      </c>
      <c r="AC333" s="17">
        <v>1.7</v>
      </c>
      <c r="AD333" s="17">
        <v>5.2</v>
      </c>
      <c r="AE333" s="17"/>
      <c r="AG333" s="8" t="str">
        <v>Paul Reed</v>
      </c>
      <c r="AH333" s="8" t="str">
        <v>DET</v>
      </c>
    </row>
    <row r="334" spans="1:34" ht="17" x14ac:dyDescent="0.2">
      <c r="A334" s="1">
        <v>322</v>
      </c>
      <c r="B334" s="18" t="s">
        <v>261</v>
      </c>
      <c r="C334" s="17">
        <v>28</v>
      </c>
      <c r="D334" s="18" t="s">
        <v>134</v>
      </c>
      <c r="E334" s="17" t="s">
        <v>29</v>
      </c>
      <c r="F334" s="17">
        <v>31</v>
      </c>
      <c r="G334" s="17">
        <v>5</v>
      </c>
      <c r="H334" s="17">
        <v>15.7</v>
      </c>
      <c r="I334" s="17">
        <v>2.2999999999999998</v>
      </c>
      <c r="J334" s="17">
        <v>4.0999999999999996</v>
      </c>
      <c r="K334" s="17">
        <v>0.54700000000000004</v>
      </c>
      <c r="L334" s="17">
        <v>0</v>
      </c>
      <c r="M334" s="17">
        <v>0</v>
      </c>
      <c r="N334" s="17"/>
      <c r="O334" s="17">
        <v>2.2999999999999998</v>
      </c>
      <c r="P334" s="17">
        <v>4.0999999999999996</v>
      </c>
      <c r="Q334" s="17">
        <v>0.54700000000000004</v>
      </c>
      <c r="R334" s="17">
        <v>0.54700000000000004</v>
      </c>
      <c r="S334" s="17">
        <v>0.6</v>
      </c>
      <c r="T334" s="17">
        <v>1.5</v>
      </c>
      <c r="U334" s="17">
        <v>0.42199999999999999</v>
      </c>
      <c r="V334" s="17">
        <v>3</v>
      </c>
      <c r="W334" s="17">
        <v>3.7</v>
      </c>
      <c r="X334" s="17">
        <v>6.7</v>
      </c>
      <c r="Y334" s="17">
        <v>1.6</v>
      </c>
      <c r="Z334" s="17">
        <v>0.8</v>
      </c>
      <c r="AA334" s="17">
        <v>0.3</v>
      </c>
      <c r="AB334" s="17">
        <v>0.6</v>
      </c>
      <c r="AC334" s="17">
        <v>2.2000000000000002</v>
      </c>
      <c r="AD334" s="17">
        <v>5.0999999999999996</v>
      </c>
      <c r="AE334" s="17"/>
      <c r="AG334" s="8" t="str">
        <v>Matas Buzelis</v>
      </c>
      <c r="AH334" s="8" t="str">
        <v>CHI</v>
      </c>
    </row>
    <row r="335" spans="1:34" ht="17" x14ac:dyDescent="0.2">
      <c r="A335" s="1">
        <v>323</v>
      </c>
      <c r="B335" s="18" t="s">
        <v>556</v>
      </c>
      <c r="C335" s="17">
        <v>23</v>
      </c>
      <c r="D335" s="18" t="s">
        <v>30</v>
      </c>
      <c r="E335" s="17" t="s">
        <v>27</v>
      </c>
      <c r="F335" s="17">
        <v>35</v>
      </c>
      <c r="G335" s="17">
        <v>6</v>
      </c>
      <c r="H335" s="17">
        <v>16.399999999999999</v>
      </c>
      <c r="I335" s="17">
        <v>1.9</v>
      </c>
      <c r="J335" s="17">
        <v>4.2</v>
      </c>
      <c r="K335" s="17">
        <v>0.45900000000000002</v>
      </c>
      <c r="L335" s="17">
        <v>0.2</v>
      </c>
      <c r="M335" s="17">
        <v>0.7</v>
      </c>
      <c r="N335" s="17">
        <v>0.32</v>
      </c>
      <c r="O335" s="17">
        <v>1.7</v>
      </c>
      <c r="P335" s="17">
        <v>3.5</v>
      </c>
      <c r="Q335" s="17">
        <v>0.48799999999999999</v>
      </c>
      <c r="R335" s="17">
        <v>0.48599999999999999</v>
      </c>
      <c r="S335" s="17">
        <v>1</v>
      </c>
      <c r="T335" s="17">
        <v>1.4</v>
      </c>
      <c r="U335" s="17">
        <v>0.72899999999999998</v>
      </c>
      <c r="V335" s="17">
        <v>1.8</v>
      </c>
      <c r="W335" s="17">
        <v>2.4</v>
      </c>
      <c r="X335" s="17">
        <v>4.2</v>
      </c>
      <c r="Y335" s="17">
        <v>1.6</v>
      </c>
      <c r="Z335" s="17">
        <v>0.7</v>
      </c>
      <c r="AA335" s="17">
        <v>0.5</v>
      </c>
      <c r="AB335" s="17">
        <v>0.9</v>
      </c>
      <c r="AC335" s="17">
        <v>1.8</v>
      </c>
      <c r="AD335" s="17">
        <v>5.0999999999999996</v>
      </c>
      <c r="AE335" s="17"/>
      <c r="AG335" s="8" t="str">
        <v>Taylor Hendricks</v>
      </c>
      <c r="AH335" s="8" t="str">
        <v>UTA</v>
      </c>
    </row>
    <row r="336" spans="1:34" ht="17" x14ac:dyDescent="0.2">
      <c r="A336" s="1">
        <v>324</v>
      </c>
      <c r="B336" s="18" t="s">
        <v>48</v>
      </c>
      <c r="C336" s="17">
        <v>31</v>
      </c>
      <c r="D336" s="18" t="s">
        <v>134</v>
      </c>
      <c r="E336" s="17" t="s">
        <v>27</v>
      </c>
      <c r="F336" s="17">
        <v>31</v>
      </c>
      <c r="G336" s="17">
        <v>2</v>
      </c>
      <c r="H336" s="17">
        <v>14.8</v>
      </c>
      <c r="I336" s="17">
        <v>2</v>
      </c>
      <c r="J336" s="17">
        <v>4.5999999999999996</v>
      </c>
      <c r="K336" s="17">
        <v>0.43099999999999999</v>
      </c>
      <c r="L336" s="17">
        <v>0.5</v>
      </c>
      <c r="M336" s="17">
        <v>1.5</v>
      </c>
      <c r="N336" s="17">
        <v>0.36199999999999999</v>
      </c>
      <c r="O336" s="17">
        <v>1.5</v>
      </c>
      <c r="P336" s="17">
        <v>3.1</v>
      </c>
      <c r="Q336" s="17">
        <v>0.46400000000000002</v>
      </c>
      <c r="R336" s="17">
        <v>0.49</v>
      </c>
      <c r="S336" s="17">
        <v>0.5</v>
      </c>
      <c r="T336" s="17">
        <v>0.8</v>
      </c>
      <c r="U336" s="17">
        <v>0.625</v>
      </c>
      <c r="V336" s="17">
        <v>0.7</v>
      </c>
      <c r="W336" s="17">
        <v>2.2999999999999998</v>
      </c>
      <c r="X336" s="17">
        <v>3</v>
      </c>
      <c r="Y336" s="17">
        <v>2.2999999999999998</v>
      </c>
      <c r="Z336" s="17">
        <v>0.8</v>
      </c>
      <c r="AA336" s="17">
        <v>0.5</v>
      </c>
      <c r="AB336" s="17">
        <v>0.5</v>
      </c>
      <c r="AC336" s="17">
        <v>1.1000000000000001</v>
      </c>
      <c r="AD336" s="17">
        <v>5</v>
      </c>
      <c r="AE336" s="17"/>
      <c r="AG336" s="8" t="str">
        <v>Antonio Reeves</v>
      </c>
      <c r="AH336" s="8" t="str">
        <v>NOP</v>
      </c>
    </row>
    <row r="337" spans="1:34" ht="17" x14ac:dyDescent="0.2">
      <c r="A337" s="1">
        <v>325</v>
      </c>
      <c r="B337" s="18" t="s">
        <v>627</v>
      </c>
      <c r="C337" s="17">
        <v>19</v>
      </c>
      <c r="D337" s="18" t="s">
        <v>77</v>
      </c>
      <c r="E337" s="17" t="s">
        <v>35</v>
      </c>
      <c r="F337" s="17">
        <v>1</v>
      </c>
      <c r="G337" s="17">
        <v>0</v>
      </c>
      <c r="H337" s="17">
        <v>18</v>
      </c>
      <c r="I337" s="17">
        <v>2</v>
      </c>
      <c r="J337" s="17">
        <v>7</v>
      </c>
      <c r="K337" s="17">
        <v>0.28599999999999998</v>
      </c>
      <c r="L337" s="17">
        <v>1</v>
      </c>
      <c r="M337" s="17">
        <v>4</v>
      </c>
      <c r="N337" s="17">
        <v>0.25</v>
      </c>
      <c r="O337" s="17">
        <v>1</v>
      </c>
      <c r="P337" s="17">
        <v>3</v>
      </c>
      <c r="Q337" s="17">
        <v>0.33300000000000002</v>
      </c>
      <c r="R337" s="17">
        <v>0.35699999999999998</v>
      </c>
      <c r="S337" s="17">
        <v>0</v>
      </c>
      <c r="T337" s="17">
        <v>0</v>
      </c>
      <c r="U337" s="17"/>
      <c r="V337" s="17">
        <v>1</v>
      </c>
      <c r="W337" s="17">
        <v>2</v>
      </c>
      <c r="X337" s="17">
        <v>3</v>
      </c>
      <c r="Y337" s="17">
        <v>0</v>
      </c>
      <c r="Z337" s="17">
        <v>2</v>
      </c>
      <c r="AA337" s="17">
        <v>0</v>
      </c>
      <c r="AB337" s="17">
        <v>1</v>
      </c>
      <c r="AC337" s="17">
        <v>0</v>
      </c>
      <c r="AD337" s="17">
        <v>5</v>
      </c>
      <c r="AE337" s="17"/>
      <c r="AG337" s="8" t="str">
        <v>Keaton Wallace</v>
      </c>
      <c r="AH337" s="8" t="str">
        <v>ATL</v>
      </c>
    </row>
    <row r="338" spans="1:34" ht="17" x14ac:dyDescent="0.2">
      <c r="A338" s="1">
        <v>326</v>
      </c>
      <c r="B338" s="18" t="s">
        <v>563</v>
      </c>
      <c r="C338" s="17">
        <v>19</v>
      </c>
      <c r="D338" s="18" t="s">
        <v>61</v>
      </c>
      <c r="E338" s="17" t="s">
        <v>27</v>
      </c>
      <c r="F338" s="17">
        <v>31</v>
      </c>
      <c r="G338" s="17">
        <v>8</v>
      </c>
      <c r="H338" s="17">
        <v>19.100000000000001</v>
      </c>
      <c r="I338" s="17">
        <v>1.7</v>
      </c>
      <c r="J338" s="17">
        <v>5.3</v>
      </c>
      <c r="K338" s="17">
        <v>0.32300000000000001</v>
      </c>
      <c r="L338" s="17">
        <v>0.9</v>
      </c>
      <c r="M338" s="17">
        <v>3.3</v>
      </c>
      <c r="N338" s="17">
        <v>0.28199999999999997</v>
      </c>
      <c r="O338" s="17">
        <v>0.8</v>
      </c>
      <c r="P338" s="17">
        <v>2</v>
      </c>
      <c r="Q338" s="17">
        <v>0.39300000000000002</v>
      </c>
      <c r="R338" s="17">
        <v>0.41199999999999998</v>
      </c>
      <c r="S338" s="17">
        <v>0.7</v>
      </c>
      <c r="T338" s="17">
        <v>1</v>
      </c>
      <c r="U338" s="17">
        <v>0.67700000000000005</v>
      </c>
      <c r="V338" s="17">
        <v>1.1000000000000001</v>
      </c>
      <c r="W338" s="17">
        <v>3.2</v>
      </c>
      <c r="X338" s="17">
        <v>4.3</v>
      </c>
      <c r="Y338" s="17">
        <v>1.1000000000000001</v>
      </c>
      <c r="Z338" s="17">
        <v>0.6</v>
      </c>
      <c r="AA338" s="17">
        <v>0.2</v>
      </c>
      <c r="AB338" s="17">
        <v>0.8</v>
      </c>
      <c r="AC338" s="17">
        <v>1.3</v>
      </c>
      <c r="AD338" s="17">
        <v>5</v>
      </c>
      <c r="AE338" s="17"/>
      <c r="AG338" s="8" t="str">
        <v>Vit Krejci</v>
      </c>
      <c r="AH338" s="8" t="str">
        <v>ATL</v>
      </c>
    </row>
    <row r="339" spans="1:34" ht="17" x14ac:dyDescent="0.2">
      <c r="A339" s="1">
        <v>327</v>
      </c>
      <c r="B339" s="18" t="s">
        <v>629</v>
      </c>
      <c r="C339" s="17">
        <v>25</v>
      </c>
      <c r="D339" s="18" t="s">
        <v>60</v>
      </c>
      <c r="E339" s="17" t="s">
        <v>35</v>
      </c>
      <c r="F339" s="17">
        <v>1</v>
      </c>
      <c r="G339" s="17">
        <v>0</v>
      </c>
      <c r="H339" s="17">
        <v>4</v>
      </c>
      <c r="I339" s="17">
        <v>2</v>
      </c>
      <c r="J339" s="17">
        <v>2</v>
      </c>
      <c r="K339" s="17">
        <v>1</v>
      </c>
      <c r="L339" s="17">
        <v>1</v>
      </c>
      <c r="M339" s="17">
        <v>1</v>
      </c>
      <c r="N339" s="17">
        <v>1</v>
      </c>
      <c r="O339" s="17">
        <v>1</v>
      </c>
      <c r="P339" s="17">
        <v>1</v>
      </c>
      <c r="Q339" s="17">
        <v>1</v>
      </c>
      <c r="R339" s="17">
        <v>1.25</v>
      </c>
      <c r="S339" s="17">
        <v>0</v>
      </c>
      <c r="T339" s="17">
        <v>0</v>
      </c>
      <c r="U339" s="17"/>
      <c r="V339" s="17">
        <v>0</v>
      </c>
      <c r="W339" s="17">
        <v>0</v>
      </c>
      <c r="X339" s="17">
        <v>0</v>
      </c>
      <c r="Y339" s="17">
        <v>1</v>
      </c>
      <c r="Z339" s="17">
        <v>0</v>
      </c>
      <c r="AA339" s="17">
        <v>0</v>
      </c>
      <c r="AB339" s="17">
        <v>0</v>
      </c>
      <c r="AC339" s="17">
        <v>0</v>
      </c>
      <c r="AD339" s="17">
        <v>5</v>
      </c>
      <c r="AE339" s="17"/>
      <c r="AG339" s="8" t="str">
        <v>Gary Payton II</v>
      </c>
      <c r="AH339" s="8" t="str">
        <v>GSW</v>
      </c>
    </row>
    <row r="340" spans="1:34" ht="17" x14ac:dyDescent="0.2">
      <c r="A340" s="1">
        <v>328</v>
      </c>
      <c r="B340" s="18" t="s">
        <v>59</v>
      </c>
      <c r="C340" s="17">
        <v>25</v>
      </c>
      <c r="D340" s="18" t="s">
        <v>56</v>
      </c>
      <c r="E340" s="17" t="s">
        <v>29</v>
      </c>
      <c r="F340" s="17">
        <v>19</v>
      </c>
      <c r="G340" s="17">
        <v>1</v>
      </c>
      <c r="H340" s="17">
        <v>8.6999999999999993</v>
      </c>
      <c r="I340" s="17">
        <v>2</v>
      </c>
      <c r="J340" s="17">
        <v>3.7</v>
      </c>
      <c r="K340" s="17">
        <v>0.53500000000000003</v>
      </c>
      <c r="L340" s="17">
        <v>0.1</v>
      </c>
      <c r="M340" s="17">
        <v>0.5</v>
      </c>
      <c r="N340" s="17">
        <v>0.2</v>
      </c>
      <c r="O340" s="17">
        <v>1.9</v>
      </c>
      <c r="P340" s="17">
        <v>3.2</v>
      </c>
      <c r="Q340" s="17">
        <v>0.59</v>
      </c>
      <c r="R340" s="17">
        <v>0.54900000000000004</v>
      </c>
      <c r="S340" s="17">
        <v>0.8</v>
      </c>
      <c r="T340" s="17">
        <v>1.2</v>
      </c>
      <c r="U340" s="17">
        <v>0.65200000000000002</v>
      </c>
      <c r="V340" s="17">
        <v>1.4</v>
      </c>
      <c r="W340" s="17">
        <v>1.5</v>
      </c>
      <c r="X340" s="17">
        <v>2.9</v>
      </c>
      <c r="Y340" s="17">
        <v>0.4</v>
      </c>
      <c r="Z340" s="17">
        <v>0.4</v>
      </c>
      <c r="AA340" s="17">
        <v>0.3</v>
      </c>
      <c r="AB340" s="17">
        <v>0.6</v>
      </c>
      <c r="AC340" s="17">
        <v>0.6</v>
      </c>
      <c r="AD340" s="17">
        <v>4.9000000000000004</v>
      </c>
      <c r="AE340" s="17"/>
      <c r="AG340" s="8" t="str">
        <v>Julian Phillips</v>
      </c>
      <c r="AH340" s="8" t="str">
        <v>CHI</v>
      </c>
    </row>
    <row r="341" spans="1:34" ht="17" x14ac:dyDescent="0.2">
      <c r="A341" s="1">
        <v>329</v>
      </c>
      <c r="B341" s="18" t="s">
        <v>158</v>
      </c>
      <c r="C341" s="17">
        <v>27</v>
      </c>
      <c r="D341" s="18" t="s">
        <v>36</v>
      </c>
      <c r="E341" s="17" t="s">
        <v>29</v>
      </c>
      <c r="F341" s="17">
        <v>27</v>
      </c>
      <c r="G341" s="17">
        <v>0</v>
      </c>
      <c r="H341" s="17">
        <v>13.8</v>
      </c>
      <c r="I341" s="17">
        <v>2</v>
      </c>
      <c r="J341" s="17">
        <v>3.2</v>
      </c>
      <c r="K341" s="17">
        <v>0.60899999999999999</v>
      </c>
      <c r="L341" s="17">
        <v>0.1</v>
      </c>
      <c r="M341" s="17">
        <v>0.1</v>
      </c>
      <c r="N341" s="17">
        <v>0.5</v>
      </c>
      <c r="O341" s="17">
        <v>1.9</v>
      </c>
      <c r="P341" s="17">
        <v>3.1</v>
      </c>
      <c r="Q341" s="17">
        <v>0.61399999999999999</v>
      </c>
      <c r="R341" s="17">
        <v>0.621</v>
      </c>
      <c r="S341" s="17">
        <v>0.9</v>
      </c>
      <c r="T341" s="17">
        <v>1.4</v>
      </c>
      <c r="U341" s="17">
        <v>0.64900000000000002</v>
      </c>
      <c r="V341" s="17">
        <v>1</v>
      </c>
      <c r="W341" s="17">
        <v>2.9</v>
      </c>
      <c r="X341" s="17">
        <v>4</v>
      </c>
      <c r="Y341" s="17">
        <v>1.2</v>
      </c>
      <c r="Z341" s="17">
        <v>0.3</v>
      </c>
      <c r="AA341" s="17">
        <v>0.6</v>
      </c>
      <c r="AB341" s="17">
        <v>0.9</v>
      </c>
      <c r="AC341" s="17">
        <v>1.2</v>
      </c>
      <c r="AD341" s="17">
        <v>4.9000000000000004</v>
      </c>
      <c r="AE341" s="17"/>
      <c r="AG341" s="8" t="str">
        <v>Pat Connaughton</v>
      </c>
      <c r="AH341" s="8" t="str">
        <v>MIL</v>
      </c>
    </row>
    <row r="342" spans="1:34" ht="17" x14ac:dyDescent="0.2">
      <c r="A342" s="1">
        <v>330</v>
      </c>
      <c r="B342" s="18" t="s">
        <v>208</v>
      </c>
      <c r="C342" s="17">
        <v>21</v>
      </c>
      <c r="D342" s="18" t="s">
        <v>52</v>
      </c>
      <c r="E342" s="17" t="s">
        <v>54</v>
      </c>
      <c r="F342" s="17">
        <v>36</v>
      </c>
      <c r="G342" s="17">
        <v>0</v>
      </c>
      <c r="H342" s="17">
        <v>11.3</v>
      </c>
      <c r="I342" s="17">
        <v>1.7</v>
      </c>
      <c r="J342" s="17">
        <v>4.4000000000000004</v>
      </c>
      <c r="K342" s="17">
        <v>0.38100000000000001</v>
      </c>
      <c r="L342" s="17">
        <v>1</v>
      </c>
      <c r="M342" s="17">
        <v>3.2</v>
      </c>
      <c r="N342" s="17">
        <v>0.307</v>
      </c>
      <c r="O342" s="17">
        <v>0.7</v>
      </c>
      <c r="P342" s="17">
        <v>1.3</v>
      </c>
      <c r="Q342" s="17">
        <v>0.56499999999999995</v>
      </c>
      <c r="R342" s="17">
        <v>0.49099999999999999</v>
      </c>
      <c r="S342" s="17">
        <v>0.4</v>
      </c>
      <c r="T342" s="17">
        <v>0.4</v>
      </c>
      <c r="U342" s="17">
        <v>0.875</v>
      </c>
      <c r="V342" s="17">
        <v>0.4</v>
      </c>
      <c r="W342" s="17">
        <v>0.9</v>
      </c>
      <c r="X342" s="17">
        <v>1.3</v>
      </c>
      <c r="Y342" s="17">
        <v>0.6</v>
      </c>
      <c r="Z342" s="17">
        <v>0.1</v>
      </c>
      <c r="AA342" s="17">
        <v>0.2</v>
      </c>
      <c r="AB342" s="17">
        <v>0.5</v>
      </c>
      <c r="AC342" s="17">
        <v>1</v>
      </c>
      <c r="AD342" s="17">
        <v>4.8</v>
      </c>
      <c r="AE342" s="17"/>
      <c r="AG342" s="8" t="str">
        <v>Luke Kornet</v>
      </c>
      <c r="AH342" s="8" t="str">
        <v>BOS</v>
      </c>
    </row>
    <row r="343" spans="1:34" ht="17" x14ac:dyDescent="0.2">
      <c r="A343" s="1">
        <v>331</v>
      </c>
      <c r="B343" s="18" t="s">
        <v>345</v>
      </c>
      <c r="C343" s="17">
        <v>25</v>
      </c>
      <c r="D343" s="18" t="s">
        <v>60</v>
      </c>
      <c r="E343" s="17" t="s">
        <v>29</v>
      </c>
      <c r="F343" s="17">
        <v>21</v>
      </c>
      <c r="G343" s="17">
        <v>0</v>
      </c>
      <c r="H343" s="17">
        <v>11</v>
      </c>
      <c r="I343" s="17">
        <v>1.8</v>
      </c>
      <c r="J343" s="17">
        <v>3.2</v>
      </c>
      <c r="K343" s="17">
        <v>0.55900000000000005</v>
      </c>
      <c r="L343" s="17">
        <v>0.2</v>
      </c>
      <c r="M343" s="17">
        <v>0.7</v>
      </c>
      <c r="N343" s="17">
        <v>0.33300000000000002</v>
      </c>
      <c r="O343" s="17">
        <v>1.6</v>
      </c>
      <c r="P343" s="17">
        <v>2.5</v>
      </c>
      <c r="Q343" s="17">
        <v>0.623</v>
      </c>
      <c r="R343" s="17">
        <v>0.59599999999999997</v>
      </c>
      <c r="S343" s="17">
        <v>0.9</v>
      </c>
      <c r="T343" s="17">
        <v>1.1000000000000001</v>
      </c>
      <c r="U343" s="17">
        <v>0.82599999999999996</v>
      </c>
      <c r="V343" s="17">
        <v>0.7</v>
      </c>
      <c r="W343" s="17">
        <v>1.6</v>
      </c>
      <c r="X343" s="17">
        <v>2.2999999999999998</v>
      </c>
      <c r="Y343" s="17">
        <v>1</v>
      </c>
      <c r="Z343" s="17">
        <v>1.2</v>
      </c>
      <c r="AA343" s="17">
        <v>0.6</v>
      </c>
      <c r="AB343" s="17">
        <v>0.6</v>
      </c>
      <c r="AC343" s="17">
        <v>1.7</v>
      </c>
      <c r="AD343" s="17">
        <v>4.8</v>
      </c>
      <c r="AE343" s="17"/>
      <c r="AG343" s="8" t="str">
        <v>Pelle Larsson</v>
      </c>
      <c r="AH343" s="8" t="str">
        <v>MIA</v>
      </c>
    </row>
    <row r="344" spans="1:34" ht="17" x14ac:dyDescent="0.2">
      <c r="A344" s="1">
        <v>332</v>
      </c>
      <c r="B344" s="18" t="s">
        <v>565</v>
      </c>
      <c r="C344" s="17">
        <v>20</v>
      </c>
      <c r="D344" s="18" t="s">
        <v>84</v>
      </c>
      <c r="E344" s="17" t="s">
        <v>54</v>
      </c>
      <c r="F344" s="17">
        <v>35</v>
      </c>
      <c r="G344" s="17">
        <v>0</v>
      </c>
      <c r="H344" s="17">
        <v>12.7</v>
      </c>
      <c r="I344" s="17">
        <v>1.7</v>
      </c>
      <c r="J344" s="17">
        <v>4.5999999999999996</v>
      </c>
      <c r="K344" s="17">
        <v>0.36</v>
      </c>
      <c r="L344" s="17">
        <v>0.7</v>
      </c>
      <c r="M344" s="17">
        <v>2.2999999999999998</v>
      </c>
      <c r="N344" s="17">
        <v>0.32100000000000001</v>
      </c>
      <c r="O344" s="17">
        <v>0.9</v>
      </c>
      <c r="P344" s="17">
        <v>2.2999999999999998</v>
      </c>
      <c r="Q344" s="17">
        <v>0.4</v>
      </c>
      <c r="R344" s="17">
        <v>0.441</v>
      </c>
      <c r="S344" s="17">
        <v>0.7</v>
      </c>
      <c r="T344" s="17">
        <v>0.9</v>
      </c>
      <c r="U344" s="17">
        <v>0.8</v>
      </c>
      <c r="V344" s="17">
        <v>0.6</v>
      </c>
      <c r="W344" s="17">
        <v>1.9</v>
      </c>
      <c r="X344" s="17">
        <v>2.5</v>
      </c>
      <c r="Y344" s="17">
        <v>0.5</v>
      </c>
      <c r="Z344" s="17">
        <v>0.3</v>
      </c>
      <c r="AA344" s="17">
        <v>0.8</v>
      </c>
      <c r="AB344" s="17">
        <v>0.5</v>
      </c>
      <c r="AC344" s="17">
        <v>1.4</v>
      </c>
      <c r="AD344" s="17">
        <v>4.7</v>
      </c>
      <c r="AE344" s="17"/>
      <c r="AG344" s="8" t="str">
        <v>Sandro Mamukelashvili</v>
      </c>
      <c r="AH344" s="8" t="str">
        <v>SAS</v>
      </c>
    </row>
    <row r="345" spans="1:34" ht="17" x14ac:dyDescent="0.2">
      <c r="A345" s="1">
        <v>333</v>
      </c>
      <c r="B345" s="18" t="s">
        <v>196</v>
      </c>
      <c r="C345" s="17">
        <v>21</v>
      </c>
      <c r="D345" s="18" t="s">
        <v>36</v>
      </c>
      <c r="E345" s="17" t="s">
        <v>27</v>
      </c>
      <c r="F345" s="17">
        <v>3</v>
      </c>
      <c r="G345" s="17">
        <v>3</v>
      </c>
      <c r="H345" s="17">
        <v>25</v>
      </c>
      <c r="I345" s="17">
        <v>1.3</v>
      </c>
      <c r="J345" s="17">
        <v>6</v>
      </c>
      <c r="K345" s="17">
        <v>0.222</v>
      </c>
      <c r="L345" s="17">
        <v>1</v>
      </c>
      <c r="M345" s="17">
        <v>4</v>
      </c>
      <c r="N345" s="17">
        <v>0.25</v>
      </c>
      <c r="O345" s="17">
        <v>0.3</v>
      </c>
      <c r="P345" s="17">
        <v>2</v>
      </c>
      <c r="Q345" s="17">
        <v>0.16700000000000001</v>
      </c>
      <c r="R345" s="17">
        <v>0.30599999999999999</v>
      </c>
      <c r="S345" s="17">
        <v>1</v>
      </c>
      <c r="T345" s="17">
        <v>1.3</v>
      </c>
      <c r="U345" s="17">
        <v>0.75</v>
      </c>
      <c r="V345" s="17">
        <v>1.7</v>
      </c>
      <c r="W345" s="17">
        <v>3.3</v>
      </c>
      <c r="X345" s="17">
        <v>5</v>
      </c>
      <c r="Y345" s="17">
        <v>0.7</v>
      </c>
      <c r="Z345" s="17">
        <v>1.7</v>
      </c>
      <c r="AA345" s="17">
        <v>1.3</v>
      </c>
      <c r="AB345" s="17">
        <v>0.7</v>
      </c>
      <c r="AC345" s="17">
        <v>2.7</v>
      </c>
      <c r="AD345" s="17">
        <v>4.7</v>
      </c>
      <c r="AE345" s="17"/>
      <c r="AG345" s="8" t="str">
        <v>Patty Mills</v>
      </c>
      <c r="AH345" s="8" t="str">
        <v>UTA</v>
      </c>
    </row>
    <row r="346" spans="1:34" ht="17" x14ac:dyDescent="0.2">
      <c r="A346" s="1">
        <v>334</v>
      </c>
      <c r="B346" s="18" t="s">
        <v>576</v>
      </c>
      <c r="C346" s="17">
        <v>24</v>
      </c>
      <c r="D346" s="18" t="s">
        <v>47</v>
      </c>
      <c r="E346" s="17" t="s">
        <v>35</v>
      </c>
      <c r="F346" s="17">
        <v>17</v>
      </c>
      <c r="G346" s="17">
        <v>0</v>
      </c>
      <c r="H346" s="17">
        <v>9.1</v>
      </c>
      <c r="I346" s="17">
        <v>1.8</v>
      </c>
      <c r="J346" s="17">
        <v>4.4000000000000004</v>
      </c>
      <c r="K346" s="17">
        <v>0.41899999999999998</v>
      </c>
      <c r="L346" s="17">
        <v>0.6</v>
      </c>
      <c r="M346" s="17">
        <v>2.2000000000000002</v>
      </c>
      <c r="N346" s="17">
        <v>0.29699999999999999</v>
      </c>
      <c r="O346" s="17">
        <v>1.2</v>
      </c>
      <c r="P346" s="17">
        <v>2.2000000000000002</v>
      </c>
      <c r="Q346" s="17">
        <v>0.54100000000000004</v>
      </c>
      <c r="R346" s="17">
        <v>0.49299999999999999</v>
      </c>
      <c r="S346" s="17">
        <v>0.4</v>
      </c>
      <c r="T346" s="17">
        <v>0.5</v>
      </c>
      <c r="U346" s="17">
        <v>0.875</v>
      </c>
      <c r="V346" s="17">
        <v>0.4</v>
      </c>
      <c r="W346" s="17">
        <v>0.7</v>
      </c>
      <c r="X346" s="17">
        <v>1.1000000000000001</v>
      </c>
      <c r="Y346" s="17">
        <v>0.6</v>
      </c>
      <c r="Z346" s="17">
        <v>0.4</v>
      </c>
      <c r="AA346" s="17">
        <v>0</v>
      </c>
      <c r="AB346" s="17">
        <v>0.3</v>
      </c>
      <c r="AC346" s="17">
        <v>0.4</v>
      </c>
      <c r="AD346" s="17">
        <v>4.7</v>
      </c>
      <c r="AE346" s="17"/>
      <c r="AG346" s="8" t="str">
        <v>Ryan Rollins</v>
      </c>
      <c r="AH346" s="8" t="str">
        <v>MIL</v>
      </c>
    </row>
    <row r="347" spans="1:34" ht="17" x14ac:dyDescent="0.2">
      <c r="A347" s="1">
        <v>335</v>
      </c>
      <c r="B347" s="18" t="s">
        <v>552</v>
      </c>
      <c r="C347" s="17">
        <v>25</v>
      </c>
      <c r="D347" s="18" t="s">
        <v>82</v>
      </c>
      <c r="E347" s="17" t="s">
        <v>46</v>
      </c>
      <c r="F347" s="17">
        <v>16</v>
      </c>
      <c r="G347" s="17">
        <v>1</v>
      </c>
      <c r="H347" s="17">
        <v>15.5</v>
      </c>
      <c r="I347" s="17">
        <v>1.8</v>
      </c>
      <c r="J347" s="17">
        <v>4.4000000000000004</v>
      </c>
      <c r="K347" s="17">
        <v>0.40799999999999997</v>
      </c>
      <c r="L347" s="17">
        <v>0.8</v>
      </c>
      <c r="M347" s="17">
        <v>2.2999999999999998</v>
      </c>
      <c r="N347" s="17">
        <v>0.35099999999999998</v>
      </c>
      <c r="O347" s="17">
        <v>1</v>
      </c>
      <c r="P347" s="17">
        <v>2.1</v>
      </c>
      <c r="Q347" s="17">
        <v>0.47099999999999997</v>
      </c>
      <c r="R347" s="17">
        <v>0.5</v>
      </c>
      <c r="S347" s="17">
        <v>0.3</v>
      </c>
      <c r="T347" s="17">
        <v>0.3</v>
      </c>
      <c r="U347" s="17">
        <v>1</v>
      </c>
      <c r="V347" s="17">
        <v>0.1</v>
      </c>
      <c r="W347" s="17">
        <v>1.3</v>
      </c>
      <c r="X347" s="17">
        <v>1.4</v>
      </c>
      <c r="Y347" s="17">
        <v>1.9</v>
      </c>
      <c r="Z347" s="17">
        <v>0.8</v>
      </c>
      <c r="AA347" s="17">
        <v>0.4</v>
      </c>
      <c r="AB347" s="17">
        <v>1.1000000000000001</v>
      </c>
      <c r="AC347" s="17">
        <v>0.9</v>
      </c>
      <c r="AD347" s="17">
        <v>4.7</v>
      </c>
      <c r="AE347" s="17"/>
      <c r="AG347" s="8" t="str">
        <v>Charles Bassey</v>
      </c>
      <c r="AH347" s="8" t="str">
        <v>SAS</v>
      </c>
    </row>
    <row r="348" spans="1:34" ht="17" x14ac:dyDescent="0.2">
      <c r="A348" s="1">
        <v>336</v>
      </c>
      <c r="B348" s="18" t="s">
        <v>518</v>
      </c>
      <c r="C348" s="17">
        <v>24</v>
      </c>
      <c r="D348" s="18" t="s">
        <v>82</v>
      </c>
      <c r="E348" s="17" t="s">
        <v>46</v>
      </c>
      <c r="F348" s="17">
        <v>23</v>
      </c>
      <c r="G348" s="17">
        <v>6</v>
      </c>
      <c r="H348" s="17">
        <v>16.100000000000001</v>
      </c>
      <c r="I348" s="17">
        <v>1.6</v>
      </c>
      <c r="J348" s="17">
        <v>4.0999999999999996</v>
      </c>
      <c r="K348" s="17">
        <v>0.39400000000000002</v>
      </c>
      <c r="L348" s="17">
        <v>0.9</v>
      </c>
      <c r="M348" s="17">
        <v>2.6</v>
      </c>
      <c r="N348" s="17">
        <v>0.33900000000000002</v>
      </c>
      <c r="O348" s="17">
        <v>0.7</v>
      </c>
      <c r="P348" s="17">
        <v>1.5</v>
      </c>
      <c r="Q348" s="17">
        <v>0.48599999999999999</v>
      </c>
      <c r="R348" s="17">
        <v>0.5</v>
      </c>
      <c r="S348" s="17">
        <v>0.5</v>
      </c>
      <c r="T348" s="17">
        <v>0.7</v>
      </c>
      <c r="U348" s="17">
        <v>0.73299999999999998</v>
      </c>
      <c r="V348" s="17">
        <v>0.4</v>
      </c>
      <c r="W348" s="17">
        <v>1.8</v>
      </c>
      <c r="X348" s="17">
        <v>2.2000000000000002</v>
      </c>
      <c r="Y348" s="17">
        <v>2.1</v>
      </c>
      <c r="Z348" s="17">
        <v>0.6</v>
      </c>
      <c r="AA348" s="17">
        <v>0.3</v>
      </c>
      <c r="AB348" s="17">
        <v>0.9</v>
      </c>
      <c r="AC348" s="17">
        <v>1.9</v>
      </c>
      <c r="AD348" s="17">
        <v>4.5999999999999996</v>
      </c>
      <c r="AE348" s="17"/>
      <c r="AG348" s="8" t="str">
        <v>Jamal Cain</v>
      </c>
      <c r="AH348" s="8" t="str">
        <v>NOP</v>
      </c>
    </row>
    <row r="349" spans="1:34" ht="17" x14ac:dyDescent="0.2">
      <c r="A349" s="1">
        <v>337</v>
      </c>
      <c r="B349" s="18" t="s">
        <v>321</v>
      </c>
      <c r="C349" s="17">
        <v>32</v>
      </c>
      <c r="D349" s="18" t="s">
        <v>134</v>
      </c>
      <c r="E349" s="17" t="s">
        <v>35</v>
      </c>
      <c r="F349" s="17">
        <v>28</v>
      </c>
      <c r="G349" s="17">
        <v>4</v>
      </c>
      <c r="H349" s="17">
        <v>13.1</v>
      </c>
      <c r="I349" s="17">
        <v>2.1</v>
      </c>
      <c r="J349" s="17">
        <v>3.8</v>
      </c>
      <c r="K349" s="17">
        <v>0.54700000000000004</v>
      </c>
      <c r="L349" s="17">
        <v>0.2</v>
      </c>
      <c r="M349" s="17">
        <v>1.1000000000000001</v>
      </c>
      <c r="N349" s="17">
        <v>0.156</v>
      </c>
      <c r="O349" s="17">
        <v>1.9</v>
      </c>
      <c r="P349" s="17">
        <v>2.6</v>
      </c>
      <c r="Q349" s="17">
        <v>0.71599999999999997</v>
      </c>
      <c r="R349" s="17">
        <v>0.57099999999999995</v>
      </c>
      <c r="S349" s="17">
        <v>0.3</v>
      </c>
      <c r="T349" s="17">
        <v>0.5</v>
      </c>
      <c r="U349" s="17">
        <v>0.6</v>
      </c>
      <c r="V349" s="17">
        <v>1.2</v>
      </c>
      <c r="W349" s="17">
        <v>1.6</v>
      </c>
      <c r="X349" s="17">
        <v>2.8</v>
      </c>
      <c r="Y349" s="17">
        <v>1.2</v>
      </c>
      <c r="Z349" s="17">
        <v>0.7</v>
      </c>
      <c r="AA349" s="17">
        <v>0.4</v>
      </c>
      <c r="AB349" s="17">
        <v>0.5</v>
      </c>
      <c r="AC349" s="17">
        <v>1.4</v>
      </c>
      <c r="AD349" s="17">
        <v>4.5999999999999996</v>
      </c>
      <c r="AE349" s="17"/>
      <c r="AG349" s="8" t="str">
        <v>KJ Simpson</v>
      </c>
      <c r="AH349" s="8" t="str">
        <v>CHO</v>
      </c>
    </row>
    <row r="350" spans="1:34" ht="17" x14ac:dyDescent="0.2">
      <c r="A350" s="1">
        <v>338</v>
      </c>
      <c r="B350" s="18" t="s">
        <v>323</v>
      </c>
      <c r="C350" s="17">
        <v>21</v>
      </c>
      <c r="D350" s="18" t="s">
        <v>84</v>
      </c>
      <c r="E350" s="17" t="s">
        <v>54</v>
      </c>
      <c r="F350" s="17">
        <v>36</v>
      </c>
      <c r="G350" s="17">
        <v>3</v>
      </c>
      <c r="H350" s="17">
        <v>13.7</v>
      </c>
      <c r="I350" s="17">
        <v>1.6</v>
      </c>
      <c r="J350" s="17">
        <v>3.8</v>
      </c>
      <c r="K350" s="17">
        <v>0.437</v>
      </c>
      <c r="L350" s="17">
        <v>0.7</v>
      </c>
      <c r="M350" s="17">
        <v>2.2000000000000002</v>
      </c>
      <c r="N350" s="17">
        <v>0.32900000000000001</v>
      </c>
      <c r="O350" s="17">
        <v>0.9</v>
      </c>
      <c r="P350" s="17">
        <v>1.6</v>
      </c>
      <c r="Q350" s="17">
        <v>0.58899999999999997</v>
      </c>
      <c r="R350" s="17">
        <v>0.53300000000000003</v>
      </c>
      <c r="S350" s="17">
        <v>0.6</v>
      </c>
      <c r="T350" s="17">
        <v>0.9</v>
      </c>
      <c r="U350" s="17">
        <v>0.65600000000000003</v>
      </c>
      <c r="V350" s="17">
        <v>0.8</v>
      </c>
      <c r="W350" s="17">
        <v>1.1000000000000001</v>
      </c>
      <c r="X350" s="17">
        <v>1.9</v>
      </c>
      <c r="Y350" s="17">
        <v>0.4</v>
      </c>
      <c r="Z350" s="17">
        <v>0.5</v>
      </c>
      <c r="AA350" s="17">
        <v>0.2</v>
      </c>
      <c r="AB350" s="17">
        <v>0.4</v>
      </c>
      <c r="AC350" s="17">
        <v>1.4</v>
      </c>
      <c r="AD350" s="17">
        <v>4.5999999999999996</v>
      </c>
      <c r="AE350" s="17"/>
      <c r="AG350" s="8" t="str">
        <v>Nick Smith Jr.</v>
      </c>
      <c r="AH350" s="8" t="str">
        <v>CHO</v>
      </c>
    </row>
    <row r="351" spans="1:34" ht="17" x14ac:dyDescent="0.2">
      <c r="A351" s="1">
        <v>339</v>
      </c>
      <c r="B351" s="18" t="s">
        <v>127</v>
      </c>
      <c r="C351" s="17">
        <v>32</v>
      </c>
      <c r="D351" s="18" t="s">
        <v>50</v>
      </c>
      <c r="E351" s="17" t="s">
        <v>35</v>
      </c>
      <c r="F351" s="17">
        <v>18</v>
      </c>
      <c r="G351" s="17">
        <v>0</v>
      </c>
      <c r="H351" s="17">
        <v>15.8</v>
      </c>
      <c r="I351" s="17">
        <v>1.6</v>
      </c>
      <c r="J351" s="17">
        <v>4.2</v>
      </c>
      <c r="K351" s="17">
        <v>0.38200000000000001</v>
      </c>
      <c r="L351" s="17">
        <v>0.8</v>
      </c>
      <c r="M351" s="17">
        <v>2.6</v>
      </c>
      <c r="N351" s="17">
        <v>0.29799999999999999</v>
      </c>
      <c r="O351" s="17">
        <v>0.8</v>
      </c>
      <c r="P351" s="17">
        <v>1.6</v>
      </c>
      <c r="Q351" s="17">
        <v>0.51700000000000002</v>
      </c>
      <c r="R351" s="17">
        <v>0.47399999999999998</v>
      </c>
      <c r="S351" s="17">
        <v>0.5</v>
      </c>
      <c r="T351" s="17">
        <v>0.7</v>
      </c>
      <c r="U351" s="17">
        <v>0.75</v>
      </c>
      <c r="V351" s="17">
        <v>0.6</v>
      </c>
      <c r="W351" s="17">
        <v>2.2999999999999998</v>
      </c>
      <c r="X351" s="17">
        <v>2.8</v>
      </c>
      <c r="Y351" s="17">
        <v>1.6</v>
      </c>
      <c r="Z351" s="17">
        <v>0.2</v>
      </c>
      <c r="AA351" s="17">
        <v>0.3</v>
      </c>
      <c r="AB351" s="17">
        <v>0.6</v>
      </c>
      <c r="AC351" s="17">
        <v>1.2</v>
      </c>
      <c r="AD351" s="17">
        <v>4.5</v>
      </c>
      <c r="AE351" s="17"/>
      <c r="AG351" s="8" t="str">
        <v>Kyle Lowry</v>
      </c>
      <c r="AH351" s="8" t="str">
        <v>PHI</v>
      </c>
    </row>
    <row r="352" spans="1:34" ht="17" x14ac:dyDescent="0.2">
      <c r="A352" s="1">
        <v>340</v>
      </c>
      <c r="B352" s="18" t="s">
        <v>248</v>
      </c>
      <c r="C352" s="17">
        <v>29</v>
      </c>
      <c r="D352" s="18" t="s">
        <v>68</v>
      </c>
      <c r="E352" s="17" t="s">
        <v>29</v>
      </c>
      <c r="F352" s="17">
        <v>31</v>
      </c>
      <c r="G352" s="17">
        <v>3</v>
      </c>
      <c r="H352" s="17">
        <v>16.7</v>
      </c>
      <c r="I352" s="17">
        <v>1.8</v>
      </c>
      <c r="J352" s="17">
        <v>2.8</v>
      </c>
      <c r="K352" s="17">
        <v>0.625</v>
      </c>
      <c r="L352" s="17">
        <v>0</v>
      </c>
      <c r="M352" s="17">
        <v>0</v>
      </c>
      <c r="N352" s="17"/>
      <c r="O352" s="17">
        <v>1.8</v>
      </c>
      <c r="P352" s="17">
        <v>2.8</v>
      </c>
      <c r="Q352" s="17">
        <v>0.625</v>
      </c>
      <c r="R352" s="17">
        <v>0.625</v>
      </c>
      <c r="S352" s="17">
        <v>1</v>
      </c>
      <c r="T352" s="17">
        <v>1.4</v>
      </c>
      <c r="U352" s="17">
        <v>0.70499999999999996</v>
      </c>
      <c r="V352" s="17">
        <v>2.1</v>
      </c>
      <c r="W352" s="17">
        <v>2.9</v>
      </c>
      <c r="X352" s="17">
        <v>5</v>
      </c>
      <c r="Y352" s="17">
        <v>1.5</v>
      </c>
      <c r="Z352" s="17">
        <v>0.5</v>
      </c>
      <c r="AA352" s="17">
        <v>1</v>
      </c>
      <c r="AB352" s="17">
        <v>0.4</v>
      </c>
      <c r="AC352" s="17">
        <v>1.2</v>
      </c>
      <c r="AD352" s="17">
        <v>4.5</v>
      </c>
      <c r="AE352" s="17"/>
      <c r="AG352" s="8" t="str">
        <v>Dariq Whitehead</v>
      </c>
      <c r="AH352" s="8" t="str">
        <v>BRK</v>
      </c>
    </row>
    <row r="353" spans="1:34" ht="17" x14ac:dyDescent="0.2">
      <c r="A353" s="1">
        <v>341</v>
      </c>
      <c r="B353" s="18" t="s">
        <v>553</v>
      </c>
      <c r="C353" s="17">
        <v>23</v>
      </c>
      <c r="D353" s="18" t="s">
        <v>33</v>
      </c>
      <c r="E353" s="17" t="s">
        <v>35</v>
      </c>
      <c r="F353" s="17">
        <v>22</v>
      </c>
      <c r="G353" s="17">
        <v>0</v>
      </c>
      <c r="H353" s="17">
        <v>14</v>
      </c>
      <c r="I353" s="17">
        <v>1.6</v>
      </c>
      <c r="J353" s="17">
        <v>3.3</v>
      </c>
      <c r="K353" s="17">
        <v>0.48599999999999999</v>
      </c>
      <c r="L353" s="17">
        <v>0.5</v>
      </c>
      <c r="M353" s="17">
        <v>1.5</v>
      </c>
      <c r="N353" s="17">
        <v>0.33300000000000002</v>
      </c>
      <c r="O353" s="17">
        <v>1.1000000000000001</v>
      </c>
      <c r="P353" s="17">
        <v>1.8</v>
      </c>
      <c r="Q353" s="17">
        <v>0.61499999999999999</v>
      </c>
      <c r="R353" s="17">
        <v>0.56299999999999994</v>
      </c>
      <c r="S353" s="17">
        <v>0.8</v>
      </c>
      <c r="T353" s="17">
        <v>1.2</v>
      </c>
      <c r="U353" s="17">
        <v>0.63</v>
      </c>
      <c r="V353" s="17">
        <v>0.5</v>
      </c>
      <c r="W353" s="17">
        <v>1.1000000000000001</v>
      </c>
      <c r="X353" s="17">
        <v>1.6</v>
      </c>
      <c r="Y353" s="17">
        <v>1.2</v>
      </c>
      <c r="Z353" s="17">
        <v>0.5</v>
      </c>
      <c r="AA353" s="17">
        <v>0</v>
      </c>
      <c r="AB353" s="17">
        <v>0.5</v>
      </c>
      <c r="AC353" s="17">
        <v>2</v>
      </c>
      <c r="AD353" s="17">
        <v>4.5</v>
      </c>
      <c r="AE353" s="17"/>
      <c r="AG353" s="8" t="str">
        <v>Kris Murray</v>
      </c>
      <c r="AH353" s="8" t="str">
        <v>POR</v>
      </c>
    </row>
    <row r="354" spans="1:34" ht="17" x14ac:dyDescent="0.2">
      <c r="A354" s="1">
        <v>342</v>
      </c>
      <c r="B354" s="18" t="s">
        <v>266</v>
      </c>
      <c r="C354" s="17">
        <v>25</v>
      </c>
      <c r="D354" s="18" t="s">
        <v>70</v>
      </c>
      <c r="E354" s="17" t="s">
        <v>27</v>
      </c>
      <c r="F354" s="17">
        <v>22</v>
      </c>
      <c r="G354" s="17">
        <v>0</v>
      </c>
      <c r="H354" s="17">
        <v>9</v>
      </c>
      <c r="I354" s="17">
        <v>1.5</v>
      </c>
      <c r="J354" s="17">
        <v>2.9</v>
      </c>
      <c r="K354" s="17">
        <v>0.53100000000000003</v>
      </c>
      <c r="L354" s="17">
        <v>0.8</v>
      </c>
      <c r="M354" s="17">
        <v>2</v>
      </c>
      <c r="N354" s="17">
        <v>0.41899999999999998</v>
      </c>
      <c r="O354" s="17">
        <v>0.7</v>
      </c>
      <c r="P354" s="17">
        <v>1</v>
      </c>
      <c r="Q354" s="17">
        <v>0.76200000000000001</v>
      </c>
      <c r="R354" s="17">
        <v>0.67200000000000004</v>
      </c>
      <c r="S354" s="17">
        <v>0.6</v>
      </c>
      <c r="T354" s="17">
        <v>0.8</v>
      </c>
      <c r="U354" s="17">
        <v>0.72199999999999998</v>
      </c>
      <c r="V354" s="17">
        <v>0.5</v>
      </c>
      <c r="W354" s="17">
        <v>2.1</v>
      </c>
      <c r="X354" s="17">
        <v>2.7</v>
      </c>
      <c r="Y354" s="17">
        <v>0.4</v>
      </c>
      <c r="Z354" s="17">
        <v>0.2</v>
      </c>
      <c r="AA354" s="17">
        <v>0.3</v>
      </c>
      <c r="AB354" s="17">
        <v>0.4</v>
      </c>
      <c r="AC354" s="17">
        <v>0.6</v>
      </c>
      <c r="AD354" s="17">
        <v>4.5</v>
      </c>
      <c r="AE354" s="17"/>
      <c r="AG354" s="8" t="str">
        <v>Gabe Vincent</v>
      </c>
      <c r="AH354" s="8" t="str">
        <v>LAL</v>
      </c>
    </row>
    <row r="355" spans="1:34" ht="17" x14ac:dyDescent="0.2">
      <c r="A355" s="1">
        <v>343</v>
      </c>
      <c r="B355" s="18" t="s">
        <v>289</v>
      </c>
      <c r="C355" s="17">
        <v>36</v>
      </c>
      <c r="D355" s="18" t="s">
        <v>36</v>
      </c>
      <c r="E355" s="17" t="s">
        <v>46</v>
      </c>
      <c r="F355" s="17">
        <v>12</v>
      </c>
      <c r="G355" s="17">
        <v>0</v>
      </c>
      <c r="H355" s="17">
        <v>16.100000000000001</v>
      </c>
      <c r="I355" s="17">
        <v>1.6</v>
      </c>
      <c r="J355" s="17">
        <v>4.9000000000000004</v>
      </c>
      <c r="K355" s="17">
        <v>0.32200000000000001</v>
      </c>
      <c r="L355" s="17">
        <v>1</v>
      </c>
      <c r="M355" s="17">
        <v>3.7</v>
      </c>
      <c r="N355" s="17">
        <v>0.27300000000000002</v>
      </c>
      <c r="O355" s="17">
        <v>0.6</v>
      </c>
      <c r="P355" s="17">
        <v>1.3</v>
      </c>
      <c r="Q355" s="17">
        <v>0.46700000000000003</v>
      </c>
      <c r="R355" s="17">
        <v>0.42399999999999999</v>
      </c>
      <c r="S355" s="17">
        <v>0.3</v>
      </c>
      <c r="T355" s="17">
        <v>0.3</v>
      </c>
      <c r="U355" s="17">
        <v>1</v>
      </c>
      <c r="V355" s="17">
        <v>0.1</v>
      </c>
      <c r="W355" s="17">
        <v>0.9</v>
      </c>
      <c r="X355" s="17">
        <v>1</v>
      </c>
      <c r="Y355" s="17">
        <v>1.4</v>
      </c>
      <c r="Z355" s="17">
        <v>0.9</v>
      </c>
      <c r="AA355" s="17">
        <v>0.3</v>
      </c>
      <c r="AB355" s="17">
        <v>1.1000000000000001</v>
      </c>
      <c r="AC355" s="17">
        <v>0.8</v>
      </c>
      <c r="AD355" s="17">
        <v>4.5</v>
      </c>
      <c r="AE355" s="17"/>
      <c r="AG355" s="8" t="str">
        <v>Mo Bamba</v>
      </c>
      <c r="AH355" s="8" t="str">
        <v>LAC</v>
      </c>
    </row>
    <row r="356" spans="1:34" ht="17" x14ac:dyDescent="0.2">
      <c r="A356" s="1">
        <v>344</v>
      </c>
      <c r="B356" s="18" t="s">
        <v>354</v>
      </c>
      <c r="C356" s="17">
        <v>22</v>
      </c>
      <c r="D356" s="18" t="s">
        <v>50</v>
      </c>
      <c r="E356" s="17" t="s">
        <v>46</v>
      </c>
      <c r="F356" s="17">
        <v>21</v>
      </c>
      <c r="G356" s="17">
        <v>4</v>
      </c>
      <c r="H356" s="17">
        <v>11.2</v>
      </c>
      <c r="I356" s="17">
        <v>1.7</v>
      </c>
      <c r="J356" s="17">
        <v>3.6</v>
      </c>
      <c r="K356" s="17">
        <v>0.47399999999999998</v>
      </c>
      <c r="L356" s="17">
        <v>0.6</v>
      </c>
      <c r="M356" s="17">
        <v>1.6</v>
      </c>
      <c r="N356" s="17">
        <v>0.39400000000000002</v>
      </c>
      <c r="O356" s="17">
        <v>1.1000000000000001</v>
      </c>
      <c r="P356" s="17">
        <v>2</v>
      </c>
      <c r="Q356" s="17">
        <v>0.53500000000000003</v>
      </c>
      <c r="R356" s="17">
        <v>0.55900000000000005</v>
      </c>
      <c r="S356" s="17">
        <v>0.4</v>
      </c>
      <c r="T356" s="17">
        <v>0.5</v>
      </c>
      <c r="U356" s="17">
        <v>0.81799999999999995</v>
      </c>
      <c r="V356" s="17">
        <v>0.3</v>
      </c>
      <c r="W356" s="17">
        <v>1.4</v>
      </c>
      <c r="X356" s="17">
        <v>1.7</v>
      </c>
      <c r="Y356" s="17">
        <v>1.1000000000000001</v>
      </c>
      <c r="Z356" s="17">
        <v>0.9</v>
      </c>
      <c r="AA356" s="17">
        <v>0.4</v>
      </c>
      <c r="AB356" s="17">
        <v>0.8</v>
      </c>
      <c r="AC356" s="17">
        <v>1.2</v>
      </c>
      <c r="AD356" s="17">
        <v>4.5</v>
      </c>
      <c r="AE356" s="17"/>
      <c r="AG356" s="8" t="str">
        <v>Gary Harris</v>
      </c>
      <c r="AH356" s="8" t="str">
        <v>ORL</v>
      </c>
    </row>
    <row r="357" spans="1:34" ht="17" x14ac:dyDescent="0.2">
      <c r="A357" s="1">
        <v>345</v>
      </c>
      <c r="B357" s="18" t="s">
        <v>75</v>
      </c>
      <c r="C357" s="17">
        <v>24</v>
      </c>
      <c r="D357" s="18" t="s">
        <v>70</v>
      </c>
      <c r="E357" s="17" t="s">
        <v>29</v>
      </c>
      <c r="F357" s="17">
        <v>25</v>
      </c>
      <c r="G357" s="17">
        <v>0</v>
      </c>
      <c r="H357" s="17">
        <v>10.4</v>
      </c>
      <c r="I357" s="17">
        <v>1.9</v>
      </c>
      <c r="J357" s="17">
        <v>3.4</v>
      </c>
      <c r="K357" s="17">
        <v>0.56499999999999995</v>
      </c>
      <c r="L357" s="17">
        <v>0</v>
      </c>
      <c r="M357" s="17">
        <v>0</v>
      </c>
      <c r="N357" s="17"/>
      <c r="O357" s="17">
        <v>1.9</v>
      </c>
      <c r="P357" s="17">
        <v>3.4</v>
      </c>
      <c r="Q357" s="17">
        <v>0.56499999999999995</v>
      </c>
      <c r="R357" s="17">
        <v>0.56499999999999995</v>
      </c>
      <c r="S357" s="17">
        <v>0.6</v>
      </c>
      <c r="T357" s="17">
        <v>1</v>
      </c>
      <c r="U357" s="17">
        <v>0.6</v>
      </c>
      <c r="V357" s="17">
        <v>1.5</v>
      </c>
      <c r="W357" s="17">
        <v>2.6</v>
      </c>
      <c r="X357" s="17">
        <v>4</v>
      </c>
      <c r="Y357" s="17">
        <v>0.4</v>
      </c>
      <c r="Z357" s="17">
        <v>0.3</v>
      </c>
      <c r="AA357" s="17">
        <v>0.9</v>
      </c>
      <c r="AB357" s="17">
        <v>0.7</v>
      </c>
      <c r="AC357" s="17">
        <v>1.4</v>
      </c>
      <c r="AD357" s="17">
        <v>4.4000000000000004</v>
      </c>
      <c r="AE357" s="17"/>
      <c r="AG357" s="8" t="str">
        <v>Jaylin Williams</v>
      </c>
      <c r="AH357" s="8" t="str">
        <v>OKC</v>
      </c>
    </row>
    <row r="358" spans="1:34" ht="17" x14ac:dyDescent="0.2">
      <c r="A358" s="1">
        <v>346</v>
      </c>
      <c r="B358" s="18" t="s">
        <v>108</v>
      </c>
      <c r="C358" s="17">
        <v>25</v>
      </c>
      <c r="D358" s="18" t="s">
        <v>47</v>
      </c>
      <c r="E358" s="17" t="s">
        <v>54</v>
      </c>
      <c r="F358" s="17">
        <v>16</v>
      </c>
      <c r="G358" s="17">
        <v>0</v>
      </c>
      <c r="H358" s="17">
        <v>14.1</v>
      </c>
      <c r="I358" s="17">
        <v>1.6</v>
      </c>
      <c r="J358" s="17">
        <v>3.4</v>
      </c>
      <c r="K358" s="17">
        <v>0.45500000000000002</v>
      </c>
      <c r="L358" s="17">
        <v>0.6</v>
      </c>
      <c r="M358" s="17">
        <v>1.8</v>
      </c>
      <c r="N358" s="17">
        <v>0.32100000000000001</v>
      </c>
      <c r="O358" s="17">
        <v>1</v>
      </c>
      <c r="P358" s="17">
        <v>1.7</v>
      </c>
      <c r="Q358" s="17">
        <v>0.59299999999999997</v>
      </c>
      <c r="R358" s="17">
        <v>0.53600000000000003</v>
      </c>
      <c r="S358" s="17">
        <v>0.6</v>
      </c>
      <c r="T358" s="17">
        <v>1</v>
      </c>
      <c r="U358" s="17">
        <v>0.625</v>
      </c>
      <c r="V358" s="17">
        <v>0.9</v>
      </c>
      <c r="W358" s="17">
        <v>1.9</v>
      </c>
      <c r="X358" s="17">
        <v>2.8</v>
      </c>
      <c r="Y358" s="17">
        <v>0.6</v>
      </c>
      <c r="Z358" s="17">
        <v>0.5</v>
      </c>
      <c r="AA358" s="17">
        <v>0.4</v>
      </c>
      <c r="AB358" s="17">
        <v>0.4</v>
      </c>
      <c r="AC358" s="17">
        <v>1.3</v>
      </c>
      <c r="AD358" s="17">
        <v>4.3</v>
      </c>
      <c r="AE358" s="17"/>
      <c r="AG358" s="8" t="str">
        <v>Mason Plumlee</v>
      </c>
      <c r="AH358" s="8" t="str">
        <v>PHO</v>
      </c>
    </row>
    <row r="359" spans="1:34" ht="17" x14ac:dyDescent="0.2">
      <c r="A359" s="1">
        <v>347</v>
      </c>
      <c r="B359" s="18" t="s">
        <v>577</v>
      </c>
      <c r="C359" s="17">
        <v>22</v>
      </c>
      <c r="D359" s="18" t="s">
        <v>61</v>
      </c>
      <c r="E359" s="17" t="s">
        <v>46</v>
      </c>
      <c r="F359" s="17">
        <v>12</v>
      </c>
      <c r="G359" s="17">
        <v>0</v>
      </c>
      <c r="H359" s="17">
        <v>14.4</v>
      </c>
      <c r="I359" s="17">
        <v>1.5</v>
      </c>
      <c r="J359" s="17">
        <v>5.0999999999999996</v>
      </c>
      <c r="K359" s="17">
        <v>0.29499999999999998</v>
      </c>
      <c r="L359" s="17">
        <v>0.4</v>
      </c>
      <c r="M359" s="17">
        <v>2.4</v>
      </c>
      <c r="N359" s="17">
        <v>0.17199999999999999</v>
      </c>
      <c r="O359" s="17">
        <v>1.1000000000000001</v>
      </c>
      <c r="P359" s="17">
        <v>2.7</v>
      </c>
      <c r="Q359" s="17">
        <v>0.40600000000000003</v>
      </c>
      <c r="R359" s="17">
        <v>0.33600000000000002</v>
      </c>
      <c r="S359" s="17">
        <v>0.8</v>
      </c>
      <c r="T359" s="17">
        <v>1.3</v>
      </c>
      <c r="U359" s="17">
        <v>0.66700000000000004</v>
      </c>
      <c r="V359" s="17">
        <v>1</v>
      </c>
      <c r="W359" s="17">
        <v>0.8</v>
      </c>
      <c r="X359" s="17">
        <v>1.8</v>
      </c>
      <c r="Y359" s="17">
        <v>1.7</v>
      </c>
      <c r="Z359" s="17">
        <v>0.8</v>
      </c>
      <c r="AA359" s="17">
        <v>0.2</v>
      </c>
      <c r="AB359" s="17">
        <v>1</v>
      </c>
      <c r="AC359" s="17">
        <v>1.3</v>
      </c>
      <c r="AD359" s="17">
        <v>4.3</v>
      </c>
      <c r="AE359" s="17"/>
      <c r="AG359" s="8" t="str">
        <v>Josh Richardson</v>
      </c>
      <c r="AH359" s="8" t="str">
        <v>MIA</v>
      </c>
    </row>
    <row r="360" spans="1:34" ht="17" x14ac:dyDescent="0.2">
      <c r="A360" s="1">
        <v>348</v>
      </c>
      <c r="B360" s="18" t="s">
        <v>377</v>
      </c>
      <c r="C360" s="17">
        <v>20</v>
      </c>
      <c r="D360" s="18" t="s">
        <v>61</v>
      </c>
      <c r="E360" s="17" t="s">
        <v>35</v>
      </c>
      <c r="F360" s="17">
        <v>17</v>
      </c>
      <c r="G360" s="17">
        <v>0</v>
      </c>
      <c r="H360" s="17">
        <v>10.1</v>
      </c>
      <c r="I360" s="17">
        <v>1.6</v>
      </c>
      <c r="J360" s="17">
        <v>4.2</v>
      </c>
      <c r="K360" s="17">
        <v>0.39400000000000002</v>
      </c>
      <c r="L360" s="17">
        <v>0.9</v>
      </c>
      <c r="M360" s="17">
        <v>2.4</v>
      </c>
      <c r="N360" s="17">
        <v>0.4</v>
      </c>
      <c r="O360" s="17">
        <v>0.7</v>
      </c>
      <c r="P360" s="17">
        <v>1.8</v>
      </c>
      <c r="Q360" s="17">
        <v>0.38700000000000001</v>
      </c>
      <c r="R360" s="17">
        <v>0.50700000000000001</v>
      </c>
      <c r="S360" s="17">
        <v>0.1</v>
      </c>
      <c r="T360" s="17">
        <v>0.1</v>
      </c>
      <c r="U360" s="17">
        <v>0.5</v>
      </c>
      <c r="V360" s="17">
        <v>0.1</v>
      </c>
      <c r="W360" s="17">
        <v>1.2</v>
      </c>
      <c r="X360" s="17">
        <v>1.3</v>
      </c>
      <c r="Y360" s="17">
        <v>0.9</v>
      </c>
      <c r="Z360" s="17">
        <v>0.2</v>
      </c>
      <c r="AA360" s="17">
        <v>0.1</v>
      </c>
      <c r="AB360" s="17">
        <v>0.2</v>
      </c>
      <c r="AC360" s="17">
        <v>0.5</v>
      </c>
      <c r="AD360" s="17">
        <v>4.3</v>
      </c>
      <c r="AE360" s="17"/>
      <c r="AG360" s="8" t="str">
        <v>Cam Spencer</v>
      </c>
      <c r="AH360" s="8" t="str">
        <v>MEM</v>
      </c>
    </row>
    <row r="361" spans="1:34" ht="17" x14ac:dyDescent="0.2">
      <c r="A361" s="1">
        <v>349</v>
      </c>
      <c r="B361" s="18" t="s">
        <v>264</v>
      </c>
      <c r="C361" s="17">
        <v>38</v>
      </c>
      <c r="D361" s="18" t="s">
        <v>64</v>
      </c>
      <c r="E361" s="17" t="s">
        <v>46</v>
      </c>
      <c r="F361" s="17">
        <v>25</v>
      </c>
      <c r="G361" s="17">
        <v>12</v>
      </c>
      <c r="H361" s="17">
        <v>19.899999999999999</v>
      </c>
      <c r="I361" s="17">
        <v>1.2</v>
      </c>
      <c r="J361" s="17">
        <v>3.5</v>
      </c>
      <c r="K361" s="17">
        <v>0.35599999999999998</v>
      </c>
      <c r="L361" s="17">
        <v>0.9</v>
      </c>
      <c r="M361" s="17">
        <v>2.6</v>
      </c>
      <c r="N361" s="17">
        <v>0.33800000000000002</v>
      </c>
      <c r="O361" s="17">
        <v>0.4</v>
      </c>
      <c r="P361" s="17">
        <v>0.9</v>
      </c>
      <c r="Q361" s="17">
        <v>0.40899999999999997</v>
      </c>
      <c r="R361" s="17">
        <v>0.48299999999999998</v>
      </c>
      <c r="S361" s="17">
        <v>0.8</v>
      </c>
      <c r="T361" s="17">
        <v>1</v>
      </c>
      <c r="U361" s="17">
        <v>0.8</v>
      </c>
      <c r="V361" s="17">
        <v>0.3</v>
      </c>
      <c r="W361" s="17">
        <v>1.5</v>
      </c>
      <c r="X361" s="17">
        <v>1.8</v>
      </c>
      <c r="Y361" s="17">
        <v>2.7</v>
      </c>
      <c r="Z361" s="17">
        <v>1</v>
      </c>
      <c r="AA361" s="17">
        <v>0.3</v>
      </c>
      <c r="AB361" s="17">
        <v>0.7</v>
      </c>
      <c r="AC361" s="17">
        <v>1.9</v>
      </c>
      <c r="AD361" s="17">
        <v>4.2</v>
      </c>
      <c r="AE361" s="17"/>
      <c r="AG361" s="8" t="str">
        <v>JT Thor</v>
      </c>
      <c r="AH361" s="8" t="str">
        <v>CLE</v>
      </c>
    </row>
    <row r="362" spans="1:34" ht="17" x14ac:dyDescent="0.2">
      <c r="A362" s="1">
        <v>350</v>
      </c>
      <c r="B362" s="18" t="s">
        <v>288</v>
      </c>
      <c r="C362" s="17">
        <v>20</v>
      </c>
      <c r="D362" s="18" t="s">
        <v>95</v>
      </c>
      <c r="E362" s="17" t="s">
        <v>54</v>
      </c>
      <c r="F362" s="17">
        <v>5</v>
      </c>
      <c r="G362" s="17">
        <v>0</v>
      </c>
      <c r="H362" s="17">
        <v>6</v>
      </c>
      <c r="I362" s="17">
        <v>1.4</v>
      </c>
      <c r="J362" s="17">
        <v>2.8</v>
      </c>
      <c r="K362" s="17">
        <v>0.5</v>
      </c>
      <c r="L362" s="17">
        <v>1.4</v>
      </c>
      <c r="M362" s="17">
        <v>2.6</v>
      </c>
      <c r="N362" s="17">
        <v>0.53800000000000003</v>
      </c>
      <c r="O362" s="17">
        <v>0</v>
      </c>
      <c r="P362" s="17">
        <v>0.2</v>
      </c>
      <c r="Q362" s="17">
        <v>0</v>
      </c>
      <c r="R362" s="17">
        <v>0.75</v>
      </c>
      <c r="S362" s="17">
        <v>0</v>
      </c>
      <c r="T362" s="17">
        <v>0</v>
      </c>
      <c r="U362" s="17"/>
      <c r="V362" s="17">
        <v>0</v>
      </c>
      <c r="W362" s="17">
        <v>0.6</v>
      </c>
      <c r="X362" s="17">
        <v>0.6</v>
      </c>
      <c r="Y362" s="17">
        <v>0.2</v>
      </c>
      <c r="Z362" s="17">
        <v>0.6</v>
      </c>
      <c r="AA362" s="17">
        <v>0.2</v>
      </c>
      <c r="AB362" s="17">
        <v>0.6</v>
      </c>
      <c r="AC362" s="17">
        <v>0.4</v>
      </c>
      <c r="AD362" s="17">
        <v>4.2</v>
      </c>
      <c r="AE362" s="17"/>
      <c r="AG362" s="8" t="str">
        <v>Luka Garza</v>
      </c>
      <c r="AH362" s="8" t="str">
        <v>MIN</v>
      </c>
    </row>
    <row r="363" spans="1:34" ht="17" x14ac:dyDescent="0.2">
      <c r="A363" s="1">
        <v>351</v>
      </c>
      <c r="B363" s="18" t="s">
        <v>305</v>
      </c>
      <c r="C363" s="17">
        <v>24</v>
      </c>
      <c r="D363" s="18" t="s">
        <v>58</v>
      </c>
      <c r="E363" s="17" t="s">
        <v>54</v>
      </c>
      <c r="F363" s="17">
        <v>31</v>
      </c>
      <c r="G363" s="17">
        <v>0</v>
      </c>
      <c r="H363" s="17">
        <v>13.7</v>
      </c>
      <c r="I363" s="17">
        <v>1.7</v>
      </c>
      <c r="J363" s="17">
        <v>3.7</v>
      </c>
      <c r="K363" s="17">
        <v>0.46500000000000002</v>
      </c>
      <c r="L363" s="17">
        <v>0.5</v>
      </c>
      <c r="M363" s="17">
        <v>1.5</v>
      </c>
      <c r="N363" s="17">
        <v>0.30399999999999999</v>
      </c>
      <c r="O363" s="17">
        <v>1.3</v>
      </c>
      <c r="P363" s="17">
        <v>2.2000000000000002</v>
      </c>
      <c r="Q363" s="17">
        <v>0.57399999999999995</v>
      </c>
      <c r="R363" s="17">
        <v>0.52600000000000002</v>
      </c>
      <c r="S363" s="17">
        <v>0.3</v>
      </c>
      <c r="T363" s="17">
        <v>0.7</v>
      </c>
      <c r="U363" s="17">
        <v>0.435</v>
      </c>
      <c r="V363" s="17">
        <v>0.9</v>
      </c>
      <c r="W363" s="17">
        <v>1.3</v>
      </c>
      <c r="X363" s="17">
        <v>2.2000000000000002</v>
      </c>
      <c r="Y363" s="17">
        <v>0.9</v>
      </c>
      <c r="Z363" s="17">
        <v>0.4</v>
      </c>
      <c r="AA363" s="17">
        <v>0.2</v>
      </c>
      <c r="AB363" s="17">
        <v>0.5</v>
      </c>
      <c r="AC363" s="17">
        <v>1.1000000000000001</v>
      </c>
      <c r="AD363" s="17">
        <v>4.2</v>
      </c>
      <c r="AE363" s="17"/>
      <c r="AG363" s="8" t="str">
        <v>Reggie Jackson</v>
      </c>
      <c r="AH363" s="8" t="str">
        <v>PHI</v>
      </c>
    </row>
    <row r="364" spans="1:34" ht="17" x14ac:dyDescent="0.2">
      <c r="A364" s="1">
        <v>352</v>
      </c>
      <c r="B364" s="18" t="s">
        <v>403</v>
      </c>
      <c r="C364" s="17">
        <v>28</v>
      </c>
      <c r="D364" s="18" t="s">
        <v>116</v>
      </c>
      <c r="E364" s="17" t="s">
        <v>46</v>
      </c>
      <c r="F364" s="17">
        <v>32</v>
      </c>
      <c r="G364" s="17">
        <v>5</v>
      </c>
      <c r="H364" s="17">
        <v>19.100000000000001</v>
      </c>
      <c r="I364" s="17">
        <v>1.6</v>
      </c>
      <c r="J364" s="17">
        <v>4.3</v>
      </c>
      <c r="K364" s="17">
        <v>0.36199999999999999</v>
      </c>
      <c r="L364" s="17">
        <v>0.9</v>
      </c>
      <c r="M364" s="17">
        <v>2.8</v>
      </c>
      <c r="N364" s="17">
        <v>0.31900000000000001</v>
      </c>
      <c r="O364" s="17">
        <v>0.7</v>
      </c>
      <c r="P364" s="17">
        <v>1.5</v>
      </c>
      <c r="Q364" s="17">
        <v>0.44700000000000001</v>
      </c>
      <c r="R364" s="17">
        <v>0.46700000000000003</v>
      </c>
      <c r="S364" s="17">
        <v>0.1</v>
      </c>
      <c r="T364" s="17">
        <v>0.3</v>
      </c>
      <c r="U364" s="17">
        <v>0.5</v>
      </c>
      <c r="V364" s="17">
        <v>0.3</v>
      </c>
      <c r="W364" s="17">
        <v>1</v>
      </c>
      <c r="X364" s="17">
        <v>1.3</v>
      </c>
      <c r="Y364" s="17">
        <v>1</v>
      </c>
      <c r="Z364" s="17">
        <v>0.8</v>
      </c>
      <c r="AA364" s="17">
        <v>0.2</v>
      </c>
      <c r="AB364" s="17">
        <v>0.6</v>
      </c>
      <c r="AC364" s="17">
        <v>1.9</v>
      </c>
      <c r="AD364" s="17">
        <v>4.2</v>
      </c>
      <c r="AE364" s="17"/>
      <c r="AG364" s="8" t="str">
        <v>Dalen Terry</v>
      </c>
      <c r="AH364" s="8" t="str">
        <v>CHI</v>
      </c>
    </row>
    <row r="365" spans="1:34" ht="17" x14ac:dyDescent="0.2">
      <c r="A365" s="1">
        <v>353</v>
      </c>
      <c r="B365" s="18" t="s">
        <v>633</v>
      </c>
      <c r="C365" s="17">
        <v>26</v>
      </c>
      <c r="D365" s="18" t="s">
        <v>77</v>
      </c>
      <c r="E365" s="17" t="s">
        <v>29</v>
      </c>
      <c r="F365" s="17">
        <v>20</v>
      </c>
      <c r="G365" s="17">
        <v>0</v>
      </c>
      <c r="H365" s="17">
        <v>12.6</v>
      </c>
      <c r="I365" s="17">
        <v>1.6</v>
      </c>
      <c r="J365" s="17">
        <v>3.7</v>
      </c>
      <c r="K365" s="17">
        <v>0.41899999999999998</v>
      </c>
      <c r="L365" s="17">
        <v>0.4</v>
      </c>
      <c r="M365" s="17">
        <v>1.8</v>
      </c>
      <c r="N365" s="17">
        <v>0.22900000000000001</v>
      </c>
      <c r="O365" s="17">
        <v>1.2</v>
      </c>
      <c r="P365" s="17">
        <v>2</v>
      </c>
      <c r="Q365" s="17">
        <v>0.59</v>
      </c>
      <c r="R365" s="17">
        <v>0.47299999999999998</v>
      </c>
      <c r="S365" s="17">
        <v>0.6</v>
      </c>
      <c r="T365" s="17">
        <v>0.8</v>
      </c>
      <c r="U365" s="17">
        <v>0.73299999999999998</v>
      </c>
      <c r="V365" s="17">
        <v>0.9</v>
      </c>
      <c r="W365" s="17">
        <v>3.2</v>
      </c>
      <c r="X365" s="17">
        <v>4.0999999999999996</v>
      </c>
      <c r="Y365" s="17">
        <v>0.6</v>
      </c>
      <c r="Z365" s="17">
        <v>0.5</v>
      </c>
      <c r="AA365" s="17">
        <v>1.1000000000000001</v>
      </c>
      <c r="AB365" s="17">
        <v>0.6</v>
      </c>
      <c r="AC365" s="17">
        <v>1.8</v>
      </c>
      <c r="AD365" s="17">
        <v>4.0999999999999996</v>
      </c>
      <c r="AE365" s="17"/>
      <c r="AG365" s="8" t="str">
        <v>Daniel Theis</v>
      </c>
      <c r="AH365" s="8" t="str">
        <v>NOP</v>
      </c>
    </row>
    <row r="366" spans="1:34" ht="17" x14ac:dyDescent="0.2">
      <c r="A366" s="1">
        <v>354</v>
      </c>
      <c r="B366" s="18" t="s">
        <v>189</v>
      </c>
      <c r="C366" s="17">
        <v>30</v>
      </c>
      <c r="D366" s="18" t="s">
        <v>52</v>
      </c>
      <c r="E366" s="17" t="s">
        <v>35</v>
      </c>
      <c r="F366" s="17">
        <v>20</v>
      </c>
      <c r="G366" s="17">
        <v>2</v>
      </c>
      <c r="H366" s="17">
        <v>16.3</v>
      </c>
      <c r="I366" s="17">
        <v>1.5</v>
      </c>
      <c r="J366" s="17">
        <v>3.6</v>
      </c>
      <c r="K366" s="17">
        <v>0.40300000000000002</v>
      </c>
      <c r="L366" s="17">
        <v>1</v>
      </c>
      <c r="M366" s="17">
        <v>2.7</v>
      </c>
      <c r="N366" s="17">
        <v>0.35199999999999998</v>
      </c>
      <c r="O366" s="17">
        <v>0.5</v>
      </c>
      <c r="P366" s="17">
        <v>0.9</v>
      </c>
      <c r="Q366" s="17">
        <v>0.55600000000000005</v>
      </c>
      <c r="R366" s="17">
        <v>0.53500000000000003</v>
      </c>
      <c r="S366" s="17">
        <v>0.2</v>
      </c>
      <c r="T366" s="17">
        <v>0.4</v>
      </c>
      <c r="U366" s="17">
        <v>0.5</v>
      </c>
      <c r="V366" s="17">
        <v>0.5</v>
      </c>
      <c r="W366" s="17">
        <v>0.8</v>
      </c>
      <c r="X366" s="17">
        <v>1.3</v>
      </c>
      <c r="Y366" s="17">
        <v>0.5</v>
      </c>
      <c r="Z366" s="17">
        <v>0.7</v>
      </c>
      <c r="AA366" s="17">
        <v>0.3</v>
      </c>
      <c r="AB366" s="17">
        <v>0.5</v>
      </c>
      <c r="AC366" s="17">
        <v>0.7</v>
      </c>
      <c r="AD366" s="17">
        <v>4.0999999999999996</v>
      </c>
      <c r="AE366" s="17"/>
      <c r="AG366" s="8" t="str">
        <v>Aaron Holiday</v>
      </c>
      <c r="AH366" s="8" t="str">
        <v>HOU</v>
      </c>
    </row>
    <row r="367" spans="1:34" ht="17" x14ac:dyDescent="0.2">
      <c r="A367" s="1">
        <v>355</v>
      </c>
      <c r="B367" s="18" t="s">
        <v>630</v>
      </c>
      <c r="C367" s="17">
        <v>22</v>
      </c>
      <c r="D367" s="18" t="s">
        <v>81</v>
      </c>
      <c r="E367" s="17" t="s">
        <v>27</v>
      </c>
      <c r="F367" s="17">
        <v>9</v>
      </c>
      <c r="G367" s="17">
        <v>0</v>
      </c>
      <c r="H367" s="17">
        <v>11.9</v>
      </c>
      <c r="I367" s="17">
        <v>1.4</v>
      </c>
      <c r="J367" s="17">
        <v>3.6</v>
      </c>
      <c r="K367" s="17">
        <v>0.40600000000000003</v>
      </c>
      <c r="L367" s="17">
        <v>1.2</v>
      </c>
      <c r="M367" s="17">
        <v>3.2</v>
      </c>
      <c r="N367" s="17">
        <v>0.379</v>
      </c>
      <c r="O367" s="17">
        <v>0.2</v>
      </c>
      <c r="P367" s="17">
        <v>0.3</v>
      </c>
      <c r="Q367" s="17">
        <v>0.66700000000000004</v>
      </c>
      <c r="R367" s="17">
        <v>0.57799999999999996</v>
      </c>
      <c r="S367" s="17">
        <v>0</v>
      </c>
      <c r="T367" s="17">
        <v>0</v>
      </c>
      <c r="U367" s="17"/>
      <c r="V367" s="17">
        <v>0.6</v>
      </c>
      <c r="W367" s="17">
        <v>2.6</v>
      </c>
      <c r="X367" s="17">
        <v>3.1</v>
      </c>
      <c r="Y367" s="17">
        <v>2</v>
      </c>
      <c r="Z367" s="17">
        <v>0.2</v>
      </c>
      <c r="AA367" s="17">
        <v>0.2</v>
      </c>
      <c r="AB367" s="17">
        <v>0.4</v>
      </c>
      <c r="AC367" s="17">
        <v>1</v>
      </c>
      <c r="AD367" s="17">
        <v>4.0999999999999996</v>
      </c>
      <c r="AE367" s="17"/>
      <c r="AG367" s="8" t="str">
        <v>Oso Ighodaro</v>
      </c>
      <c r="AH367" s="8" t="str">
        <v>PHO</v>
      </c>
    </row>
    <row r="368" spans="1:34" ht="17" x14ac:dyDescent="0.2">
      <c r="A368" s="1">
        <v>356</v>
      </c>
      <c r="B368" s="18" t="s">
        <v>326</v>
      </c>
      <c r="C368" s="17">
        <v>34</v>
      </c>
      <c r="D368" s="18" t="s">
        <v>42</v>
      </c>
      <c r="E368" s="17" t="s">
        <v>29</v>
      </c>
      <c r="F368" s="17">
        <v>35</v>
      </c>
      <c r="G368" s="17">
        <v>13</v>
      </c>
      <c r="H368" s="17">
        <v>17.600000000000001</v>
      </c>
      <c r="I368" s="17">
        <v>1.5</v>
      </c>
      <c r="J368" s="17">
        <v>2.6</v>
      </c>
      <c r="K368" s="17">
        <v>0.58199999999999996</v>
      </c>
      <c r="L368" s="17">
        <v>0</v>
      </c>
      <c r="M368" s="17">
        <v>0</v>
      </c>
      <c r="N368" s="17">
        <v>0</v>
      </c>
      <c r="O368" s="17">
        <v>1.5</v>
      </c>
      <c r="P368" s="17">
        <v>2.6</v>
      </c>
      <c r="Q368" s="17">
        <v>0.58899999999999997</v>
      </c>
      <c r="R368" s="17">
        <v>0.58199999999999996</v>
      </c>
      <c r="S368" s="17">
        <v>1</v>
      </c>
      <c r="T368" s="17">
        <v>1.6</v>
      </c>
      <c r="U368" s="17">
        <v>0.61399999999999999</v>
      </c>
      <c r="V368" s="17">
        <v>1.6</v>
      </c>
      <c r="W368" s="17">
        <v>4.9000000000000004</v>
      </c>
      <c r="X368" s="17">
        <v>6.4</v>
      </c>
      <c r="Y368" s="17">
        <v>1.9</v>
      </c>
      <c r="Z368" s="17">
        <v>0.4</v>
      </c>
      <c r="AA368" s="17">
        <v>0.7</v>
      </c>
      <c r="AB368" s="17">
        <v>0.9</v>
      </c>
      <c r="AC368" s="17">
        <v>2</v>
      </c>
      <c r="AD368" s="17">
        <v>4</v>
      </c>
      <c r="AE368" s="17"/>
      <c r="AG368" s="8" t="str">
        <v>Jae'Sean Tate</v>
      </c>
      <c r="AH368" s="8" t="str">
        <v>HOU</v>
      </c>
    </row>
    <row r="369" spans="1:34" ht="17" x14ac:dyDescent="0.2">
      <c r="A369" s="1">
        <v>357</v>
      </c>
      <c r="B369" s="18" t="s">
        <v>349</v>
      </c>
      <c r="C369" s="17">
        <v>31</v>
      </c>
      <c r="D369" s="18" t="s">
        <v>33</v>
      </c>
      <c r="E369" s="17" t="s">
        <v>35</v>
      </c>
      <c r="F369" s="17">
        <v>8</v>
      </c>
      <c r="G369" s="17">
        <v>0</v>
      </c>
      <c r="H369" s="17">
        <v>18.8</v>
      </c>
      <c r="I369" s="17">
        <v>1.4</v>
      </c>
      <c r="J369" s="17">
        <v>4.8</v>
      </c>
      <c r="K369" s="17">
        <v>0.28899999999999998</v>
      </c>
      <c r="L369" s="17">
        <v>0.8</v>
      </c>
      <c r="M369" s="17">
        <v>2.8</v>
      </c>
      <c r="N369" s="17">
        <v>0.27300000000000002</v>
      </c>
      <c r="O369" s="17">
        <v>0.6</v>
      </c>
      <c r="P369" s="17">
        <v>2</v>
      </c>
      <c r="Q369" s="17">
        <v>0.313</v>
      </c>
      <c r="R369" s="17">
        <v>0.36799999999999999</v>
      </c>
      <c r="S369" s="17">
        <v>0.5</v>
      </c>
      <c r="T369" s="17">
        <v>0.5</v>
      </c>
      <c r="U369" s="17">
        <v>1</v>
      </c>
      <c r="V369" s="17">
        <v>0.8</v>
      </c>
      <c r="W369" s="17">
        <v>0.8</v>
      </c>
      <c r="X369" s="17">
        <v>1.5</v>
      </c>
      <c r="Y369" s="17">
        <v>1.5</v>
      </c>
      <c r="Z369" s="17">
        <v>1</v>
      </c>
      <c r="AA369" s="17">
        <v>0.1</v>
      </c>
      <c r="AB369" s="17">
        <v>1</v>
      </c>
      <c r="AC369" s="17">
        <v>2.1</v>
      </c>
      <c r="AD369" s="17">
        <v>4</v>
      </c>
      <c r="AE369" s="17"/>
      <c r="AG369" s="8" t="str">
        <v>Rob Dillingham</v>
      </c>
      <c r="AH369" s="8" t="str">
        <v>MIN</v>
      </c>
    </row>
    <row r="370" spans="1:34" ht="17" x14ac:dyDescent="0.2">
      <c r="A370" s="1">
        <v>358</v>
      </c>
      <c r="B370" s="18" t="s">
        <v>632</v>
      </c>
      <c r="C370" s="17">
        <v>24</v>
      </c>
      <c r="D370" s="18" t="s">
        <v>38</v>
      </c>
      <c r="E370" s="17" t="s">
        <v>35</v>
      </c>
      <c r="F370" s="17">
        <v>10</v>
      </c>
      <c r="G370" s="17">
        <v>0</v>
      </c>
      <c r="H370" s="17">
        <v>12.1</v>
      </c>
      <c r="I370" s="17">
        <v>1.3</v>
      </c>
      <c r="J370" s="17">
        <v>3</v>
      </c>
      <c r="K370" s="17">
        <v>0.433</v>
      </c>
      <c r="L370" s="17">
        <v>0.5</v>
      </c>
      <c r="M370" s="17">
        <v>1.6</v>
      </c>
      <c r="N370" s="17">
        <v>0.313</v>
      </c>
      <c r="O370" s="17">
        <v>0.8</v>
      </c>
      <c r="P370" s="17">
        <v>1.4</v>
      </c>
      <c r="Q370" s="17">
        <v>0.57099999999999995</v>
      </c>
      <c r="R370" s="17">
        <v>0.51700000000000002</v>
      </c>
      <c r="S370" s="17">
        <v>0.9</v>
      </c>
      <c r="T370" s="17">
        <v>0.9</v>
      </c>
      <c r="U370" s="17">
        <v>1</v>
      </c>
      <c r="V370" s="17">
        <v>0.5</v>
      </c>
      <c r="W370" s="17">
        <v>1.2</v>
      </c>
      <c r="X370" s="17">
        <v>1.7</v>
      </c>
      <c r="Y370" s="17">
        <v>1.6</v>
      </c>
      <c r="Z370" s="17">
        <v>0.3</v>
      </c>
      <c r="AA370" s="17">
        <v>0.1</v>
      </c>
      <c r="AB370" s="17">
        <v>0.5</v>
      </c>
      <c r="AC370" s="17">
        <v>1.1000000000000001</v>
      </c>
      <c r="AD370" s="17">
        <v>4</v>
      </c>
      <c r="AE370" s="17"/>
      <c r="AG370" s="8" t="str">
        <v>Blake Wesley</v>
      </c>
      <c r="AH370" s="8" t="str">
        <v>SAS</v>
      </c>
    </row>
    <row r="371" spans="1:34" ht="17" x14ac:dyDescent="0.2">
      <c r="A371" s="1">
        <v>359</v>
      </c>
      <c r="B371" s="18" t="s">
        <v>628</v>
      </c>
      <c r="C371" s="17">
        <v>22</v>
      </c>
      <c r="D371" s="18" t="s">
        <v>44</v>
      </c>
      <c r="E371" s="17" t="s">
        <v>27</v>
      </c>
      <c r="F371" s="17">
        <v>7</v>
      </c>
      <c r="G371" s="17">
        <v>0</v>
      </c>
      <c r="H371" s="17">
        <v>4.7</v>
      </c>
      <c r="I371" s="17">
        <v>1.3</v>
      </c>
      <c r="J371" s="17">
        <v>1.7</v>
      </c>
      <c r="K371" s="17">
        <v>0.75</v>
      </c>
      <c r="L371" s="17">
        <v>0.4</v>
      </c>
      <c r="M371" s="17">
        <v>0.6</v>
      </c>
      <c r="N371" s="17">
        <v>0.75</v>
      </c>
      <c r="O371" s="17">
        <v>0.9</v>
      </c>
      <c r="P371" s="17">
        <v>1.1000000000000001</v>
      </c>
      <c r="Q371" s="17">
        <v>0.75</v>
      </c>
      <c r="R371" s="17">
        <v>0.875</v>
      </c>
      <c r="S371" s="17">
        <v>1</v>
      </c>
      <c r="T371" s="17">
        <v>1.1000000000000001</v>
      </c>
      <c r="U371" s="17">
        <v>0.875</v>
      </c>
      <c r="V371" s="17">
        <v>0.4</v>
      </c>
      <c r="W371" s="17">
        <v>0.4</v>
      </c>
      <c r="X371" s="17">
        <v>0.9</v>
      </c>
      <c r="Y371" s="17">
        <v>0</v>
      </c>
      <c r="Z371" s="17">
        <v>0.3</v>
      </c>
      <c r="AA371" s="17">
        <v>0.4</v>
      </c>
      <c r="AB371" s="17">
        <v>0.6</v>
      </c>
      <c r="AC371" s="17">
        <v>0.6</v>
      </c>
      <c r="AD371" s="17">
        <v>4</v>
      </c>
      <c r="AE371" s="17"/>
      <c r="AG371" s="8" t="str">
        <v>Andre Jackson Jr.</v>
      </c>
      <c r="AH371" s="8" t="str">
        <v>MIL</v>
      </c>
    </row>
    <row r="372" spans="1:34" ht="17" x14ac:dyDescent="0.2">
      <c r="A372" s="1">
        <v>360</v>
      </c>
      <c r="B372" s="18" t="s">
        <v>165</v>
      </c>
      <c r="C372" s="17">
        <v>26</v>
      </c>
      <c r="D372" s="18" t="s">
        <v>40</v>
      </c>
      <c r="E372" s="17" t="s">
        <v>29</v>
      </c>
      <c r="F372" s="17">
        <v>10</v>
      </c>
      <c r="G372" s="17">
        <v>0</v>
      </c>
      <c r="H372" s="17">
        <v>5</v>
      </c>
      <c r="I372" s="17">
        <v>1.6</v>
      </c>
      <c r="J372" s="17">
        <v>2.7</v>
      </c>
      <c r="K372" s="17">
        <v>0.59299999999999997</v>
      </c>
      <c r="L372" s="17">
        <v>0.2</v>
      </c>
      <c r="M372" s="17">
        <v>0.8</v>
      </c>
      <c r="N372" s="17">
        <v>0.25</v>
      </c>
      <c r="O372" s="17">
        <v>1.4</v>
      </c>
      <c r="P372" s="17">
        <v>1.9</v>
      </c>
      <c r="Q372" s="17">
        <v>0.73699999999999999</v>
      </c>
      <c r="R372" s="17">
        <v>0.63</v>
      </c>
      <c r="S372" s="17">
        <v>0.5</v>
      </c>
      <c r="T372" s="17">
        <v>0.8</v>
      </c>
      <c r="U372" s="17">
        <v>0.625</v>
      </c>
      <c r="V372" s="17">
        <v>0.4</v>
      </c>
      <c r="W372" s="17">
        <v>0.7</v>
      </c>
      <c r="X372" s="17">
        <v>1.1000000000000001</v>
      </c>
      <c r="Y372" s="17">
        <v>0.1</v>
      </c>
      <c r="Z372" s="17">
        <v>0.1</v>
      </c>
      <c r="AA372" s="17">
        <v>0</v>
      </c>
      <c r="AB372" s="17">
        <v>0.3</v>
      </c>
      <c r="AC372" s="17">
        <v>0.5</v>
      </c>
      <c r="AD372" s="17">
        <v>3.9</v>
      </c>
      <c r="AE372" s="17"/>
      <c r="AG372" s="8" t="str">
        <v>Isaac Jones</v>
      </c>
      <c r="AH372" s="8" t="str">
        <v>SAC</v>
      </c>
    </row>
    <row r="373" spans="1:34" ht="17" x14ac:dyDescent="0.2">
      <c r="A373" s="1">
        <v>361</v>
      </c>
      <c r="B373" s="18" t="s">
        <v>221</v>
      </c>
      <c r="C373" s="17">
        <v>34</v>
      </c>
      <c r="D373" s="18" t="s">
        <v>64</v>
      </c>
      <c r="E373" s="17" t="s">
        <v>46</v>
      </c>
      <c r="F373" s="17">
        <v>20</v>
      </c>
      <c r="G373" s="17">
        <v>0</v>
      </c>
      <c r="H373" s="17">
        <v>11.9</v>
      </c>
      <c r="I373" s="17">
        <v>1.5</v>
      </c>
      <c r="J373" s="17">
        <v>3.9</v>
      </c>
      <c r="K373" s="17">
        <v>0.377</v>
      </c>
      <c r="L373" s="17">
        <v>0.9</v>
      </c>
      <c r="M373" s="17">
        <v>2.5</v>
      </c>
      <c r="N373" s="17">
        <v>0.36699999999999999</v>
      </c>
      <c r="O373" s="17">
        <v>0.6</v>
      </c>
      <c r="P373" s="17">
        <v>1.4</v>
      </c>
      <c r="Q373" s="17">
        <v>0.39300000000000002</v>
      </c>
      <c r="R373" s="17">
        <v>0.49399999999999999</v>
      </c>
      <c r="S373" s="17">
        <v>0.1</v>
      </c>
      <c r="T373" s="17">
        <v>0.2</v>
      </c>
      <c r="U373" s="17">
        <v>0.66700000000000004</v>
      </c>
      <c r="V373" s="17">
        <v>0.3</v>
      </c>
      <c r="W373" s="17">
        <v>1.1000000000000001</v>
      </c>
      <c r="X373" s="17">
        <v>1.3</v>
      </c>
      <c r="Y373" s="17">
        <v>1.6</v>
      </c>
      <c r="Z373" s="17">
        <v>0.5</v>
      </c>
      <c r="AA373" s="17">
        <v>0.2</v>
      </c>
      <c r="AB373" s="17">
        <v>0.6</v>
      </c>
      <c r="AC373" s="17">
        <v>1</v>
      </c>
      <c r="AD373" s="17">
        <v>3.9</v>
      </c>
      <c r="AE373" s="17"/>
      <c r="AG373" s="8" t="str">
        <v>Tre Jones</v>
      </c>
      <c r="AH373" s="8" t="str">
        <v>SAS</v>
      </c>
    </row>
    <row r="374" spans="1:34" ht="17" x14ac:dyDescent="0.2">
      <c r="A374" s="1">
        <v>362</v>
      </c>
      <c r="B374" s="18" t="s">
        <v>386</v>
      </c>
      <c r="C374" s="17">
        <v>22</v>
      </c>
      <c r="D374" s="18" t="s">
        <v>84</v>
      </c>
      <c r="E374" s="17" t="s">
        <v>35</v>
      </c>
      <c r="F374" s="17">
        <v>34</v>
      </c>
      <c r="G374" s="17">
        <v>1</v>
      </c>
      <c r="H374" s="17">
        <v>13.4</v>
      </c>
      <c r="I374" s="17">
        <v>1.4</v>
      </c>
      <c r="J374" s="17">
        <v>3</v>
      </c>
      <c r="K374" s="17">
        <v>0.47099999999999997</v>
      </c>
      <c r="L374" s="17">
        <v>0.4</v>
      </c>
      <c r="M374" s="17">
        <v>1.1000000000000001</v>
      </c>
      <c r="N374" s="17">
        <v>0.34200000000000003</v>
      </c>
      <c r="O374" s="17">
        <v>1</v>
      </c>
      <c r="P374" s="17">
        <v>1.9</v>
      </c>
      <c r="Q374" s="17">
        <v>0.54700000000000004</v>
      </c>
      <c r="R374" s="17">
        <v>0.53400000000000003</v>
      </c>
      <c r="S374" s="17">
        <v>0.7</v>
      </c>
      <c r="T374" s="17">
        <v>1.1000000000000001</v>
      </c>
      <c r="U374" s="17">
        <v>0.69399999999999995</v>
      </c>
      <c r="V374" s="17">
        <v>0.6</v>
      </c>
      <c r="W374" s="17">
        <v>0.9</v>
      </c>
      <c r="X374" s="17">
        <v>1.5</v>
      </c>
      <c r="Y374" s="17">
        <v>1.1000000000000001</v>
      </c>
      <c r="Z374" s="17">
        <v>0.5</v>
      </c>
      <c r="AA374" s="17">
        <v>0.2</v>
      </c>
      <c r="AB374" s="17">
        <v>0.9</v>
      </c>
      <c r="AC374" s="17">
        <v>1.6</v>
      </c>
      <c r="AD374" s="17">
        <v>3.9</v>
      </c>
      <c r="AE374" s="17"/>
      <c r="AG374" s="8" t="str">
        <v>Doug McDermott</v>
      </c>
      <c r="AH374" s="8" t="str">
        <v>SAC</v>
      </c>
    </row>
    <row r="375" spans="1:34" ht="17" x14ac:dyDescent="0.2">
      <c r="A375" s="1">
        <v>363</v>
      </c>
      <c r="B375" s="18" t="s">
        <v>387</v>
      </c>
      <c r="C375" s="17">
        <v>32</v>
      </c>
      <c r="D375" s="18" t="s">
        <v>47</v>
      </c>
      <c r="E375" s="17" t="s">
        <v>29</v>
      </c>
      <c r="F375" s="17">
        <v>28</v>
      </c>
      <c r="G375" s="17">
        <v>7</v>
      </c>
      <c r="H375" s="17">
        <v>14.8</v>
      </c>
      <c r="I375" s="17">
        <v>1.5</v>
      </c>
      <c r="J375" s="17">
        <v>3.1</v>
      </c>
      <c r="K375" s="17">
        <v>0.47099999999999997</v>
      </c>
      <c r="L375" s="17">
        <v>0.3</v>
      </c>
      <c r="M375" s="17">
        <v>1</v>
      </c>
      <c r="N375" s="17">
        <v>0.25900000000000001</v>
      </c>
      <c r="O375" s="17">
        <v>1.2</v>
      </c>
      <c r="P375" s="17">
        <v>2.1</v>
      </c>
      <c r="Q375" s="17">
        <v>0.56699999999999995</v>
      </c>
      <c r="R375" s="17">
        <v>0.51100000000000001</v>
      </c>
      <c r="S375" s="17">
        <v>0.8</v>
      </c>
      <c r="T375" s="17">
        <v>0.9</v>
      </c>
      <c r="U375" s="17">
        <v>0.875</v>
      </c>
      <c r="V375" s="17">
        <v>1</v>
      </c>
      <c r="W375" s="17">
        <v>3</v>
      </c>
      <c r="X375" s="17">
        <v>4</v>
      </c>
      <c r="Y375" s="17">
        <v>1.4</v>
      </c>
      <c r="Z375" s="17">
        <v>0.4</v>
      </c>
      <c r="AA375" s="17">
        <v>0.6</v>
      </c>
      <c r="AB375" s="17">
        <v>0.6</v>
      </c>
      <c r="AC375" s="17">
        <v>1.6</v>
      </c>
      <c r="AD375" s="17">
        <v>3.9</v>
      </c>
      <c r="AE375" s="17"/>
      <c r="AG375" s="8" t="str">
        <v>Cody Williams</v>
      </c>
      <c r="AH375" s="8" t="str">
        <v>UTA</v>
      </c>
    </row>
    <row r="376" spans="1:34" ht="17" x14ac:dyDescent="0.2">
      <c r="A376" s="1">
        <v>364</v>
      </c>
      <c r="B376" s="18" t="s">
        <v>200</v>
      </c>
      <c r="C376" s="17">
        <v>28</v>
      </c>
      <c r="D376" s="18" t="s">
        <v>98</v>
      </c>
      <c r="E376" s="17" t="s">
        <v>46</v>
      </c>
      <c r="F376" s="17">
        <v>26</v>
      </c>
      <c r="G376" s="17">
        <v>0</v>
      </c>
      <c r="H376" s="17">
        <v>10.5</v>
      </c>
      <c r="I376" s="17">
        <v>1.3</v>
      </c>
      <c r="J376" s="17">
        <v>3</v>
      </c>
      <c r="K376" s="17">
        <v>0.42299999999999999</v>
      </c>
      <c r="L376" s="17">
        <v>0.7</v>
      </c>
      <c r="M376" s="17">
        <v>1.8</v>
      </c>
      <c r="N376" s="17">
        <v>0.375</v>
      </c>
      <c r="O376" s="17">
        <v>0.6</v>
      </c>
      <c r="P376" s="17">
        <v>1.2</v>
      </c>
      <c r="Q376" s="17">
        <v>0.5</v>
      </c>
      <c r="R376" s="17">
        <v>0.53800000000000003</v>
      </c>
      <c r="S376" s="17">
        <v>0.6</v>
      </c>
      <c r="T376" s="17">
        <v>0.7</v>
      </c>
      <c r="U376" s="17">
        <v>0.88200000000000001</v>
      </c>
      <c r="V376" s="17">
        <v>0.2</v>
      </c>
      <c r="W376" s="17">
        <v>0.8</v>
      </c>
      <c r="X376" s="17">
        <v>0.9</v>
      </c>
      <c r="Y376" s="17">
        <v>1.2</v>
      </c>
      <c r="Z376" s="17">
        <v>0.3</v>
      </c>
      <c r="AA376" s="17">
        <v>0.1</v>
      </c>
      <c r="AB376" s="17">
        <v>0.3</v>
      </c>
      <c r="AC376" s="17">
        <v>0.9</v>
      </c>
      <c r="AD376" s="17">
        <v>3.8</v>
      </c>
      <c r="AE376" s="17"/>
      <c r="AG376" s="8" t="str">
        <v>Bol Bol</v>
      </c>
      <c r="AH376" s="8" t="str">
        <v>PHO</v>
      </c>
    </row>
    <row r="377" spans="1:34" ht="17" x14ac:dyDescent="0.2">
      <c r="A377" s="1">
        <v>365</v>
      </c>
      <c r="B377" s="18" t="s">
        <v>562</v>
      </c>
      <c r="C377" s="17">
        <v>22</v>
      </c>
      <c r="D377" s="18" t="s">
        <v>42</v>
      </c>
      <c r="E377" s="17" t="s">
        <v>27</v>
      </c>
      <c r="F377" s="17">
        <v>29</v>
      </c>
      <c r="G377" s="17">
        <v>2</v>
      </c>
      <c r="H377" s="17">
        <v>16</v>
      </c>
      <c r="I377" s="17">
        <v>1.7</v>
      </c>
      <c r="J377" s="17">
        <v>3</v>
      </c>
      <c r="K377" s="17">
        <v>0.57499999999999996</v>
      </c>
      <c r="L377" s="17">
        <v>0</v>
      </c>
      <c r="M377" s="17">
        <v>0</v>
      </c>
      <c r="N377" s="17">
        <v>0</v>
      </c>
      <c r="O377" s="17">
        <v>1.7</v>
      </c>
      <c r="P377" s="17">
        <v>3</v>
      </c>
      <c r="Q377" s="17">
        <v>0.58099999999999996</v>
      </c>
      <c r="R377" s="17">
        <v>0.57499999999999996</v>
      </c>
      <c r="S377" s="17">
        <v>0.4</v>
      </c>
      <c r="T377" s="17">
        <v>0.7</v>
      </c>
      <c r="U377" s="17">
        <v>0.57899999999999996</v>
      </c>
      <c r="V377" s="17">
        <v>1</v>
      </c>
      <c r="W377" s="17">
        <v>2.7</v>
      </c>
      <c r="X377" s="17">
        <v>3.8</v>
      </c>
      <c r="Y377" s="17">
        <v>1</v>
      </c>
      <c r="Z377" s="17">
        <v>0.4</v>
      </c>
      <c r="AA377" s="17">
        <v>0.3</v>
      </c>
      <c r="AB377" s="17">
        <v>0.6</v>
      </c>
      <c r="AC377" s="17">
        <v>1.7</v>
      </c>
      <c r="AD377" s="17">
        <v>3.8</v>
      </c>
      <c r="AE377" s="17"/>
      <c r="AG377" s="8" t="str">
        <v>Wendell Moore Jr.</v>
      </c>
      <c r="AH377" s="8" t="str">
        <v>DET</v>
      </c>
    </row>
    <row r="378" spans="1:34" ht="17" x14ac:dyDescent="0.2">
      <c r="A378" s="1">
        <v>366</v>
      </c>
      <c r="B378" s="18" t="s">
        <v>383</v>
      </c>
      <c r="C378" s="17">
        <v>29</v>
      </c>
      <c r="D378" s="18" t="s">
        <v>98</v>
      </c>
      <c r="E378" s="17" t="s">
        <v>54</v>
      </c>
      <c r="F378" s="17">
        <v>20</v>
      </c>
      <c r="G378" s="17">
        <v>0</v>
      </c>
      <c r="H378" s="17">
        <v>10.3</v>
      </c>
      <c r="I378" s="17">
        <v>1.4</v>
      </c>
      <c r="J378" s="17">
        <v>2.8</v>
      </c>
      <c r="K378" s="17">
        <v>0.48199999999999998</v>
      </c>
      <c r="L378" s="17">
        <v>0.3</v>
      </c>
      <c r="M378" s="17">
        <v>0.8</v>
      </c>
      <c r="N378" s="17">
        <v>0.375</v>
      </c>
      <c r="O378" s="17">
        <v>1.1000000000000001</v>
      </c>
      <c r="P378" s="17">
        <v>2</v>
      </c>
      <c r="Q378" s="17">
        <v>0.52500000000000002</v>
      </c>
      <c r="R378" s="17">
        <v>0.53600000000000003</v>
      </c>
      <c r="S378" s="17">
        <v>0.8</v>
      </c>
      <c r="T378" s="17">
        <v>1.3</v>
      </c>
      <c r="U378" s="17">
        <v>0.64</v>
      </c>
      <c r="V378" s="17">
        <v>0.8</v>
      </c>
      <c r="W378" s="17">
        <v>1.5</v>
      </c>
      <c r="X378" s="17">
        <v>2.2999999999999998</v>
      </c>
      <c r="Y378" s="17">
        <v>0.7</v>
      </c>
      <c r="Z378" s="17">
        <v>0.6</v>
      </c>
      <c r="AA378" s="17">
        <v>0.1</v>
      </c>
      <c r="AB378" s="17">
        <v>0.4</v>
      </c>
      <c r="AC378" s="17">
        <v>1.9</v>
      </c>
      <c r="AD378" s="17">
        <v>3.8</v>
      </c>
      <c r="AE378" s="17"/>
      <c r="AG378" s="8" t="str">
        <v>Nicolas Batum</v>
      </c>
      <c r="AH378" s="8" t="str">
        <v>LAC</v>
      </c>
    </row>
    <row r="379" spans="1:34" ht="17" x14ac:dyDescent="0.2">
      <c r="A379" s="1">
        <v>367</v>
      </c>
      <c r="B379" s="18" t="s">
        <v>570</v>
      </c>
      <c r="C379" s="17">
        <v>20</v>
      </c>
      <c r="D379" s="18" t="s">
        <v>40</v>
      </c>
      <c r="E379" s="17" t="s">
        <v>46</v>
      </c>
      <c r="F379" s="17">
        <v>15</v>
      </c>
      <c r="G379" s="17">
        <v>0</v>
      </c>
      <c r="H379" s="17">
        <v>8.5</v>
      </c>
      <c r="I379" s="17">
        <v>1.5</v>
      </c>
      <c r="J379" s="17">
        <v>3.4</v>
      </c>
      <c r="K379" s="17">
        <v>0.45100000000000001</v>
      </c>
      <c r="L379" s="17">
        <v>0.6</v>
      </c>
      <c r="M379" s="17">
        <v>1.4</v>
      </c>
      <c r="N379" s="17">
        <v>0.42899999999999999</v>
      </c>
      <c r="O379" s="17">
        <v>0.9</v>
      </c>
      <c r="P379" s="17">
        <v>2</v>
      </c>
      <c r="Q379" s="17">
        <v>0.46700000000000003</v>
      </c>
      <c r="R379" s="17">
        <v>0.53900000000000003</v>
      </c>
      <c r="S379" s="17">
        <v>0</v>
      </c>
      <c r="T379" s="17">
        <v>0</v>
      </c>
      <c r="U379" s="17"/>
      <c r="V379" s="17">
        <v>0.1</v>
      </c>
      <c r="W379" s="17">
        <v>0.7</v>
      </c>
      <c r="X379" s="17">
        <v>0.7</v>
      </c>
      <c r="Y379" s="17">
        <v>1.7</v>
      </c>
      <c r="Z379" s="17">
        <v>0.1</v>
      </c>
      <c r="AA379" s="17">
        <v>0</v>
      </c>
      <c r="AB379" s="17">
        <v>1.1000000000000001</v>
      </c>
      <c r="AC379" s="17">
        <v>0.3</v>
      </c>
      <c r="AD379" s="17">
        <v>3.7</v>
      </c>
      <c r="AE379" s="17"/>
      <c r="AG379" s="8" t="str">
        <v>Jevon Carter</v>
      </c>
      <c r="AH379" s="8" t="str">
        <v>CHI</v>
      </c>
    </row>
    <row r="380" spans="1:34" ht="17" x14ac:dyDescent="0.2">
      <c r="A380" s="1">
        <v>368</v>
      </c>
      <c r="B380" s="18" t="s">
        <v>417</v>
      </c>
      <c r="C380" s="17">
        <v>21</v>
      </c>
      <c r="D380" s="18" t="s">
        <v>70</v>
      </c>
      <c r="E380" s="17" t="s">
        <v>35</v>
      </c>
      <c r="F380" s="17">
        <v>24</v>
      </c>
      <c r="G380" s="17">
        <v>0</v>
      </c>
      <c r="H380" s="17">
        <v>10.9</v>
      </c>
      <c r="I380" s="17">
        <v>1.5</v>
      </c>
      <c r="J380" s="17">
        <v>3.2</v>
      </c>
      <c r="K380" s="17">
        <v>0.46100000000000002</v>
      </c>
      <c r="L380" s="17">
        <v>0.2</v>
      </c>
      <c r="M380" s="17">
        <v>0.8</v>
      </c>
      <c r="N380" s="17">
        <v>0.2</v>
      </c>
      <c r="O380" s="17">
        <v>1.3</v>
      </c>
      <c r="P380" s="17">
        <v>2.2999999999999998</v>
      </c>
      <c r="Q380" s="17">
        <v>0.55400000000000005</v>
      </c>
      <c r="R380" s="17">
        <v>0.48699999999999999</v>
      </c>
      <c r="S380" s="17">
        <v>0.6</v>
      </c>
      <c r="T380" s="17">
        <v>0.9</v>
      </c>
      <c r="U380" s="17">
        <v>0.71399999999999997</v>
      </c>
      <c r="V380" s="17">
        <v>0.3</v>
      </c>
      <c r="W380" s="17">
        <v>0.6</v>
      </c>
      <c r="X380" s="17">
        <v>0.9</v>
      </c>
      <c r="Y380" s="17">
        <v>1.9</v>
      </c>
      <c r="Z380" s="17">
        <v>0.4</v>
      </c>
      <c r="AA380" s="17">
        <v>0.1</v>
      </c>
      <c r="AB380" s="17">
        <v>1</v>
      </c>
      <c r="AC380" s="17">
        <v>0.6</v>
      </c>
      <c r="AD380" s="17">
        <v>3.7</v>
      </c>
      <c r="AE380" s="17"/>
      <c r="AG380" s="8" t="str">
        <v>Isaiah Collier</v>
      </c>
      <c r="AH380" s="8" t="str">
        <v>UTA</v>
      </c>
    </row>
    <row r="381" spans="1:34" ht="17" x14ac:dyDescent="0.2">
      <c r="A381" s="1">
        <v>369</v>
      </c>
      <c r="B381" s="18" t="s">
        <v>218</v>
      </c>
      <c r="C381" s="17">
        <v>23</v>
      </c>
      <c r="D381" s="18" t="s">
        <v>50</v>
      </c>
      <c r="E381" s="17" t="s">
        <v>35</v>
      </c>
      <c r="F381" s="17">
        <v>34</v>
      </c>
      <c r="G381" s="17">
        <v>26</v>
      </c>
      <c r="H381" s="17">
        <v>17.7</v>
      </c>
      <c r="I381" s="17">
        <v>1.4</v>
      </c>
      <c r="J381" s="17">
        <v>3.4</v>
      </c>
      <c r="K381" s="17">
        <v>0.41699999999999998</v>
      </c>
      <c r="L381" s="17">
        <v>0.6</v>
      </c>
      <c r="M381" s="17">
        <v>1.6</v>
      </c>
      <c r="N381" s="17">
        <v>0.35799999999999998</v>
      </c>
      <c r="O381" s="17">
        <v>0.9</v>
      </c>
      <c r="P381" s="17">
        <v>1.8</v>
      </c>
      <c r="Q381" s="17">
        <v>0.46800000000000003</v>
      </c>
      <c r="R381" s="17">
        <v>0.5</v>
      </c>
      <c r="S381" s="17">
        <v>0.2</v>
      </c>
      <c r="T381" s="17">
        <v>0.4</v>
      </c>
      <c r="U381" s="17">
        <v>0.53800000000000003</v>
      </c>
      <c r="V381" s="17">
        <v>1</v>
      </c>
      <c r="W381" s="17">
        <v>2.1</v>
      </c>
      <c r="X381" s="17">
        <v>3.1</v>
      </c>
      <c r="Y381" s="17">
        <v>1.5</v>
      </c>
      <c r="Z381" s="17">
        <v>0.6</v>
      </c>
      <c r="AA381" s="17">
        <v>0.3</v>
      </c>
      <c r="AB381" s="17">
        <v>1.1000000000000001</v>
      </c>
      <c r="AC381" s="17">
        <v>2.2000000000000002</v>
      </c>
      <c r="AD381" s="17">
        <v>3.6</v>
      </c>
      <c r="AE381" s="17"/>
      <c r="AG381" s="8" t="str">
        <v>Moussa Diabaté</v>
      </c>
      <c r="AH381" s="8" t="str">
        <v>CHO</v>
      </c>
    </row>
    <row r="382" spans="1:34" ht="17" x14ac:dyDescent="0.2">
      <c r="A382" s="1">
        <v>370</v>
      </c>
      <c r="B382" s="18" t="s">
        <v>580</v>
      </c>
      <c r="C382" s="17">
        <v>24</v>
      </c>
      <c r="D382" s="18" t="s">
        <v>72</v>
      </c>
      <c r="E382" s="17" t="s">
        <v>27</v>
      </c>
      <c r="F382" s="17">
        <v>21</v>
      </c>
      <c r="G382" s="17">
        <v>0</v>
      </c>
      <c r="H382" s="17">
        <v>8.1999999999999993</v>
      </c>
      <c r="I382" s="17">
        <v>1.5</v>
      </c>
      <c r="J382" s="17">
        <v>2.2999999999999998</v>
      </c>
      <c r="K382" s="17">
        <v>0.66700000000000004</v>
      </c>
      <c r="L382" s="17">
        <v>0</v>
      </c>
      <c r="M382" s="17">
        <v>0.2</v>
      </c>
      <c r="N382" s="17">
        <v>0.25</v>
      </c>
      <c r="O382" s="17">
        <v>1.5</v>
      </c>
      <c r="P382" s="17">
        <v>2.1</v>
      </c>
      <c r="Q382" s="17">
        <v>0.70499999999999996</v>
      </c>
      <c r="R382" s="17">
        <v>0.67700000000000005</v>
      </c>
      <c r="S382" s="17">
        <v>0.5</v>
      </c>
      <c r="T382" s="17">
        <v>1</v>
      </c>
      <c r="U382" s="17">
        <v>0.55000000000000004</v>
      </c>
      <c r="V382" s="17">
        <v>0.5</v>
      </c>
      <c r="W382" s="17">
        <v>1</v>
      </c>
      <c r="X382" s="17">
        <v>1.5</v>
      </c>
      <c r="Y382" s="17">
        <v>0.2</v>
      </c>
      <c r="Z382" s="17">
        <v>0.1</v>
      </c>
      <c r="AA382" s="17">
        <v>0.4</v>
      </c>
      <c r="AB382" s="17">
        <v>0.5</v>
      </c>
      <c r="AC382" s="17">
        <v>1</v>
      </c>
      <c r="AD382" s="17">
        <v>3.6</v>
      </c>
      <c r="AE382" s="17"/>
      <c r="AG382" s="8" t="str">
        <v>Justin Edwards</v>
      </c>
      <c r="AH382" s="8" t="str">
        <v>PHI</v>
      </c>
    </row>
    <row r="383" spans="1:34" ht="17" x14ac:dyDescent="0.2">
      <c r="A383" s="1">
        <v>371</v>
      </c>
      <c r="B383" s="18" t="s">
        <v>237</v>
      </c>
      <c r="C383" s="17">
        <v>25</v>
      </c>
      <c r="D383" s="18" t="s">
        <v>70</v>
      </c>
      <c r="E383" s="17" t="s">
        <v>46</v>
      </c>
      <c r="F383" s="17">
        <v>19</v>
      </c>
      <c r="G383" s="17">
        <v>0</v>
      </c>
      <c r="H383" s="17">
        <v>16.5</v>
      </c>
      <c r="I383" s="17">
        <v>1.3</v>
      </c>
      <c r="J383" s="17">
        <v>2.9</v>
      </c>
      <c r="K383" s="17">
        <v>0.45500000000000002</v>
      </c>
      <c r="L383" s="17">
        <v>0.2</v>
      </c>
      <c r="M383" s="17">
        <v>0.9</v>
      </c>
      <c r="N383" s="17">
        <v>0.222</v>
      </c>
      <c r="O383" s="17">
        <v>1.1000000000000001</v>
      </c>
      <c r="P383" s="17">
        <v>1.9</v>
      </c>
      <c r="Q383" s="17">
        <v>0.56799999999999995</v>
      </c>
      <c r="R383" s="17">
        <v>0.49099999999999999</v>
      </c>
      <c r="S383" s="17">
        <v>0.7</v>
      </c>
      <c r="T383" s="17">
        <v>0.9</v>
      </c>
      <c r="U383" s="17">
        <v>0.77800000000000002</v>
      </c>
      <c r="V383" s="17">
        <v>0.6</v>
      </c>
      <c r="W383" s="17">
        <v>1.7</v>
      </c>
      <c r="X383" s="17">
        <v>2.2999999999999998</v>
      </c>
      <c r="Y383" s="17">
        <v>3.9</v>
      </c>
      <c r="Z383" s="17">
        <v>0.7</v>
      </c>
      <c r="AA383" s="17">
        <v>0.2</v>
      </c>
      <c r="AB383" s="17">
        <v>0.7</v>
      </c>
      <c r="AC383" s="17">
        <v>1.3</v>
      </c>
      <c r="AD383" s="17">
        <v>3.6</v>
      </c>
      <c r="AE383" s="17"/>
      <c r="AG383" s="8" t="str">
        <v>Bruno Fernando</v>
      </c>
      <c r="AH383" s="8" t="str">
        <v>TOR</v>
      </c>
    </row>
    <row r="384" spans="1:34" ht="17" x14ac:dyDescent="0.2">
      <c r="A384" s="1">
        <v>372</v>
      </c>
      <c r="B384" s="18" t="s">
        <v>281</v>
      </c>
      <c r="C384" s="17">
        <v>33</v>
      </c>
      <c r="D384" s="18" t="s">
        <v>72</v>
      </c>
      <c r="E384" s="17" t="s">
        <v>54</v>
      </c>
      <c r="F384" s="17">
        <v>25</v>
      </c>
      <c r="G384" s="17">
        <v>3</v>
      </c>
      <c r="H384" s="17">
        <v>8.6999999999999993</v>
      </c>
      <c r="I384" s="17">
        <v>1.2</v>
      </c>
      <c r="J384" s="17">
        <v>2.9</v>
      </c>
      <c r="K384" s="17">
        <v>0.42499999999999999</v>
      </c>
      <c r="L384" s="17">
        <v>1</v>
      </c>
      <c r="M384" s="17">
        <v>2.5</v>
      </c>
      <c r="N384" s="17">
        <v>0.41299999999999998</v>
      </c>
      <c r="O384" s="17">
        <v>0.2</v>
      </c>
      <c r="P384" s="17">
        <v>0.4</v>
      </c>
      <c r="Q384" s="17">
        <v>0.5</v>
      </c>
      <c r="R384" s="17">
        <v>0.60299999999999998</v>
      </c>
      <c r="S384" s="17">
        <v>0.1</v>
      </c>
      <c r="T384" s="17">
        <v>0.2</v>
      </c>
      <c r="U384" s="17">
        <v>0.6</v>
      </c>
      <c r="V384" s="17">
        <v>0.1</v>
      </c>
      <c r="W384" s="17">
        <v>0.6</v>
      </c>
      <c r="X384" s="17">
        <v>0.6</v>
      </c>
      <c r="Y384" s="17">
        <v>0.2</v>
      </c>
      <c r="Z384" s="17">
        <v>0.2</v>
      </c>
      <c r="AA384" s="17">
        <v>0</v>
      </c>
      <c r="AB384" s="17">
        <v>0.2</v>
      </c>
      <c r="AC384" s="17">
        <v>0.9</v>
      </c>
      <c r="AD384" s="17">
        <v>3.6</v>
      </c>
      <c r="AE384" s="17"/>
      <c r="AG384" s="8" t="str">
        <v>Jeff Green</v>
      </c>
      <c r="AH384" s="8" t="str">
        <v>HOU</v>
      </c>
    </row>
    <row r="385" spans="1:34" ht="17" x14ac:dyDescent="0.2">
      <c r="A385" s="1">
        <v>373</v>
      </c>
      <c r="B385" s="18" t="s">
        <v>560</v>
      </c>
      <c r="C385" s="17">
        <v>20</v>
      </c>
      <c r="D385" s="18" t="s">
        <v>36</v>
      </c>
      <c r="E385" s="17" t="s">
        <v>35</v>
      </c>
      <c r="F385" s="17">
        <v>21</v>
      </c>
      <c r="G385" s="17">
        <v>8</v>
      </c>
      <c r="H385" s="17">
        <v>19.899999999999999</v>
      </c>
      <c r="I385" s="17">
        <v>1.2</v>
      </c>
      <c r="J385" s="17">
        <v>4.0999999999999996</v>
      </c>
      <c r="K385" s="17">
        <v>0.30199999999999999</v>
      </c>
      <c r="L385" s="17">
        <v>0.5</v>
      </c>
      <c r="M385" s="17">
        <v>2.1</v>
      </c>
      <c r="N385" s="17">
        <v>0.24399999999999999</v>
      </c>
      <c r="O385" s="17">
        <v>0.7</v>
      </c>
      <c r="P385" s="17">
        <v>2</v>
      </c>
      <c r="Q385" s="17">
        <v>0.36599999999999999</v>
      </c>
      <c r="R385" s="17">
        <v>0.36599999999999999</v>
      </c>
      <c r="S385" s="17">
        <v>0.6</v>
      </c>
      <c r="T385" s="17">
        <v>0.9</v>
      </c>
      <c r="U385" s="17">
        <v>0.72199999999999998</v>
      </c>
      <c r="V385" s="17">
        <v>0.5</v>
      </c>
      <c r="W385" s="17">
        <v>1.8</v>
      </c>
      <c r="X385" s="17">
        <v>2.2000000000000002</v>
      </c>
      <c r="Y385" s="17">
        <v>1.2</v>
      </c>
      <c r="Z385" s="17">
        <v>0.5</v>
      </c>
      <c r="AA385" s="17">
        <v>0.4</v>
      </c>
      <c r="AB385" s="17">
        <v>0.8</v>
      </c>
      <c r="AC385" s="17">
        <v>1.8</v>
      </c>
      <c r="AD385" s="17">
        <v>3.6</v>
      </c>
      <c r="AE385" s="17"/>
      <c r="AG385" s="8" t="str">
        <v>Cam Reddish</v>
      </c>
      <c r="AH385" s="8" t="str">
        <v>LAL</v>
      </c>
    </row>
    <row r="386" spans="1:34" ht="17" x14ac:dyDescent="0.2">
      <c r="A386" s="1">
        <v>374</v>
      </c>
      <c r="B386" s="18" t="s">
        <v>87</v>
      </c>
      <c r="C386" s="17">
        <v>25</v>
      </c>
      <c r="D386" s="18" t="s">
        <v>42</v>
      </c>
      <c r="E386" s="17" t="s">
        <v>27</v>
      </c>
      <c r="F386" s="17">
        <v>8</v>
      </c>
      <c r="G386" s="17">
        <v>0</v>
      </c>
      <c r="H386" s="17">
        <v>6.1</v>
      </c>
      <c r="I386" s="17">
        <v>1.4</v>
      </c>
      <c r="J386" s="17">
        <v>2.4</v>
      </c>
      <c r="K386" s="17">
        <v>0.57899999999999996</v>
      </c>
      <c r="L386" s="17">
        <v>0.3</v>
      </c>
      <c r="M386" s="17">
        <v>1</v>
      </c>
      <c r="N386" s="17">
        <v>0.25</v>
      </c>
      <c r="O386" s="17">
        <v>1.1000000000000001</v>
      </c>
      <c r="P386" s="17">
        <v>1.4</v>
      </c>
      <c r="Q386" s="17">
        <v>0.81799999999999995</v>
      </c>
      <c r="R386" s="17">
        <v>0.63200000000000001</v>
      </c>
      <c r="S386" s="17">
        <v>0.5</v>
      </c>
      <c r="T386" s="17">
        <v>0.8</v>
      </c>
      <c r="U386" s="17">
        <v>0.66700000000000004</v>
      </c>
      <c r="V386" s="17">
        <v>0.5</v>
      </c>
      <c r="W386" s="17">
        <v>1</v>
      </c>
      <c r="X386" s="17">
        <v>1.5</v>
      </c>
      <c r="Y386" s="17">
        <v>0.1</v>
      </c>
      <c r="Z386" s="17">
        <v>0</v>
      </c>
      <c r="AA386" s="17">
        <v>0.3</v>
      </c>
      <c r="AB386" s="17">
        <v>0.4</v>
      </c>
      <c r="AC386" s="17">
        <v>0.1</v>
      </c>
      <c r="AD386" s="17">
        <v>3.5</v>
      </c>
      <c r="AE386" s="17"/>
      <c r="AG386" s="8" t="str">
        <v>Dario Šarić</v>
      </c>
      <c r="AH386" s="8" t="str">
        <v>DEN</v>
      </c>
    </row>
    <row r="387" spans="1:34" ht="17" x14ac:dyDescent="0.2">
      <c r="A387" s="1">
        <v>375</v>
      </c>
      <c r="B387" s="18" t="s">
        <v>297</v>
      </c>
      <c r="C387" s="17">
        <v>23</v>
      </c>
      <c r="D387" s="18" t="s">
        <v>60</v>
      </c>
      <c r="E387" s="17" t="s">
        <v>35</v>
      </c>
      <c r="F387" s="17">
        <v>17</v>
      </c>
      <c r="G387" s="17">
        <v>1</v>
      </c>
      <c r="H387" s="17">
        <v>12.4</v>
      </c>
      <c r="I387" s="17">
        <v>1.3</v>
      </c>
      <c r="J387" s="17">
        <v>2.8</v>
      </c>
      <c r="K387" s="17">
        <v>0.45800000000000002</v>
      </c>
      <c r="L387" s="17">
        <v>0.2</v>
      </c>
      <c r="M387" s="17">
        <v>0.8</v>
      </c>
      <c r="N387" s="17">
        <v>0.23100000000000001</v>
      </c>
      <c r="O387" s="17">
        <v>1.1000000000000001</v>
      </c>
      <c r="P387" s="17">
        <v>2.1</v>
      </c>
      <c r="Q387" s="17">
        <v>0.54300000000000004</v>
      </c>
      <c r="R387" s="17">
        <v>0.49</v>
      </c>
      <c r="S387" s="17">
        <v>0.8</v>
      </c>
      <c r="T387" s="17">
        <v>0.8</v>
      </c>
      <c r="U387" s="17">
        <v>0.92900000000000005</v>
      </c>
      <c r="V387" s="17">
        <v>0.6</v>
      </c>
      <c r="W387" s="17">
        <v>1.9</v>
      </c>
      <c r="X387" s="17">
        <v>2.6</v>
      </c>
      <c r="Y387" s="17">
        <v>1.3</v>
      </c>
      <c r="Z387" s="17">
        <v>0.6</v>
      </c>
      <c r="AA387" s="17">
        <v>0.2</v>
      </c>
      <c r="AB387" s="17">
        <v>0.5</v>
      </c>
      <c r="AC387" s="17">
        <v>0.9</v>
      </c>
      <c r="AD387" s="17">
        <v>3.5</v>
      </c>
      <c r="AE387" s="17"/>
      <c r="AG387" s="8" t="str">
        <v>Landry Shamet</v>
      </c>
      <c r="AH387" s="8" t="str">
        <v>NYK</v>
      </c>
    </row>
    <row r="388" spans="1:34" ht="17" x14ac:dyDescent="0.2">
      <c r="A388" s="1">
        <v>376</v>
      </c>
      <c r="B388" s="18" t="s">
        <v>76</v>
      </c>
      <c r="C388" s="17">
        <v>36</v>
      </c>
      <c r="D388" s="18" t="s">
        <v>77</v>
      </c>
      <c r="E388" s="17" t="s">
        <v>27</v>
      </c>
      <c r="F388" s="17">
        <v>37</v>
      </c>
      <c r="G388" s="17">
        <v>1</v>
      </c>
      <c r="H388" s="17">
        <v>17.7</v>
      </c>
      <c r="I388" s="17">
        <v>1.1000000000000001</v>
      </c>
      <c r="J388" s="17">
        <v>2.9</v>
      </c>
      <c r="K388" s="17">
        <v>0.39300000000000002</v>
      </c>
      <c r="L388" s="17">
        <v>0.9</v>
      </c>
      <c r="M388" s="17">
        <v>2.4</v>
      </c>
      <c r="N388" s="17">
        <v>0.379</v>
      </c>
      <c r="O388" s="17">
        <v>0.2</v>
      </c>
      <c r="P388" s="17">
        <v>0.5</v>
      </c>
      <c r="Q388" s="17">
        <v>0.45</v>
      </c>
      <c r="R388" s="17">
        <v>0.54700000000000004</v>
      </c>
      <c r="S388" s="17">
        <v>0.3</v>
      </c>
      <c r="T388" s="17">
        <v>0.4</v>
      </c>
      <c r="U388" s="17">
        <v>0.76900000000000002</v>
      </c>
      <c r="V388" s="17">
        <v>0.6</v>
      </c>
      <c r="W388" s="17">
        <v>2.1</v>
      </c>
      <c r="X388" s="17">
        <v>2.7</v>
      </c>
      <c r="Y388" s="17">
        <v>1.5</v>
      </c>
      <c r="Z388" s="17">
        <v>0.6</v>
      </c>
      <c r="AA388" s="17">
        <v>0.4</v>
      </c>
      <c r="AB388" s="17">
        <v>0.5</v>
      </c>
      <c r="AC388" s="17">
        <v>1.5</v>
      </c>
      <c r="AD388" s="17">
        <v>3.4</v>
      </c>
      <c r="AE388" s="17"/>
      <c r="AG388" s="8" t="str">
        <v>Jabari Walker</v>
      </c>
      <c r="AH388" s="8" t="str">
        <v>POR</v>
      </c>
    </row>
    <row r="389" spans="1:34" ht="17" x14ac:dyDescent="0.2">
      <c r="A389" s="1">
        <v>377</v>
      </c>
      <c r="B389" s="18" t="s">
        <v>112</v>
      </c>
      <c r="C389" s="17">
        <v>29</v>
      </c>
      <c r="D389" s="18" t="s">
        <v>84</v>
      </c>
      <c r="E389" s="17" t="s">
        <v>46</v>
      </c>
      <c r="F389" s="17">
        <v>17</v>
      </c>
      <c r="G389" s="17">
        <v>0</v>
      </c>
      <c r="H389" s="17">
        <v>6.7</v>
      </c>
      <c r="I389" s="17">
        <v>1.2</v>
      </c>
      <c r="J389" s="17">
        <v>2.6</v>
      </c>
      <c r="K389" s="17">
        <v>0.44400000000000001</v>
      </c>
      <c r="L389" s="17">
        <v>0.8</v>
      </c>
      <c r="M389" s="17">
        <v>1.8</v>
      </c>
      <c r="N389" s="17">
        <v>0.41899999999999998</v>
      </c>
      <c r="O389" s="17">
        <v>0.4</v>
      </c>
      <c r="P389" s="17">
        <v>0.8</v>
      </c>
      <c r="Q389" s="17">
        <v>0.5</v>
      </c>
      <c r="R389" s="17">
        <v>0.58899999999999997</v>
      </c>
      <c r="S389" s="17">
        <v>0.2</v>
      </c>
      <c r="T389" s="17">
        <v>0.4</v>
      </c>
      <c r="U389" s="17">
        <v>0.66700000000000004</v>
      </c>
      <c r="V389" s="17">
        <v>0.1</v>
      </c>
      <c r="W389" s="17">
        <v>0.7</v>
      </c>
      <c r="X389" s="17">
        <v>0.8</v>
      </c>
      <c r="Y389" s="17">
        <v>0.8</v>
      </c>
      <c r="Z389" s="17">
        <v>0.3</v>
      </c>
      <c r="AA389" s="17">
        <v>0</v>
      </c>
      <c r="AB389" s="17">
        <v>0.4</v>
      </c>
      <c r="AC389" s="17">
        <v>0.2</v>
      </c>
      <c r="AD389" s="17">
        <v>3.4</v>
      </c>
      <c r="AE389" s="17"/>
      <c r="AG389" s="8" t="str">
        <v>Brandon Williams</v>
      </c>
      <c r="AH389" s="8" t="str">
        <v>DAL</v>
      </c>
    </row>
    <row r="390" spans="1:34" ht="17" x14ac:dyDescent="0.2">
      <c r="A390" s="1">
        <v>378</v>
      </c>
      <c r="B390" s="18" t="s">
        <v>557</v>
      </c>
      <c r="C390" s="17">
        <v>20</v>
      </c>
      <c r="D390" s="18" t="s">
        <v>36</v>
      </c>
      <c r="E390" s="17" t="s">
        <v>46</v>
      </c>
      <c r="F390" s="17">
        <v>28</v>
      </c>
      <c r="G390" s="17">
        <v>5</v>
      </c>
      <c r="H390" s="17">
        <v>18.8</v>
      </c>
      <c r="I390" s="17">
        <v>1.4</v>
      </c>
      <c r="J390" s="17">
        <v>4.3</v>
      </c>
      <c r="K390" s="17">
        <v>0.31900000000000001</v>
      </c>
      <c r="L390" s="17">
        <v>0.3</v>
      </c>
      <c r="M390" s="17">
        <v>1.7</v>
      </c>
      <c r="N390" s="17">
        <v>0.14599999999999999</v>
      </c>
      <c r="O390" s="17">
        <v>1.1000000000000001</v>
      </c>
      <c r="P390" s="17">
        <v>2.5</v>
      </c>
      <c r="Q390" s="17">
        <v>0.437</v>
      </c>
      <c r="R390" s="17">
        <v>0.34899999999999998</v>
      </c>
      <c r="S390" s="17">
        <v>0.4</v>
      </c>
      <c r="T390" s="17">
        <v>0.8</v>
      </c>
      <c r="U390" s="17">
        <v>0.52200000000000002</v>
      </c>
      <c r="V390" s="17">
        <v>0.3</v>
      </c>
      <c r="W390" s="17">
        <v>2.2000000000000002</v>
      </c>
      <c r="X390" s="17">
        <v>2.4</v>
      </c>
      <c r="Y390" s="17">
        <v>4</v>
      </c>
      <c r="Z390" s="17">
        <v>0.8</v>
      </c>
      <c r="AA390" s="17">
        <v>0.2</v>
      </c>
      <c r="AB390" s="17">
        <v>2.4</v>
      </c>
      <c r="AC390" s="17">
        <v>1.9</v>
      </c>
      <c r="AD390" s="17">
        <v>3.4</v>
      </c>
      <c r="AE390" s="17"/>
      <c r="AG390" s="8" t="str">
        <v>Kobe Brown</v>
      </c>
      <c r="AH390" s="8" t="str">
        <v>LAC</v>
      </c>
    </row>
    <row r="391" spans="1:34" ht="17" x14ac:dyDescent="0.2">
      <c r="A391" s="1">
        <v>379</v>
      </c>
      <c r="B391" s="18" t="s">
        <v>140</v>
      </c>
      <c r="C391" s="17">
        <v>23</v>
      </c>
      <c r="D391" s="18" t="s">
        <v>61</v>
      </c>
      <c r="E391" s="17" t="s">
        <v>29</v>
      </c>
      <c r="F391" s="17">
        <v>30</v>
      </c>
      <c r="G391" s="17">
        <v>4</v>
      </c>
      <c r="H391" s="17">
        <v>17.899999999999999</v>
      </c>
      <c r="I391" s="17">
        <v>1.5</v>
      </c>
      <c r="J391" s="17">
        <v>2.5</v>
      </c>
      <c r="K391" s="17">
        <v>0.60499999999999998</v>
      </c>
      <c r="L391" s="17">
        <v>0</v>
      </c>
      <c r="M391" s="17">
        <v>0</v>
      </c>
      <c r="N391" s="17"/>
      <c r="O391" s="17">
        <v>1.5</v>
      </c>
      <c r="P391" s="17">
        <v>2.5</v>
      </c>
      <c r="Q391" s="17">
        <v>0.60499999999999998</v>
      </c>
      <c r="R391" s="17">
        <v>0.60499999999999998</v>
      </c>
      <c r="S391" s="17">
        <v>0.4</v>
      </c>
      <c r="T391" s="17">
        <v>0.8</v>
      </c>
      <c r="U391" s="17">
        <v>0.44</v>
      </c>
      <c r="V391" s="17">
        <v>3.1</v>
      </c>
      <c r="W391" s="17">
        <v>3.8</v>
      </c>
      <c r="X391" s="17">
        <v>6.8</v>
      </c>
      <c r="Y391" s="17">
        <v>0.6</v>
      </c>
      <c r="Z391" s="17">
        <v>0.6</v>
      </c>
      <c r="AA391" s="17">
        <v>0.7</v>
      </c>
      <c r="AB391" s="17">
        <v>0.9</v>
      </c>
      <c r="AC391" s="17">
        <v>1.7</v>
      </c>
      <c r="AD391" s="17">
        <v>3.4</v>
      </c>
      <c r="AE391" s="17"/>
      <c r="AG391" s="8" t="str">
        <v>Jae Crowder</v>
      </c>
      <c r="AH391" s="8" t="str">
        <v>SAC</v>
      </c>
    </row>
    <row r="392" spans="1:34" ht="17" x14ac:dyDescent="0.2">
      <c r="A392" s="1">
        <v>380</v>
      </c>
      <c r="B392" s="18" t="s">
        <v>643</v>
      </c>
      <c r="C392" s="17">
        <v>21</v>
      </c>
      <c r="D392" s="18" t="s">
        <v>64</v>
      </c>
      <c r="E392" s="17" t="s">
        <v>54</v>
      </c>
      <c r="F392" s="17">
        <v>7</v>
      </c>
      <c r="G392" s="17">
        <v>0</v>
      </c>
      <c r="H392" s="17">
        <v>10.3</v>
      </c>
      <c r="I392" s="17">
        <v>1.4</v>
      </c>
      <c r="J392" s="17">
        <v>3.1</v>
      </c>
      <c r="K392" s="17">
        <v>0.45500000000000002</v>
      </c>
      <c r="L392" s="17">
        <v>0.6</v>
      </c>
      <c r="M392" s="17">
        <v>2</v>
      </c>
      <c r="N392" s="17">
        <v>0.28599999999999998</v>
      </c>
      <c r="O392" s="17">
        <v>0.9</v>
      </c>
      <c r="P392" s="17">
        <v>1.1000000000000001</v>
      </c>
      <c r="Q392" s="17">
        <v>0.75</v>
      </c>
      <c r="R392" s="17">
        <v>0.54500000000000004</v>
      </c>
      <c r="S392" s="17">
        <v>0</v>
      </c>
      <c r="T392" s="17">
        <v>0.1</v>
      </c>
      <c r="U392" s="17">
        <v>0</v>
      </c>
      <c r="V392" s="17">
        <v>0.6</v>
      </c>
      <c r="W392" s="17">
        <v>1.3</v>
      </c>
      <c r="X392" s="17">
        <v>1.9</v>
      </c>
      <c r="Y392" s="17">
        <v>0.4</v>
      </c>
      <c r="Z392" s="17">
        <v>0.3</v>
      </c>
      <c r="AA392" s="17">
        <v>0.3</v>
      </c>
      <c r="AB392" s="17">
        <v>0.3</v>
      </c>
      <c r="AC392" s="17">
        <v>1</v>
      </c>
      <c r="AD392" s="17">
        <v>3.4</v>
      </c>
      <c r="AE392" s="17"/>
      <c r="AG392" s="8" t="str">
        <v>DeAndre Jordan</v>
      </c>
      <c r="AH392" s="8" t="str">
        <v>DEN</v>
      </c>
    </row>
    <row r="393" spans="1:34" ht="17" x14ac:dyDescent="0.2">
      <c r="A393" s="1">
        <v>381</v>
      </c>
      <c r="B393" s="18" t="s">
        <v>159</v>
      </c>
      <c r="C393" s="17">
        <v>26</v>
      </c>
      <c r="D393" s="18" t="s">
        <v>30</v>
      </c>
      <c r="E393" s="17" t="s">
        <v>29</v>
      </c>
      <c r="F393" s="17">
        <v>17</v>
      </c>
      <c r="G393" s="17">
        <v>2</v>
      </c>
      <c r="H393" s="17">
        <v>8.6</v>
      </c>
      <c r="I393" s="17">
        <v>1.5</v>
      </c>
      <c r="J393" s="17">
        <v>2.9</v>
      </c>
      <c r="K393" s="17">
        <v>0.53100000000000003</v>
      </c>
      <c r="L393" s="17">
        <v>0</v>
      </c>
      <c r="M393" s="17">
        <v>0</v>
      </c>
      <c r="N393" s="17"/>
      <c r="O393" s="17">
        <v>1.5</v>
      </c>
      <c r="P393" s="17">
        <v>2.9</v>
      </c>
      <c r="Q393" s="17">
        <v>0.53100000000000003</v>
      </c>
      <c r="R393" s="17">
        <v>0.53100000000000003</v>
      </c>
      <c r="S393" s="17">
        <v>0.4</v>
      </c>
      <c r="T393" s="17">
        <v>0.5</v>
      </c>
      <c r="U393" s="17">
        <v>0.75</v>
      </c>
      <c r="V393" s="17">
        <v>1.2</v>
      </c>
      <c r="W393" s="17">
        <v>1.8</v>
      </c>
      <c r="X393" s="17">
        <v>3</v>
      </c>
      <c r="Y393" s="17">
        <v>1.1000000000000001</v>
      </c>
      <c r="Z393" s="17">
        <v>0.2</v>
      </c>
      <c r="AA393" s="17">
        <v>0.5</v>
      </c>
      <c r="AB393" s="17">
        <v>0.8</v>
      </c>
      <c r="AC393" s="17">
        <v>1.6</v>
      </c>
      <c r="AD393" s="17">
        <v>3.4</v>
      </c>
      <c r="AE393" s="17"/>
      <c r="AG393" s="8" t="str">
        <v>Reed Sheppard</v>
      </c>
      <c r="AH393" s="8" t="str">
        <v>HOU</v>
      </c>
    </row>
    <row r="394" spans="1:34" ht="17" x14ac:dyDescent="0.2">
      <c r="A394" s="1">
        <v>382</v>
      </c>
      <c r="B394" s="18" t="s">
        <v>180</v>
      </c>
      <c r="C394" s="17">
        <v>38</v>
      </c>
      <c r="D394" s="18" t="s">
        <v>98</v>
      </c>
      <c r="E394" s="17" t="s">
        <v>27</v>
      </c>
      <c r="F394" s="17">
        <v>11</v>
      </c>
      <c r="G394" s="17">
        <v>1</v>
      </c>
      <c r="H394" s="17">
        <v>8.5</v>
      </c>
      <c r="I394" s="17">
        <v>1.2</v>
      </c>
      <c r="J394" s="17">
        <v>2.2999999999999998</v>
      </c>
      <c r="K394" s="17">
        <v>0.52</v>
      </c>
      <c r="L394" s="17">
        <v>0.5</v>
      </c>
      <c r="M394" s="17">
        <v>1.4</v>
      </c>
      <c r="N394" s="17">
        <v>0.33300000000000002</v>
      </c>
      <c r="O394" s="17">
        <v>0.7</v>
      </c>
      <c r="P394" s="17">
        <v>0.9</v>
      </c>
      <c r="Q394" s="17">
        <v>0.8</v>
      </c>
      <c r="R394" s="17">
        <v>0.62</v>
      </c>
      <c r="S394" s="17">
        <v>0.5</v>
      </c>
      <c r="T394" s="17">
        <v>0.7</v>
      </c>
      <c r="U394" s="17">
        <v>0.75</v>
      </c>
      <c r="V394" s="17">
        <v>0.1</v>
      </c>
      <c r="W394" s="17">
        <v>1.1000000000000001</v>
      </c>
      <c r="X394" s="17">
        <v>1.2</v>
      </c>
      <c r="Y394" s="17">
        <v>0.1</v>
      </c>
      <c r="Z394" s="17">
        <v>0.3</v>
      </c>
      <c r="AA394" s="17">
        <v>0</v>
      </c>
      <c r="AB394" s="17">
        <v>0.3</v>
      </c>
      <c r="AC394" s="17">
        <v>0.7</v>
      </c>
      <c r="AD394" s="17">
        <v>3.4</v>
      </c>
      <c r="AE394" s="17"/>
      <c r="AG394" s="8" t="str">
        <v>Moses Brown</v>
      </c>
      <c r="AH394" s="8" t="str">
        <v>IND</v>
      </c>
    </row>
    <row r="395" spans="1:34" ht="17" x14ac:dyDescent="0.2">
      <c r="A395" s="1">
        <v>383</v>
      </c>
      <c r="B395" s="18" t="s">
        <v>344</v>
      </c>
      <c r="C395" s="17">
        <v>25</v>
      </c>
      <c r="D395" s="18" t="s">
        <v>116</v>
      </c>
      <c r="E395" s="17" t="s">
        <v>54</v>
      </c>
      <c r="F395" s="17">
        <v>28</v>
      </c>
      <c r="G395" s="17">
        <v>8</v>
      </c>
      <c r="H395" s="17">
        <v>18.7</v>
      </c>
      <c r="I395" s="17">
        <v>1.3</v>
      </c>
      <c r="J395" s="17">
        <v>2.8</v>
      </c>
      <c r="K395" s="17">
        <v>0.44900000000000001</v>
      </c>
      <c r="L395" s="17">
        <v>0.4</v>
      </c>
      <c r="M395" s="17">
        <v>1.5</v>
      </c>
      <c r="N395" s="17">
        <v>0.29299999999999998</v>
      </c>
      <c r="O395" s="17">
        <v>0.8</v>
      </c>
      <c r="P395" s="17">
        <v>1.3</v>
      </c>
      <c r="Q395" s="17">
        <v>0.622</v>
      </c>
      <c r="R395" s="17">
        <v>0.52600000000000002</v>
      </c>
      <c r="S395" s="17">
        <v>0.5</v>
      </c>
      <c r="T395" s="17">
        <v>0.8</v>
      </c>
      <c r="U395" s="17">
        <v>0.61899999999999999</v>
      </c>
      <c r="V395" s="17">
        <v>0.5</v>
      </c>
      <c r="W395" s="17">
        <v>1.6</v>
      </c>
      <c r="X395" s="17">
        <v>2</v>
      </c>
      <c r="Y395" s="17">
        <v>0.8</v>
      </c>
      <c r="Z395" s="17">
        <v>1.1000000000000001</v>
      </c>
      <c r="AA395" s="17">
        <v>0.4</v>
      </c>
      <c r="AB395" s="17">
        <v>0.4</v>
      </c>
      <c r="AC395" s="17">
        <v>1.5</v>
      </c>
      <c r="AD395" s="17">
        <v>3.4</v>
      </c>
      <c r="AE395" s="17"/>
      <c r="AG395" s="8" t="str">
        <v>Drew Peterson</v>
      </c>
      <c r="AH395" s="8" t="str">
        <v>BOS</v>
      </c>
    </row>
    <row r="396" spans="1:34" ht="17" x14ac:dyDescent="0.2">
      <c r="A396" s="1">
        <v>384</v>
      </c>
      <c r="B396" s="18" t="s">
        <v>362</v>
      </c>
      <c r="C396" s="17">
        <v>30</v>
      </c>
      <c r="D396" s="18" t="s">
        <v>93</v>
      </c>
      <c r="E396" s="17" t="s">
        <v>29</v>
      </c>
      <c r="F396" s="17">
        <v>12</v>
      </c>
      <c r="G396" s="17">
        <v>4</v>
      </c>
      <c r="H396" s="17">
        <v>14.4</v>
      </c>
      <c r="I396" s="17">
        <v>1.3</v>
      </c>
      <c r="J396" s="17">
        <v>4.2</v>
      </c>
      <c r="K396" s="17">
        <v>0.3</v>
      </c>
      <c r="L396" s="17">
        <v>0.5</v>
      </c>
      <c r="M396" s="17">
        <v>2</v>
      </c>
      <c r="N396" s="17">
        <v>0.25</v>
      </c>
      <c r="O396" s="17">
        <v>0.8</v>
      </c>
      <c r="P396" s="17">
        <v>2.2000000000000002</v>
      </c>
      <c r="Q396" s="17">
        <v>0.34599999999999997</v>
      </c>
      <c r="R396" s="17">
        <v>0.36</v>
      </c>
      <c r="S396" s="17">
        <v>0.4</v>
      </c>
      <c r="T396" s="17">
        <v>0.5</v>
      </c>
      <c r="U396" s="17">
        <v>0.83299999999999996</v>
      </c>
      <c r="V396" s="17">
        <v>1</v>
      </c>
      <c r="W396" s="17">
        <v>2.6</v>
      </c>
      <c r="X396" s="17">
        <v>3.6</v>
      </c>
      <c r="Y396" s="17">
        <v>1.4</v>
      </c>
      <c r="Z396" s="17">
        <v>0.6</v>
      </c>
      <c r="AA396" s="17">
        <v>0.1</v>
      </c>
      <c r="AB396" s="17">
        <v>1.2</v>
      </c>
      <c r="AC396" s="17">
        <v>1.4</v>
      </c>
      <c r="AD396" s="17">
        <v>3.4</v>
      </c>
      <c r="AE396" s="17"/>
      <c r="AG396" s="8" t="str">
        <v>Micah Potter</v>
      </c>
      <c r="AH396" s="8" t="str">
        <v>UTA</v>
      </c>
    </row>
    <row r="397" spans="1:34" ht="17" x14ac:dyDescent="0.2">
      <c r="A397" s="1">
        <v>385</v>
      </c>
      <c r="B397" s="18" t="s">
        <v>634</v>
      </c>
      <c r="C397" s="17">
        <v>27</v>
      </c>
      <c r="D397" s="18" t="s">
        <v>31</v>
      </c>
      <c r="E397" s="17" t="s">
        <v>35</v>
      </c>
      <c r="F397" s="17">
        <v>9</v>
      </c>
      <c r="G397" s="17">
        <v>0</v>
      </c>
      <c r="H397" s="17">
        <v>12.6</v>
      </c>
      <c r="I397" s="17">
        <v>1.6</v>
      </c>
      <c r="J397" s="17">
        <v>3.3</v>
      </c>
      <c r="K397" s="17">
        <v>0.46700000000000003</v>
      </c>
      <c r="L397" s="17">
        <v>0.3</v>
      </c>
      <c r="M397" s="17">
        <v>1.4</v>
      </c>
      <c r="N397" s="17">
        <v>0.23100000000000001</v>
      </c>
      <c r="O397" s="17">
        <v>1.2</v>
      </c>
      <c r="P397" s="17">
        <v>1.9</v>
      </c>
      <c r="Q397" s="17">
        <v>0.64700000000000002</v>
      </c>
      <c r="R397" s="17">
        <v>0.51700000000000002</v>
      </c>
      <c r="S397" s="17">
        <v>0</v>
      </c>
      <c r="T397" s="17">
        <v>0</v>
      </c>
      <c r="U397" s="17"/>
      <c r="V397" s="17">
        <v>0.2</v>
      </c>
      <c r="W397" s="17">
        <v>0.6</v>
      </c>
      <c r="X397" s="17">
        <v>0.8</v>
      </c>
      <c r="Y397" s="17">
        <v>0.7</v>
      </c>
      <c r="Z397" s="17">
        <v>0.7</v>
      </c>
      <c r="AA397" s="17">
        <v>0.1</v>
      </c>
      <c r="AB397" s="17">
        <v>0.4</v>
      </c>
      <c r="AC397" s="17">
        <v>0.9</v>
      </c>
      <c r="AD397" s="17">
        <v>3.4</v>
      </c>
      <c r="AE397" s="17"/>
      <c r="AG397" s="8" t="str">
        <v>Jalen Pickett</v>
      </c>
      <c r="AH397" s="8" t="str">
        <v>DEN</v>
      </c>
    </row>
    <row r="398" spans="1:34" ht="17" x14ac:dyDescent="0.2">
      <c r="A398" s="1">
        <v>386</v>
      </c>
      <c r="B398" s="18" t="s">
        <v>408</v>
      </c>
      <c r="C398" s="17">
        <v>22</v>
      </c>
      <c r="D398" s="18" t="s">
        <v>58</v>
      </c>
      <c r="E398" s="17" t="s">
        <v>54</v>
      </c>
      <c r="F398" s="17">
        <v>25</v>
      </c>
      <c r="G398" s="17">
        <v>1</v>
      </c>
      <c r="H398" s="17">
        <v>10.1</v>
      </c>
      <c r="I398" s="17">
        <v>1.4</v>
      </c>
      <c r="J398" s="17">
        <v>3</v>
      </c>
      <c r="K398" s="17">
        <v>0.44700000000000001</v>
      </c>
      <c r="L398" s="17">
        <v>0.2</v>
      </c>
      <c r="M398" s="17">
        <v>0.9</v>
      </c>
      <c r="N398" s="17">
        <v>0.182</v>
      </c>
      <c r="O398" s="17">
        <v>1.2</v>
      </c>
      <c r="P398" s="17">
        <v>2.2000000000000002</v>
      </c>
      <c r="Q398" s="17">
        <v>0.55600000000000005</v>
      </c>
      <c r="R398" s="17">
        <v>0.47399999999999998</v>
      </c>
      <c r="S398" s="17">
        <v>0.5</v>
      </c>
      <c r="T398" s="17">
        <v>0.7</v>
      </c>
      <c r="U398" s="17">
        <v>0.72199999999999998</v>
      </c>
      <c r="V398" s="17">
        <v>0.8</v>
      </c>
      <c r="W398" s="17">
        <v>2.1</v>
      </c>
      <c r="X398" s="17">
        <v>2.9</v>
      </c>
      <c r="Y398" s="17">
        <v>0.5</v>
      </c>
      <c r="Z398" s="17">
        <v>0.3</v>
      </c>
      <c r="AA398" s="17">
        <v>0.1</v>
      </c>
      <c r="AB398" s="17">
        <v>0.5</v>
      </c>
      <c r="AC398" s="17">
        <v>1.1000000000000001</v>
      </c>
      <c r="AD398" s="17">
        <v>3.4</v>
      </c>
      <c r="AE398" s="17"/>
      <c r="AG398" s="8" t="str">
        <v>David Duke Jr.</v>
      </c>
      <c r="AH398" s="8" t="str">
        <v>SAS</v>
      </c>
    </row>
    <row r="399" spans="1:34" ht="17" x14ac:dyDescent="0.2">
      <c r="A399" s="1">
        <v>387</v>
      </c>
      <c r="B399" s="18" t="s">
        <v>424</v>
      </c>
      <c r="C399" s="17">
        <v>25</v>
      </c>
      <c r="D399" s="18" t="s">
        <v>100</v>
      </c>
      <c r="E399" s="17" t="s">
        <v>46</v>
      </c>
      <c r="F399" s="17">
        <v>10</v>
      </c>
      <c r="G399" s="17">
        <v>0</v>
      </c>
      <c r="H399" s="17">
        <v>6.6</v>
      </c>
      <c r="I399" s="17">
        <v>1.2</v>
      </c>
      <c r="J399" s="17">
        <v>2.6</v>
      </c>
      <c r="K399" s="17">
        <v>0.46200000000000002</v>
      </c>
      <c r="L399" s="17">
        <v>0.2</v>
      </c>
      <c r="M399" s="17">
        <v>0.8</v>
      </c>
      <c r="N399" s="17">
        <v>0.25</v>
      </c>
      <c r="O399" s="17">
        <v>1</v>
      </c>
      <c r="P399" s="17">
        <v>1.8</v>
      </c>
      <c r="Q399" s="17">
        <v>0.55600000000000005</v>
      </c>
      <c r="R399" s="17">
        <v>0.5</v>
      </c>
      <c r="S399" s="17">
        <v>0.8</v>
      </c>
      <c r="T399" s="17">
        <v>1.1000000000000001</v>
      </c>
      <c r="U399" s="17">
        <v>0.72699999999999998</v>
      </c>
      <c r="V399" s="17">
        <v>0.2</v>
      </c>
      <c r="W399" s="17">
        <v>0.6</v>
      </c>
      <c r="X399" s="17">
        <v>0.8</v>
      </c>
      <c r="Y399" s="17">
        <v>0.6</v>
      </c>
      <c r="Z399" s="17">
        <v>0.1</v>
      </c>
      <c r="AA399" s="17">
        <v>0</v>
      </c>
      <c r="AB399" s="17">
        <v>0.5</v>
      </c>
      <c r="AC399" s="17">
        <v>0.4</v>
      </c>
      <c r="AD399" s="17">
        <v>3.4</v>
      </c>
      <c r="AE399" s="17"/>
      <c r="AG399" s="8" t="str">
        <v>Collin Gillespie</v>
      </c>
      <c r="AH399" s="8" t="str">
        <v>PHO</v>
      </c>
    </row>
    <row r="400" spans="1:34" ht="17" x14ac:dyDescent="0.2">
      <c r="A400" s="1">
        <v>388</v>
      </c>
      <c r="B400" s="18" t="s">
        <v>102</v>
      </c>
      <c r="C400" s="17">
        <v>25</v>
      </c>
      <c r="D400" s="18" t="s">
        <v>77</v>
      </c>
      <c r="E400" s="17" t="s">
        <v>27</v>
      </c>
      <c r="F400" s="17">
        <v>11</v>
      </c>
      <c r="G400" s="17">
        <v>0</v>
      </c>
      <c r="H400" s="17">
        <v>7.6</v>
      </c>
      <c r="I400" s="17">
        <v>1.4</v>
      </c>
      <c r="J400" s="17">
        <v>2.7</v>
      </c>
      <c r="K400" s="17">
        <v>0.5</v>
      </c>
      <c r="L400" s="17">
        <v>0.3</v>
      </c>
      <c r="M400" s="17">
        <v>0.7</v>
      </c>
      <c r="N400" s="17">
        <v>0.375</v>
      </c>
      <c r="O400" s="17">
        <v>1.1000000000000001</v>
      </c>
      <c r="P400" s="17">
        <v>2</v>
      </c>
      <c r="Q400" s="17">
        <v>0.54500000000000004</v>
      </c>
      <c r="R400" s="17">
        <v>0.55000000000000004</v>
      </c>
      <c r="S400" s="17">
        <v>0.3</v>
      </c>
      <c r="T400" s="17">
        <v>0.4</v>
      </c>
      <c r="U400" s="17">
        <v>0.75</v>
      </c>
      <c r="V400" s="17">
        <v>0.5</v>
      </c>
      <c r="W400" s="17">
        <v>1.8</v>
      </c>
      <c r="X400" s="17">
        <v>2.4</v>
      </c>
      <c r="Y400" s="17">
        <v>0.5</v>
      </c>
      <c r="Z400" s="17">
        <v>0.1</v>
      </c>
      <c r="AA400" s="17">
        <v>0</v>
      </c>
      <c r="AB400" s="17">
        <v>0.1</v>
      </c>
      <c r="AC400" s="17">
        <v>0.7</v>
      </c>
      <c r="AD400" s="17">
        <v>3.3</v>
      </c>
      <c r="AE400" s="17"/>
      <c r="AG400" s="8" t="str">
        <v>John Konchar</v>
      </c>
      <c r="AH400" s="8" t="str">
        <v>MEM</v>
      </c>
    </row>
    <row r="401" spans="1:34" ht="17" x14ac:dyDescent="0.2">
      <c r="A401" s="1">
        <v>389</v>
      </c>
      <c r="B401" s="18" t="s">
        <v>635</v>
      </c>
      <c r="C401" s="17">
        <v>34</v>
      </c>
      <c r="D401" s="18" t="s">
        <v>72</v>
      </c>
      <c r="E401" s="17" t="s">
        <v>54</v>
      </c>
      <c r="F401" s="17">
        <v>6</v>
      </c>
      <c r="G401" s="17">
        <v>2</v>
      </c>
      <c r="H401" s="17">
        <v>14.8</v>
      </c>
      <c r="I401" s="17">
        <v>1</v>
      </c>
      <c r="J401" s="17">
        <v>2.8</v>
      </c>
      <c r="K401" s="17">
        <v>0.35299999999999998</v>
      </c>
      <c r="L401" s="17">
        <v>0.5</v>
      </c>
      <c r="M401" s="17">
        <v>2</v>
      </c>
      <c r="N401" s="17">
        <v>0.25</v>
      </c>
      <c r="O401" s="17">
        <v>0.5</v>
      </c>
      <c r="P401" s="17">
        <v>0.8</v>
      </c>
      <c r="Q401" s="17">
        <v>0.6</v>
      </c>
      <c r="R401" s="17">
        <v>0.441</v>
      </c>
      <c r="S401" s="17">
        <v>0.8</v>
      </c>
      <c r="T401" s="17">
        <v>1</v>
      </c>
      <c r="U401" s="17">
        <v>0.83299999999999996</v>
      </c>
      <c r="V401" s="17">
        <v>1</v>
      </c>
      <c r="W401" s="17">
        <v>1.8</v>
      </c>
      <c r="X401" s="17">
        <v>2.8</v>
      </c>
      <c r="Y401" s="17">
        <v>0.7</v>
      </c>
      <c r="Z401" s="17">
        <v>0.5</v>
      </c>
      <c r="AA401" s="17">
        <v>0</v>
      </c>
      <c r="AB401" s="17">
        <v>0.7</v>
      </c>
      <c r="AC401" s="17">
        <v>1.7</v>
      </c>
      <c r="AD401" s="17">
        <v>3.3</v>
      </c>
      <c r="AE401" s="17"/>
      <c r="AG401" s="8" t="str">
        <v>A.J. Lawson</v>
      </c>
      <c r="AH401" s="8" t="str">
        <v>TOR</v>
      </c>
    </row>
    <row r="402" spans="1:34" ht="17" x14ac:dyDescent="0.2">
      <c r="A402" s="1">
        <v>390</v>
      </c>
      <c r="B402" s="18" t="s">
        <v>239</v>
      </c>
      <c r="C402" s="17">
        <v>36</v>
      </c>
      <c r="D402" s="18" t="s">
        <v>93</v>
      </c>
      <c r="E402" s="17" t="s">
        <v>29</v>
      </c>
      <c r="F402" s="17">
        <v>24</v>
      </c>
      <c r="G402" s="17">
        <v>1</v>
      </c>
      <c r="H402" s="17">
        <v>11.3</v>
      </c>
      <c r="I402" s="17">
        <v>1.5</v>
      </c>
      <c r="J402" s="17">
        <v>2.4</v>
      </c>
      <c r="K402" s="17">
        <v>0.63200000000000001</v>
      </c>
      <c r="L402" s="17">
        <v>0</v>
      </c>
      <c r="M402" s="17">
        <v>0</v>
      </c>
      <c r="N402" s="17"/>
      <c r="O402" s="17">
        <v>1.5</v>
      </c>
      <c r="P402" s="17">
        <v>2.4</v>
      </c>
      <c r="Q402" s="17">
        <v>0.63200000000000001</v>
      </c>
      <c r="R402" s="17">
        <v>0.63200000000000001</v>
      </c>
      <c r="S402" s="17">
        <v>0.3</v>
      </c>
      <c r="T402" s="17">
        <v>0.8</v>
      </c>
      <c r="U402" s="17">
        <v>0.4</v>
      </c>
      <c r="V402" s="17">
        <v>1.1000000000000001</v>
      </c>
      <c r="W402" s="17">
        <v>3.2</v>
      </c>
      <c r="X402" s="17">
        <v>4.3</v>
      </c>
      <c r="Y402" s="17">
        <v>0.9</v>
      </c>
      <c r="Z402" s="17">
        <v>0.3</v>
      </c>
      <c r="AA402" s="17">
        <v>0.4</v>
      </c>
      <c r="AB402" s="17">
        <v>0.7</v>
      </c>
      <c r="AC402" s="17">
        <v>1.3</v>
      </c>
      <c r="AD402" s="17">
        <v>3.3</v>
      </c>
      <c r="AE402" s="17"/>
      <c r="AG402" s="8" t="str">
        <v>Josh Minott</v>
      </c>
      <c r="AH402" s="8" t="str">
        <v>MIN</v>
      </c>
    </row>
    <row r="403" spans="1:34" ht="17" x14ac:dyDescent="0.2">
      <c r="A403" s="1">
        <v>391</v>
      </c>
      <c r="B403" s="18" t="s">
        <v>561</v>
      </c>
      <c r="C403" s="17">
        <v>20</v>
      </c>
      <c r="D403" s="18" t="s">
        <v>98</v>
      </c>
      <c r="E403" s="17" t="s">
        <v>46</v>
      </c>
      <c r="F403" s="17">
        <v>30</v>
      </c>
      <c r="G403" s="17">
        <v>0</v>
      </c>
      <c r="H403" s="17">
        <v>11.6</v>
      </c>
      <c r="I403" s="17">
        <v>1.3</v>
      </c>
      <c r="J403" s="17">
        <v>3.9</v>
      </c>
      <c r="K403" s="17">
        <v>0.32200000000000001</v>
      </c>
      <c r="L403" s="17">
        <v>0.6</v>
      </c>
      <c r="M403" s="17">
        <v>2.2999999999999998</v>
      </c>
      <c r="N403" s="17">
        <v>0.27900000000000003</v>
      </c>
      <c r="O403" s="17">
        <v>0.6</v>
      </c>
      <c r="P403" s="17">
        <v>1.7</v>
      </c>
      <c r="Q403" s="17">
        <v>0.38</v>
      </c>
      <c r="R403" s="17">
        <v>0.40300000000000002</v>
      </c>
      <c r="S403" s="17">
        <v>0.2</v>
      </c>
      <c r="T403" s="17">
        <v>0.2</v>
      </c>
      <c r="U403" s="17">
        <v>0.83299999999999996</v>
      </c>
      <c r="V403" s="17">
        <v>0.3</v>
      </c>
      <c r="W403" s="17">
        <v>0.9</v>
      </c>
      <c r="X403" s="17">
        <v>1.3</v>
      </c>
      <c r="Y403" s="17">
        <v>1.2</v>
      </c>
      <c r="Z403" s="17">
        <v>0.5</v>
      </c>
      <c r="AA403" s="17">
        <v>0.3</v>
      </c>
      <c r="AB403" s="17">
        <v>0.6</v>
      </c>
      <c r="AC403" s="17">
        <v>0.9</v>
      </c>
      <c r="AD403" s="17">
        <v>3.3</v>
      </c>
      <c r="AE403" s="17"/>
      <c r="AG403" s="8" t="str">
        <v>Taze Moore</v>
      </c>
      <c r="AH403" s="8" t="str">
        <v>POR</v>
      </c>
    </row>
    <row r="404" spans="1:34" ht="17" x14ac:dyDescent="0.2">
      <c r="A404" s="1">
        <v>392</v>
      </c>
      <c r="B404" s="18" t="s">
        <v>636</v>
      </c>
      <c r="C404" s="17">
        <v>25</v>
      </c>
      <c r="D404" s="18" t="s">
        <v>99</v>
      </c>
      <c r="E404" s="17" t="s">
        <v>29</v>
      </c>
      <c r="F404" s="17">
        <v>9</v>
      </c>
      <c r="G404" s="17">
        <v>0</v>
      </c>
      <c r="H404" s="17">
        <v>5.0999999999999996</v>
      </c>
      <c r="I404" s="17">
        <v>1.4</v>
      </c>
      <c r="J404" s="17">
        <v>2.2000000000000002</v>
      </c>
      <c r="K404" s="17">
        <v>0.65</v>
      </c>
      <c r="L404" s="17">
        <v>0</v>
      </c>
      <c r="M404" s="17">
        <v>0</v>
      </c>
      <c r="N404" s="17"/>
      <c r="O404" s="17">
        <v>1.4</v>
      </c>
      <c r="P404" s="17">
        <v>2.2000000000000002</v>
      </c>
      <c r="Q404" s="17">
        <v>0.65</v>
      </c>
      <c r="R404" s="17">
        <v>0.65</v>
      </c>
      <c r="S404" s="17">
        <v>0.3</v>
      </c>
      <c r="T404" s="17">
        <v>0.6</v>
      </c>
      <c r="U404" s="17">
        <v>0.6</v>
      </c>
      <c r="V404" s="17">
        <v>0.4</v>
      </c>
      <c r="W404" s="17">
        <v>1</v>
      </c>
      <c r="X404" s="17">
        <v>1.4</v>
      </c>
      <c r="Y404" s="17">
        <v>0</v>
      </c>
      <c r="Z404" s="17">
        <v>0.2</v>
      </c>
      <c r="AA404" s="17">
        <v>0.1</v>
      </c>
      <c r="AB404" s="17">
        <v>0.7</v>
      </c>
      <c r="AC404" s="17">
        <v>0.7</v>
      </c>
      <c r="AD404" s="17">
        <v>3.2</v>
      </c>
      <c r="AE404" s="17"/>
      <c r="AG404" s="8" t="str">
        <v>Pete Nance</v>
      </c>
      <c r="AH404" s="8" t="str">
        <v>PHI</v>
      </c>
    </row>
    <row r="405" spans="1:34" ht="17" x14ac:dyDescent="0.2">
      <c r="A405" s="1">
        <v>393</v>
      </c>
      <c r="B405" s="18" t="s">
        <v>322</v>
      </c>
      <c r="C405" s="17">
        <v>25</v>
      </c>
      <c r="D405" s="18" t="s">
        <v>68</v>
      </c>
      <c r="E405" s="17" t="s">
        <v>27</v>
      </c>
      <c r="F405" s="17">
        <v>11</v>
      </c>
      <c r="G405" s="17">
        <v>0</v>
      </c>
      <c r="H405" s="17">
        <v>9.9</v>
      </c>
      <c r="I405" s="17">
        <v>1</v>
      </c>
      <c r="J405" s="17">
        <v>2</v>
      </c>
      <c r="K405" s="17">
        <v>0.5</v>
      </c>
      <c r="L405" s="17">
        <v>0.6</v>
      </c>
      <c r="M405" s="17">
        <v>1.5</v>
      </c>
      <c r="N405" s="17">
        <v>0.41199999999999998</v>
      </c>
      <c r="O405" s="17">
        <v>0.4</v>
      </c>
      <c r="P405" s="17">
        <v>0.5</v>
      </c>
      <c r="Q405" s="17">
        <v>0.8</v>
      </c>
      <c r="R405" s="17">
        <v>0.65900000000000003</v>
      </c>
      <c r="S405" s="17">
        <v>0.5</v>
      </c>
      <c r="T405" s="17">
        <v>0.6</v>
      </c>
      <c r="U405" s="17">
        <v>0.85699999999999998</v>
      </c>
      <c r="V405" s="17">
        <v>0.5</v>
      </c>
      <c r="W405" s="17">
        <v>1.6</v>
      </c>
      <c r="X405" s="17">
        <v>2.1</v>
      </c>
      <c r="Y405" s="17">
        <v>0.7</v>
      </c>
      <c r="Z405" s="17">
        <v>0.2</v>
      </c>
      <c r="AA405" s="17">
        <v>0.2</v>
      </c>
      <c r="AB405" s="17">
        <v>0.5</v>
      </c>
      <c r="AC405" s="17">
        <v>0.9</v>
      </c>
      <c r="AD405" s="17">
        <v>3.2</v>
      </c>
      <c r="AE405" s="17"/>
      <c r="AG405" s="8" t="str">
        <v>Quincy Olivari</v>
      </c>
      <c r="AH405" s="8" t="str">
        <v>LAL</v>
      </c>
    </row>
    <row r="406" spans="1:34" ht="17" x14ac:dyDescent="0.2">
      <c r="A406" s="1">
        <v>394</v>
      </c>
      <c r="B406" s="18" t="s">
        <v>631</v>
      </c>
      <c r="C406" s="17">
        <v>26</v>
      </c>
      <c r="D406" s="18" t="s">
        <v>36</v>
      </c>
      <c r="E406" s="17" t="s">
        <v>29</v>
      </c>
      <c r="F406" s="17">
        <v>13</v>
      </c>
      <c r="G406" s="17">
        <v>3</v>
      </c>
      <c r="H406" s="17">
        <v>16.7</v>
      </c>
      <c r="I406" s="17">
        <v>1.2</v>
      </c>
      <c r="J406" s="17">
        <v>2.9</v>
      </c>
      <c r="K406" s="17">
        <v>0.39500000000000002</v>
      </c>
      <c r="L406" s="17">
        <v>0.8</v>
      </c>
      <c r="M406" s="17">
        <v>2.4</v>
      </c>
      <c r="N406" s="17">
        <v>0.35499999999999998</v>
      </c>
      <c r="O406" s="17">
        <v>0.3</v>
      </c>
      <c r="P406" s="17">
        <v>0.5</v>
      </c>
      <c r="Q406" s="17">
        <v>0.57099999999999995</v>
      </c>
      <c r="R406" s="17">
        <v>0.53900000000000003</v>
      </c>
      <c r="S406" s="17">
        <v>0.1</v>
      </c>
      <c r="T406" s="17">
        <v>0.1</v>
      </c>
      <c r="U406" s="17">
        <v>1</v>
      </c>
      <c r="V406" s="17">
        <v>1.2</v>
      </c>
      <c r="W406" s="17">
        <v>2.8</v>
      </c>
      <c r="X406" s="17">
        <v>4</v>
      </c>
      <c r="Y406" s="17">
        <v>1</v>
      </c>
      <c r="Z406" s="17">
        <v>0.2</v>
      </c>
      <c r="AA406" s="17">
        <v>0.4</v>
      </c>
      <c r="AB406" s="17">
        <v>0.8</v>
      </c>
      <c r="AC406" s="17">
        <v>0.9</v>
      </c>
      <c r="AD406" s="17">
        <v>3.2</v>
      </c>
      <c r="AE406" s="17"/>
      <c r="AG406" s="8" t="str">
        <v>Rayan Rupert</v>
      </c>
      <c r="AH406" s="8" t="str">
        <v>POR</v>
      </c>
    </row>
    <row r="407" spans="1:34" ht="17" x14ac:dyDescent="0.2">
      <c r="A407" s="1">
        <v>395</v>
      </c>
      <c r="B407" s="18" t="s">
        <v>324</v>
      </c>
      <c r="C407" s="17">
        <v>25</v>
      </c>
      <c r="D407" s="18" t="s">
        <v>93</v>
      </c>
      <c r="E407" s="17" t="s">
        <v>35</v>
      </c>
      <c r="F407" s="17">
        <v>11</v>
      </c>
      <c r="G407" s="17">
        <v>0</v>
      </c>
      <c r="H407" s="17">
        <v>8</v>
      </c>
      <c r="I407" s="17">
        <v>1.2</v>
      </c>
      <c r="J407" s="17">
        <v>2.2000000000000002</v>
      </c>
      <c r="K407" s="17">
        <v>0.54200000000000004</v>
      </c>
      <c r="L407" s="17">
        <v>0.7</v>
      </c>
      <c r="M407" s="17">
        <v>1.5</v>
      </c>
      <c r="N407" s="17">
        <v>0.5</v>
      </c>
      <c r="O407" s="17">
        <v>0.5</v>
      </c>
      <c r="P407" s="17">
        <v>0.7</v>
      </c>
      <c r="Q407" s="17">
        <v>0.625</v>
      </c>
      <c r="R407" s="17">
        <v>0.70799999999999996</v>
      </c>
      <c r="S407" s="17">
        <v>0</v>
      </c>
      <c r="T407" s="17">
        <v>0</v>
      </c>
      <c r="U407" s="17"/>
      <c r="V407" s="17">
        <v>0.1</v>
      </c>
      <c r="W407" s="17">
        <v>0.9</v>
      </c>
      <c r="X407" s="17">
        <v>1</v>
      </c>
      <c r="Y407" s="17">
        <v>1.9</v>
      </c>
      <c r="Z407" s="17">
        <v>0.1</v>
      </c>
      <c r="AA407" s="17">
        <v>0.1</v>
      </c>
      <c r="AB407" s="17">
        <v>0.5</v>
      </c>
      <c r="AC407" s="17">
        <v>0.6</v>
      </c>
      <c r="AD407" s="17">
        <v>3.1</v>
      </c>
      <c r="AE407" s="17"/>
      <c r="AG407" s="8" t="str">
        <v>Oscar Tshiebwe</v>
      </c>
      <c r="AH407" s="8" t="str">
        <v>UTA</v>
      </c>
    </row>
    <row r="408" spans="1:34" ht="17" x14ac:dyDescent="0.2">
      <c r="A408" s="1">
        <v>396</v>
      </c>
      <c r="B408" s="18" t="s">
        <v>523</v>
      </c>
      <c r="C408" s="17">
        <v>25</v>
      </c>
      <c r="D408" s="18" t="s">
        <v>70</v>
      </c>
      <c r="E408" s="17" t="s">
        <v>35</v>
      </c>
      <c r="F408" s="17">
        <v>1</v>
      </c>
      <c r="G408" s="17">
        <v>0</v>
      </c>
      <c r="H408" s="17">
        <v>8</v>
      </c>
      <c r="I408" s="17">
        <v>1</v>
      </c>
      <c r="J408" s="17">
        <v>4</v>
      </c>
      <c r="K408" s="17">
        <v>0.25</v>
      </c>
      <c r="L408" s="17">
        <v>0</v>
      </c>
      <c r="M408" s="17">
        <v>1</v>
      </c>
      <c r="N408" s="17">
        <v>0</v>
      </c>
      <c r="O408" s="17">
        <v>1</v>
      </c>
      <c r="P408" s="17">
        <v>3</v>
      </c>
      <c r="Q408" s="17">
        <v>0.33300000000000002</v>
      </c>
      <c r="R408" s="17">
        <v>0.25</v>
      </c>
      <c r="S408" s="17">
        <v>1</v>
      </c>
      <c r="T408" s="17">
        <v>2</v>
      </c>
      <c r="U408" s="17">
        <v>0.5</v>
      </c>
      <c r="V408" s="17">
        <v>0</v>
      </c>
      <c r="W408" s="17">
        <v>0</v>
      </c>
      <c r="X408" s="17">
        <v>0</v>
      </c>
      <c r="Y408" s="17">
        <v>2</v>
      </c>
      <c r="Z408" s="17">
        <v>0</v>
      </c>
      <c r="AA408" s="17">
        <v>0</v>
      </c>
      <c r="AB408" s="17">
        <v>0</v>
      </c>
      <c r="AC408" s="17">
        <v>1</v>
      </c>
      <c r="AD408" s="17">
        <v>3</v>
      </c>
      <c r="AE408" s="17"/>
      <c r="AG408" s="8" t="str">
        <v>Ousmane Dieng</v>
      </c>
      <c r="AH408" s="8" t="str">
        <v>OKC</v>
      </c>
    </row>
    <row r="409" spans="1:34" ht="17" x14ac:dyDescent="0.2">
      <c r="A409" s="1">
        <v>397</v>
      </c>
      <c r="B409" s="18" t="s">
        <v>172</v>
      </c>
      <c r="C409" s="17">
        <v>25</v>
      </c>
      <c r="D409" s="18" t="s">
        <v>42</v>
      </c>
      <c r="E409" s="17" t="s">
        <v>46</v>
      </c>
      <c r="F409" s="17">
        <v>1</v>
      </c>
      <c r="G409" s="17">
        <v>0</v>
      </c>
      <c r="H409" s="17">
        <v>3</v>
      </c>
      <c r="I409" s="17">
        <v>1</v>
      </c>
      <c r="J409" s="17">
        <v>2</v>
      </c>
      <c r="K409" s="17">
        <v>0.5</v>
      </c>
      <c r="L409" s="17">
        <v>1</v>
      </c>
      <c r="M409" s="17">
        <v>1</v>
      </c>
      <c r="N409" s="17">
        <v>1</v>
      </c>
      <c r="O409" s="17">
        <v>0</v>
      </c>
      <c r="P409" s="17">
        <v>1</v>
      </c>
      <c r="Q409" s="17">
        <v>0</v>
      </c>
      <c r="R409" s="17">
        <v>0.75</v>
      </c>
      <c r="S409" s="17">
        <v>0</v>
      </c>
      <c r="T409" s="17">
        <v>0</v>
      </c>
      <c r="U409" s="17"/>
      <c r="V409" s="17">
        <v>0</v>
      </c>
      <c r="W409" s="17">
        <v>0</v>
      </c>
      <c r="X409" s="17">
        <v>0</v>
      </c>
      <c r="Y409" s="17">
        <v>0</v>
      </c>
      <c r="Z409" s="17">
        <v>0</v>
      </c>
      <c r="AA409" s="17">
        <v>0</v>
      </c>
      <c r="AB409" s="17">
        <v>0</v>
      </c>
      <c r="AC409" s="17">
        <v>0</v>
      </c>
      <c r="AD409" s="17">
        <v>3</v>
      </c>
      <c r="AE409" s="17"/>
      <c r="AG409" s="8" t="str">
        <v>Jock Landale</v>
      </c>
      <c r="AH409" s="8" t="str">
        <v>HOU</v>
      </c>
    </row>
    <row r="410" spans="1:34" ht="17" x14ac:dyDescent="0.2">
      <c r="A410" s="1">
        <v>398</v>
      </c>
      <c r="B410" s="18" t="s">
        <v>247</v>
      </c>
      <c r="C410" s="17">
        <v>28</v>
      </c>
      <c r="D410" s="18" t="s">
        <v>38</v>
      </c>
      <c r="E410" s="17" t="s">
        <v>35</v>
      </c>
      <c r="F410" s="17">
        <v>21</v>
      </c>
      <c r="G410" s="17">
        <v>3</v>
      </c>
      <c r="H410" s="17">
        <v>14.8</v>
      </c>
      <c r="I410" s="17">
        <v>1.1000000000000001</v>
      </c>
      <c r="J410" s="17">
        <v>2.8</v>
      </c>
      <c r="K410" s="17">
        <v>0.39700000000000002</v>
      </c>
      <c r="L410" s="17">
        <v>0.6</v>
      </c>
      <c r="M410" s="17">
        <v>2</v>
      </c>
      <c r="N410" s="17">
        <v>0.29299999999999998</v>
      </c>
      <c r="O410" s="17">
        <v>0.5</v>
      </c>
      <c r="P410" s="17">
        <v>0.8</v>
      </c>
      <c r="Q410" s="17">
        <v>0.64700000000000002</v>
      </c>
      <c r="R410" s="17">
        <v>0.5</v>
      </c>
      <c r="S410" s="17">
        <v>0.2</v>
      </c>
      <c r="T410" s="17">
        <v>0.3</v>
      </c>
      <c r="U410" s="17">
        <v>0.83299999999999996</v>
      </c>
      <c r="V410" s="17">
        <v>1.2</v>
      </c>
      <c r="W410" s="17">
        <v>3.2</v>
      </c>
      <c r="X410" s="17">
        <v>4.4000000000000004</v>
      </c>
      <c r="Y410" s="17">
        <v>1.2</v>
      </c>
      <c r="Z410" s="17">
        <v>0.6</v>
      </c>
      <c r="AA410" s="17">
        <v>0.5</v>
      </c>
      <c r="AB410" s="17">
        <v>0.5</v>
      </c>
      <c r="AC410" s="17">
        <v>1.1000000000000001</v>
      </c>
      <c r="AD410" s="17">
        <v>3</v>
      </c>
      <c r="AE410" s="17"/>
      <c r="AG410" s="8" t="str">
        <v>Steven Adams</v>
      </c>
      <c r="AH410" s="8" t="str">
        <v>HOU</v>
      </c>
    </row>
    <row r="411" spans="1:34" ht="17" x14ac:dyDescent="0.2">
      <c r="A411" s="1">
        <v>399</v>
      </c>
      <c r="B411" s="18" t="s">
        <v>637</v>
      </c>
      <c r="C411" s="17">
        <v>24</v>
      </c>
      <c r="D411" s="18" t="s">
        <v>30</v>
      </c>
      <c r="E411" s="17" t="s">
        <v>35</v>
      </c>
      <c r="F411" s="17">
        <v>3</v>
      </c>
      <c r="G411" s="17">
        <v>0</v>
      </c>
      <c r="H411" s="17">
        <v>4.7</v>
      </c>
      <c r="I411" s="17">
        <v>1</v>
      </c>
      <c r="J411" s="17">
        <v>2.2999999999999998</v>
      </c>
      <c r="K411" s="17">
        <v>0.42899999999999999</v>
      </c>
      <c r="L411" s="17">
        <v>0.7</v>
      </c>
      <c r="M411" s="17">
        <v>1.7</v>
      </c>
      <c r="N411" s="17">
        <v>0.4</v>
      </c>
      <c r="O411" s="17">
        <v>0.3</v>
      </c>
      <c r="P411" s="17">
        <v>0.7</v>
      </c>
      <c r="Q411" s="17">
        <v>0.5</v>
      </c>
      <c r="R411" s="17">
        <v>0.57099999999999995</v>
      </c>
      <c r="S411" s="17">
        <v>0.3</v>
      </c>
      <c r="T411" s="17">
        <v>0.7</v>
      </c>
      <c r="U411" s="17">
        <v>0.5</v>
      </c>
      <c r="V411" s="17">
        <v>0.3</v>
      </c>
      <c r="W411" s="17">
        <v>0.7</v>
      </c>
      <c r="X411" s="17">
        <v>1</v>
      </c>
      <c r="Y411" s="17">
        <v>0</v>
      </c>
      <c r="Z411" s="17">
        <v>0</v>
      </c>
      <c r="AA411" s="17">
        <v>0</v>
      </c>
      <c r="AB411" s="17">
        <v>0</v>
      </c>
      <c r="AC411" s="17">
        <v>0</v>
      </c>
      <c r="AD411" s="17">
        <v>3</v>
      </c>
      <c r="AE411" s="17"/>
      <c r="AG411" s="8" t="str">
        <v>Johnny Davis</v>
      </c>
      <c r="AH411" s="8" t="str">
        <v>WAS</v>
      </c>
    </row>
    <row r="412" spans="1:34" ht="17" x14ac:dyDescent="0.2">
      <c r="A412" s="1">
        <v>400</v>
      </c>
      <c r="B412" s="18" t="s">
        <v>291</v>
      </c>
      <c r="C412" s="17">
        <v>22</v>
      </c>
      <c r="D412" s="18" t="s">
        <v>40</v>
      </c>
      <c r="E412" s="17" t="s">
        <v>54</v>
      </c>
      <c r="F412" s="17">
        <v>23</v>
      </c>
      <c r="G412" s="17">
        <v>0</v>
      </c>
      <c r="H412" s="17">
        <v>7.5</v>
      </c>
      <c r="I412" s="17">
        <v>1.2</v>
      </c>
      <c r="J412" s="17">
        <v>2.2999999999999998</v>
      </c>
      <c r="K412" s="17">
        <v>0.51900000000000002</v>
      </c>
      <c r="L412" s="17">
        <v>0.3</v>
      </c>
      <c r="M412" s="17">
        <v>1</v>
      </c>
      <c r="N412" s="17">
        <v>0.25</v>
      </c>
      <c r="O412" s="17">
        <v>1</v>
      </c>
      <c r="P412" s="17">
        <v>1.3</v>
      </c>
      <c r="Q412" s="17">
        <v>0.73299999999999998</v>
      </c>
      <c r="R412" s="17">
        <v>0.57399999999999995</v>
      </c>
      <c r="S412" s="17">
        <v>0.3</v>
      </c>
      <c r="T412" s="17">
        <v>0.4</v>
      </c>
      <c r="U412" s="17">
        <v>0.77800000000000002</v>
      </c>
      <c r="V412" s="17">
        <v>0.3</v>
      </c>
      <c r="W412" s="17">
        <v>1</v>
      </c>
      <c r="X412" s="17">
        <v>1.3</v>
      </c>
      <c r="Y412" s="17">
        <v>0.6</v>
      </c>
      <c r="Z412" s="17">
        <v>0.4</v>
      </c>
      <c r="AA412" s="17">
        <v>0.3</v>
      </c>
      <c r="AB412" s="17">
        <v>0.3</v>
      </c>
      <c r="AC412" s="17">
        <v>1</v>
      </c>
      <c r="AD412" s="17">
        <v>3</v>
      </c>
      <c r="AE412" s="17"/>
      <c r="AG412" s="8" t="str">
        <v>Jeff Dowtin</v>
      </c>
      <c r="AH412" s="8" t="str">
        <v>PHI</v>
      </c>
    </row>
    <row r="413" spans="1:34" ht="17" x14ac:dyDescent="0.2">
      <c r="A413" s="1">
        <v>401</v>
      </c>
      <c r="B413" s="18" t="s">
        <v>638</v>
      </c>
      <c r="C413" s="17">
        <v>26</v>
      </c>
      <c r="D413" s="18" t="s">
        <v>58</v>
      </c>
      <c r="E413" s="17" t="s">
        <v>35</v>
      </c>
      <c r="F413" s="17">
        <v>2</v>
      </c>
      <c r="G413" s="17">
        <v>0</v>
      </c>
      <c r="H413" s="17">
        <v>10</v>
      </c>
      <c r="I413" s="17">
        <v>1</v>
      </c>
      <c r="J413" s="17">
        <v>5</v>
      </c>
      <c r="K413" s="17">
        <v>0.2</v>
      </c>
      <c r="L413" s="17">
        <v>0.5</v>
      </c>
      <c r="M413" s="17">
        <v>2</v>
      </c>
      <c r="N413" s="17">
        <v>0.25</v>
      </c>
      <c r="O413" s="17">
        <v>0.5</v>
      </c>
      <c r="P413" s="17">
        <v>3</v>
      </c>
      <c r="Q413" s="17">
        <v>0.16700000000000001</v>
      </c>
      <c r="R413" s="17">
        <v>0.25</v>
      </c>
      <c r="S413" s="17">
        <v>0.5</v>
      </c>
      <c r="T413" s="17">
        <v>1</v>
      </c>
      <c r="U413" s="17">
        <v>0.5</v>
      </c>
      <c r="V413" s="17">
        <v>2</v>
      </c>
      <c r="W413" s="17">
        <v>2</v>
      </c>
      <c r="X413" s="17">
        <v>4</v>
      </c>
      <c r="Y413" s="17">
        <v>0.5</v>
      </c>
      <c r="Z413" s="17">
        <v>1</v>
      </c>
      <c r="AA413" s="17">
        <v>0</v>
      </c>
      <c r="AB413" s="17">
        <v>1</v>
      </c>
      <c r="AC413" s="17">
        <v>0</v>
      </c>
      <c r="AD413" s="17">
        <v>3</v>
      </c>
      <c r="AE413" s="17"/>
      <c r="AG413" s="8" t="str">
        <v>Delon Wright</v>
      </c>
      <c r="AH413" s="8" t="str">
        <v>MIL</v>
      </c>
    </row>
    <row r="414" spans="1:34" ht="17" x14ac:dyDescent="0.2">
      <c r="A414" s="1">
        <v>402</v>
      </c>
      <c r="B414" s="18" t="s">
        <v>639</v>
      </c>
      <c r="C414" s="17">
        <v>24</v>
      </c>
      <c r="D414" s="18" t="s">
        <v>64</v>
      </c>
      <c r="E414" s="17" t="s">
        <v>27</v>
      </c>
      <c r="F414" s="17">
        <v>1</v>
      </c>
      <c r="G414" s="17">
        <v>0</v>
      </c>
      <c r="H414" s="17">
        <v>3</v>
      </c>
      <c r="I414" s="17">
        <v>1</v>
      </c>
      <c r="J414" s="17">
        <v>1</v>
      </c>
      <c r="K414" s="17">
        <v>1</v>
      </c>
      <c r="L414" s="17">
        <v>1</v>
      </c>
      <c r="M414" s="17">
        <v>1</v>
      </c>
      <c r="N414" s="17">
        <v>1</v>
      </c>
      <c r="O414" s="17">
        <v>0</v>
      </c>
      <c r="P414" s="17">
        <v>0</v>
      </c>
      <c r="Q414" s="17"/>
      <c r="R414" s="17">
        <v>1.5</v>
      </c>
      <c r="S414" s="17">
        <v>0</v>
      </c>
      <c r="T414" s="17">
        <v>0</v>
      </c>
      <c r="U414" s="17"/>
      <c r="V414" s="17">
        <v>0</v>
      </c>
      <c r="W414" s="17">
        <v>1</v>
      </c>
      <c r="X414" s="17">
        <v>1</v>
      </c>
      <c r="Y414" s="17">
        <v>0</v>
      </c>
      <c r="Z414" s="17">
        <v>0</v>
      </c>
      <c r="AA414" s="17">
        <v>0</v>
      </c>
      <c r="AB414" s="17">
        <v>0</v>
      </c>
      <c r="AC414" s="17">
        <v>3</v>
      </c>
      <c r="AD414" s="17">
        <v>3</v>
      </c>
      <c r="AE414" s="17"/>
      <c r="AG414" s="8" t="str">
        <v>Chris Duarte</v>
      </c>
      <c r="AH414" s="8" t="str">
        <v>CHI</v>
      </c>
    </row>
    <row r="415" spans="1:34" ht="17" x14ac:dyDescent="0.2">
      <c r="A415" s="1">
        <v>403</v>
      </c>
      <c r="B415" s="18" t="s">
        <v>640</v>
      </c>
      <c r="C415" s="17">
        <v>23</v>
      </c>
      <c r="D415" s="18" t="s">
        <v>116</v>
      </c>
      <c r="E415" s="17" t="s">
        <v>46</v>
      </c>
      <c r="F415" s="17">
        <v>1</v>
      </c>
      <c r="G415" s="17">
        <v>0</v>
      </c>
      <c r="H415" s="17">
        <v>8</v>
      </c>
      <c r="I415" s="17">
        <v>1</v>
      </c>
      <c r="J415" s="17">
        <v>3</v>
      </c>
      <c r="K415" s="17">
        <v>0.33300000000000002</v>
      </c>
      <c r="L415" s="17">
        <v>1</v>
      </c>
      <c r="M415" s="17">
        <v>3</v>
      </c>
      <c r="N415" s="17">
        <v>0.33300000000000002</v>
      </c>
      <c r="O415" s="17">
        <v>0</v>
      </c>
      <c r="P415" s="17">
        <v>0</v>
      </c>
      <c r="Q415" s="17"/>
      <c r="R415" s="17">
        <v>0.5</v>
      </c>
      <c r="S415" s="17">
        <v>0</v>
      </c>
      <c r="T415" s="17">
        <v>0</v>
      </c>
      <c r="U415" s="17"/>
      <c r="V415" s="17">
        <v>0</v>
      </c>
      <c r="W415" s="17">
        <v>0</v>
      </c>
      <c r="X415" s="17">
        <v>0</v>
      </c>
      <c r="Y415" s="17">
        <v>0</v>
      </c>
      <c r="Z415" s="17">
        <v>0</v>
      </c>
      <c r="AA415" s="17">
        <v>0</v>
      </c>
      <c r="AB415" s="17">
        <v>1</v>
      </c>
      <c r="AC415" s="17">
        <v>0</v>
      </c>
      <c r="AD415" s="17">
        <v>3</v>
      </c>
      <c r="AE415" s="17"/>
      <c r="AG415" s="8" t="str">
        <v>Caleb Houstan</v>
      </c>
      <c r="AH415" s="8" t="str">
        <v>ORL</v>
      </c>
    </row>
    <row r="416" spans="1:34" ht="17" x14ac:dyDescent="0.2">
      <c r="A416" s="1">
        <v>404</v>
      </c>
      <c r="B416" s="18" t="s">
        <v>356</v>
      </c>
      <c r="C416" s="17">
        <v>20</v>
      </c>
      <c r="D416" s="18" t="s">
        <v>58</v>
      </c>
      <c r="E416" s="17" t="s">
        <v>35</v>
      </c>
      <c r="F416" s="17">
        <v>26</v>
      </c>
      <c r="G416" s="17">
        <v>0</v>
      </c>
      <c r="H416" s="17">
        <v>9.6999999999999993</v>
      </c>
      <c r="I416" s="17">
        <v>1.1000000000000001</v>
      </c>
      <c r="J416" s="17">
        <v>2.7</v>
      </c>
      <c r="K416" s="17">
        <v>0.42</v>
      </c>
      <c r="L416" s="17">
        <v>0.3</v>
      </c>
      <c r="M416" s="17">
        <v>1.2</v>
      </c>
      <c r="N416" s="17">
        <v>0.28999999999999998</v>
      </c>
      <c r="O416" s="17">
        <v>0.8</v>
      </c>
      <c r="P416" s="17">
        <v>1.5</v>
      </c>
      <c r="Q416" s="17">
        <v>0.52600000000000002</v>
      </c>
      <c r="R416" s="17">
        <v>0.48599999999999999</v>
      </c>
      <c r="S416" s="17">
        <v>0.5</v>
      </c>
      <c r="T416" s="17">
        <v>0.6</v>
      </c>
      <c r="U416" s="17">
        <v>0.75</v>
      </c>
      <c r="V416" s="17">
        <v>0.7</v>
      </c>
      <c r="W416" s="17">
        <v>0.7</v>
      </c>
      <c r="X416" s="17">
        <v>1.4</v>
      </c>
      <c r="Y416" s="17">
        <v>0.5</v>
      </c>
      <c r="Z416" s="17">
        <v>0.3</v>
      </c>
      <c r="AA416" s="17">
        <v>0.1</v>
      </c>
      <c r="AB416" s="17">
        <v>0.5</v>
      </c>
      <c r="AC416" s="17">
        <v>0.7</v>
      </c>
      <c r="AD416" s="17">
        <v>3</v>
      </c>
      <c r="AE416" s="17"/>
      <c r="AG416" s="8" t="str">
        <v>Duop Reath</v>
      </c>
      <c r="AH416" s="8" t="str">
        <v>POR</v>
      </c>
    </row>
    <row r="417" spans="1:34" ht="17" x14ac:dyDescent="0.2">
      <c r="A417" s="1">
        <v>405</v>
      </c>
      <c r="B417" s="18" t="s">
        <v>641</v>
      </c>
      <c r="C417" s="17">
        <v>25</v>
      </c>
      <c r="D417" s="18" t="s">
        <v>36</v>
      </c>
      <c r="E417" s="17" t="s">
        <v>27</v>
      </c>
      <c r="F417" s="17">
        <v>1</v>
      </c>
      <c r="G417" s="17">
        <v>0</v>
      </c>
      <c r="H417" s="17">
        <v>16</v>
      </c>
      <c r="I417" s="17">
        <v>0</v>
      </c>
      <c r="J417" s="17">
        <v>0</v>
      </c>
      <c r="K417" s="17"/>
      <c r="L417" s="17">
        <v>0</v>
      </c>
      <c r="M417" s="17">
        <v>0</v>
      </c>
      <c r="N417" s="17"/>
      <c r="O417" s="17">
        <v>0</v>
      </c>
      <c r="P417" s="17">
        <v>0</v>
      </c>
      <c r="Q417" s="17"/>
      <c r="R417" s="17"/>
      <c r="S417" s="17">
        <v>3</v>
      </c>
      <c r="T417" s="17">
        <v>4</v>
      </c>
      <c r="U417" s="17">
        <v>0.75</v>
      </c>
      <c r="V417" s="17">
        <v>3</v>
      </c>
      <c r="W417" s="17">
        <v>6</v>
      </c>
      <c r="X417" s="17">
        <v>9</v>
      </c>
      <c r="Y417" s="17">
        <v>0</v>
      </c>
      <c r="Z417" s="17">
        <v>2</v>
      </c>
      <c r="AA417" s="17">
        <v>0</v>
      </c>
      <c r="AB417" s="17">
        <v>1</v>
      </c>
      <c r="AC417" s="17">
        <v>3</v>
      </c>
      <c r="AD417" s="17">
        <v>3</v>
      </c>
      <c r="AE417" s="17"/>
      <c r="AG417" s="8" t="str">
        <v>Johnny Furphy</v>
      </c>
      <c r="AH417" s="8" t="str">
        <v>IND</v>
      </c>
    </row>
    <row r="418" spans="1:34" ht="17" x14ac:dyDescent="0.2">
      <c r="A418" s="1">
        <v>406</v>
      </c>
      <c r="B418" s="18" t="s">
        <v>142</v>
      </c>
      <c r="C418" s="17">
        <v>21</v>
      </c>
      <c r="D418" s="18" t="s">
        <v>81</v>
      </c>
      <c r="E418" s="17" t="s">
        <v>27</v>
      </c>
      <c r="F418" s="17">
        <v>20</v>
      </c>
      <c r="G418" s="17">
        <v>0</v>
      </c>
      <c r="H418" s="17">
        <v>10.199999999999999</v>
      </c>
      <c r="I418" s="17">
        <v>1.1000000000000001</v>
      </c>
      <c r="J418" s="17">
        <v>3.3</v>
      </c>
      <c r="K418" s="17">
        <v>0.32300000000000001</v>
      </c>
      <c r="L418" s="17">
        <v>0.5</v>
      </c>
      <c r="M418" s="17">
        <v>1.9</v>
      </c>
      <c r="N418" s="17">
        <v>0.23699999999999999</v>
      </c>
      <c r="O418" s="17">
        <v>0.6</v>
      </c>
      <c r="P418" s="17">
        <v>1.4</v>
      </c>
      <c r="Q418" s="17">
        <v>0.44400000000000001</v>
      </c>
      <c r="R418" s="17">
        <v>0.39200000000000002</v>
      </c>
      <c r="S418" s="17">
        <v>0.4</v>
      </c>
      <c r="T418" s="17">
        <v>0.6</v>
      </c>
      <c r="U418" s="17">
        <v>0.63600000000000001</v>
      </c>
      <c r="V418" s="17">
        <v>0.5</v>
      </c>
      <c r="W418" s="17">
        <v>1.9</v>
      </c>
      <c r="X418" s="17">
        <v>2.4</v>
      </c>
      <c r="Y418" s="17">
        <v>0.7</v>
      </c>
      <c r="Z418" s="17">
        <v>0.7</v>
      </c>
      <c r="AA418" s="17">
        <v>0.2</v>
      </c>
      <c r="AB418" s="17">
        <v>0.3</v>
      </c>
      <c r="AC418" s="17">
        <v>1</v>
      </c>
      <c r="AD418" s="17">
        <v>2.9</v>
      </c>
      <c r="AE418" s="17"/>
      <c r="AG418" s="8" t="str">
        <v>Taj Gibson</v>
      </c>
      <c r="AH418" s="8" t="str">
        <v>CHO</v>
      </c>
    </row>
    <row r="419" spans="1:34" ht="17" x14ac:dyDescent="0.2">
      <c r="A419" s="1">
        <v>407</v>
      </c>
      <c r="B419" s="18" t="s">
        <v>251</v>
      </c>
      <c r="C419" s="17">
        <v>29</v>
      </c>
      <c r="D419" s="18" t="s">
        <v>98</v>
      </c>
      <c r="E419" s="17" t="s">
        <v>29</v>
      </c>
      <c r="F419" s="17">
        <v>20</v>
      </c>
      <c r="G419" s="17">
        <v>0</v>
      </c>
      <c r="H419" s="17">
        <v>9.1999999999999993</v>
      </c>
      <c r="I419" s="17">
        <v>1.1000000000000001</v>
      </c>
      <c r="J419" s="17">
        <v>2.7</v>
      </c>
      <c r="K419" s="17">
        <v>0.41499999999999998</v>
      </c>
      <c r="L419" s="17">
        <v>0.2</v>
      </c>
      <c r="M419" s="17">
        <v>0.4</v>
      </c>
      <c r="N419" s="17">
        <v>0.42899999999999999</v>
      </c>
      <c r="O419" s="17">
        <v>1</v>
      </c>
      <c r="P419" s="17">
        <v>2.2999999999999998</v>
      </c>
      <c r="Q419" s="17">
        <v>0.41299999999999998</v>
      </c>
      <c r="R419" s="17">
        <v>0.443</v>
      </c>
      <c r="S419" s="17">
        <v>0.6</v>
      </c>
      <c r="T419" s="17">
        <v>1</v>
      </c>
      <c r="U419" s="17">
        <v>0.55000000000000004</v>
      </c>
      <c r="V419" s="17">
        <v>1.2</v>
      </c>
      <c r="W419" s="17">
        <v>1.5</v>
      </c>
      <c r="X419" s="17">
        <v>2.7</v>
      </c>
      <c r="Y419" s="17">
        <v>0.8</v>
      </c>
      <c r="Z419" s="17">
        <v>0.2</v>
      </c>
      <c r="AA419" s="17">
        <v>0.4</v>
      </c>
      <c r="AB419" s="17">
        <v>0.5</v>
      </c>
      <c r="AC419" s="17">
        <v>0.8</v>
      </c>
      <c r="AD419" s="17">
        <v>2.9</v>
      </c>
      <c r="AE419" s="17"/>
      <c r="AG419" s="8" t="str">
        <v>Richaun Holmes</v>
      </c>
      <c r="AH419" s="8" t="str">
        <v>WAS</v>
      </c>
    </row>
    <row r="420" spans="1:34" ht="17" x14ac:dyDescent="0.2">
      <c r="A420" s="1">
        <v>408</v>
      </c>
      <c r="B420" s="18" t="s">
        <v>564</v>
      </c>
      <c r="C420" s="17">
        <v>31</v>
      </c>
      <c r="D420" s="18" t="s">
        <v>98</v>
      </c>
      <c r="E420" s="17" t="s">
        <v>29</v>
      </c>
      <c r="F420" s="17">
        <v>24</v>
      </c>
      <c r="G420" s="17">
        <v>0</v>
      </c>
      <c r="H420" s="17">
        <v>10.5</v>
      </c>
      <c r="I420" s="17">
        <v>1.1000000000000001</v>
      </c>
      <c r="J420" s="17">
        <v>1.8</v>
      </c>
      <c r="K420" s="17">
        <v>0.60499999999999998</v>
      </c>
      <c r="L420" s="17">
        <v>0</v>
      </c>
      <c r="M420" s="17">
        <v>0</v>
      </c>
      <c r="N420" s="17"/>
      <c r="O420" s="17">
        <v>1.1000000000000001</v>
      </c>
      <c r="P420" s="17">
        <v>1.8</v>
      </c>
      <c r="Q420" s="17">
        <v>0.60499999999999998</v>
      </c>
      <c r="R420" s="17">
        <v>0.60499999999999998</v>
      </c>
      <c r="S420" s="17">
        <v>0.6</v>
      </c>
      <c r="T420" s="17">
        <v>1.5</v>
      </c>
      <c r="U420" s="17">
        <v>0.378</v>
      </c>
      <c r="V420" s="17">
        <v>2.1</v>
      </c>
      <c r="W420" s="17">
        <v>2.2999999999999998</v>
      </c>
      <c r="X420" s="17">
        <v>4.5</v>
      </c>
      <c r="Y420" s="17">
        <v>1</v>
      </c>
      <c r="Z420" s="17">
        <v>0.3</v>
      </c>
      <c r="AA420" s="17">
        <v>0.2</v>
      </c>
      <c r="AB420" s="17">
        <v>1</v>
      </c>
      <c r="AC420" s="17">
        <v>1</v>
      </c>
      <c r="AD420" s="17">
        <v>2.8</v>
      </c>
      <c r="AE420" s="17"/>
      <c r="AG420" s="8" t="str">
        <v>Maxi Kleber</v>
      </c>
      <c r="AH420" s="8" t="str">
        <v>DAL</v>
      </c>
    </row>
    <row r="421" spans="1:34" ht="17" x14ac:dyDescent="0.2">
      <c r="A421" s="1">
        <v>409</v>
      </c>
      <c r="B421" s="18" t="s">
        <v>137</v>
      </c>
      <c r="C421" s="17">
        <v>22</v>
      </c>
      <c r="D421" s="18" t="s">
        <v>56</v>
      </c>
      <c r="E421" s="17" t="s">
        <v>35</v>
      </c>
      <c r="F421" s="17">
        <v>24</v>
      </c>
      <c r="G421" s="17">
        <v>0</v>
      </c>
      <c r="H421" s="17">
        <v>8.1999999999999993</v>
      </c>
      <c r="I421" s="17">
        <v>1.1000000000000001</v>
      </c>
      <c r="J421" s="17">
        <v>2.6</v>
      </c>
      <c r="K421" s="17">
        <v>0.435</v>
      </c>
      <c r="L421" s="17">
        <v>0.3</v>
      </c>
      <c r="M421" s="17">
        <v>0.9</v>
      </c>
      <c r="N421" s="17">
        <v>0.27300000000000002</v>
      </c>
      <c r="O421" s="17">
        <v>0.9</v>
      </c>
      <c r="P421" s="17">
        <v>1.7</v>
      </c>
      <c r="Q421" s="17">
        <v>0.52500000000000002</v>
      </c>
      <c r="R421" s="17">
        <v>0.48399999999999999</v>
      </c>
      <c r="S421" s="17">
        <v>0.3</v>
      </c>
      <c r="T421" s="17">
        <v>0.5</v>
      </c>
      <c r="U421" s="17">
        <v>0.63600000000000001</v>
      </c>
      <c r="V421" s="17">
        <v>0.3</v>
      </c>
      <c r="W421" s="17">
        <v>1</v>
      </c>
      <c r="X421" s="17">
        <v>1.3</v>
      </c>
      <c r="Y421" s="17">
        <v>0.4</v>
      </c>
      <c r="Z421" s="17">
        <v>0.5</v>
      </c>
      <c r="AA421" s="17">
        <v>0.3</v>
      </c>
      <c r="AB421" s="17">
        <v>0.2</v>
      </c>
      <c r="AC421" s="17">
        <v>0.7</v>
      </c>
      <c r="AD421" s="17">
        <v>2.8</v>
      </c>
      <c r="AE421" s="17"/>
      <c r="AG421" s="8" t="str">
        <v>E.J. Liddell</v>
      </c>
      <c r="AH421" s="8" t="str">
        <v>CHI</v>
      </c>
    </row>
    <row r="422" spans="1:34" ht="17" x14ac:dyDescent="0.2">
      <c r="A422" s="1">
        <v>410</v>
      </c>
      <c r="B422" s="18" t="s">
        <v>526</v>
      </c>
      <c r="C422" s="17">
        <v>27</v>
      </c>
      <c r="D422" s="18" t="s">
        <v>64</v>
      </c>
      <c r="E422" s="17" t="s">
        <v>46</v>
      </c>
      <c r="F422" s="17">
        <v>13</v>
      </c>
      <c r="G422" s="17">
        <v>0</v>
      </c>
      <c r="H422" s="17">
        <v>9.6999999999999993</v>
      </c>
      <c r="I422" s="17">
        <v>1.1000000000000001</v>
      </c>
      <c r="J422" s="17">
        <v>2.5</v>
      </c>
      <c r="K422" s="17">
        <v>0.42399999999999999</v>
      </c>
      <c r="L422" s="17">
        <v>0.2</v>
      </c>
      <c r="M422" s="17">
        <v>0.7</v>
      </c>
      <c r="N422" s="17">
        <v>0.222</v>
      </c>
      <c r="O422" s="17">
        <v>0.9</v>
      </c>
      <c r="P422" s="17">
        <v>1.8</v>
      </c>
      <c r="Q422" s="17">
        <v>0.5</v>
      </c>
      <c r="R422" s="17">
        <v>0.45500000000000002</v>
      </c>
      <c r="S422" s="17">
        <v>0.5</v>
      </c>
      <c r="T422" s="17">
        <v>0.8</v>
      </c>
      <c r="U422" s="17">
        <v>0.63600000000000001</v>
      </c>
      <c r="V422" s="17">
        <v>0.2</v>
      </c>
      <c r="W422" s="17">
        <v>0.8</v>
      </c>
      <c r="X422" s="17">
        <v>1</v>
      </c>
      <c r="Y422" s="17">
        <v>1</v>
      </c>
      <c r="Z422" s="17">
        <v>0.3</v>
      </c>
      <c r="AA422" s="17">
        <v>0.1</v>
      </c>
      <c r="AB422" s="17">
        <v>0.2</v>
      </c>
      <c r="AC422" s="17">
        <v>0.5</v>
      </c>
      <c r="AD422" s="17">
        <v>2.8</v>
      </c>
      <c r="AE422" s="17"/>
      <c r="AG422" s="8" t="str">
        <v>Trey Jemison</v>
      </c>
      <c r="AH422" s="8" t="str">
        <v>NOP</v>
      </c>
    </row>
    <row r="423" spans="1:34" ht="17" x14ac:dyDescent="0.2">
      <c r="A423" s="1">
        <v>411</v>
      </c>
      <c r="B423" s="18" t="s">
        <v>436</v>
      </c>
      <c r="C423" s="17">
        <v>32</v>
      </c>
      <c r="D423" s="18" t="s">
        <v>50</v>
      </c>
      <c r="E423" s="17" t="s">
        <v>46</v>
      </c>
      <c r="F423" s="17">
        <v>23</v>
      </c>
      <c r="G423" s="17">
        <v>2</v>
      </c>
      <c r="H423" s="17">
        <v>16.100000000000001</v>
      </c>
      <c r="I423" s="17">
        <v>1</v>
      </c>
      <c r="J423" s="17">
        <v>3.1</v>
      </c>
      <c r="K423" s="17">
        <v>0.30599999999999999</v>
      </c>
      <c r="L423" s="17">
        <v>0.5</v>
      </c>
      <c r="M423" s="17">
        <v>1.9</v>
      </c>
      <c r="N423" s="17">
        <v>0.27300000000000002</v>
      </c>
      <c r="O423" s="17">
        <v>0.4</v>
      </c>
      <c r="P423" s="17">
        <v>1.2</v>
      </c>
      <c r="Q423" s="17">
        <v>0.35699999999999998</v>
      </c>
      <c r="R423" s="17">
        <v>0.38900000000000001</v>
      </c>
      <c r="S423" s="17">
        <v>0.3</v>
      </c>
      <c r="T423" s="17">
        <v>0.6</v>
      </c>
      <c r="U423" s="17">
        <v>0.57099999999999995</v>
      </c>
      <c r="V423" s="17">
        <v>0.7</v>
      </c>
      <c r="W423" s="17">
        <v>1.2</v>
      </c>
      <c r="X423" s="17">
        <v>1.8</v>
      </c>
      <c r="Y423" s="17">
        <v>1.8</v>
      </c>
      <c r="Z423" s="17">
        <v>0.8</v>
      </c>
      <c r="AA423" s="17">
        <v>0.3</v>
      </c>
      <c r="AB423" s="17">
        <v>0.6</v>
      </c>
      <c r="AC423" s="17">
        <v>0.7</v>
      </c>
      <c r="AD423" s="17">
        <v>2.8</v>
      </c>
      <c r="AE423" s="17"/>
      <c r="AG423" s="8" t="str">
        <v>Damion Lee</v>
      </c>
      <c r="AH423" s="8" t="str">
        <v>PHO</v>
      </c>
    </row>
    <row r="424" spans="1:34" ht="17" x14ac:dyDescent="0.2">
      <c r="A424" s="1">
        <v>412</v>
      </c>
      <c r="B424" s="18" t="s">
        <v>149</v>
      </c>
      <c r="C424" s="17">
        <v>27</v>
      </c>
      <c r="D424" s="18" t="s">
        <v>84</v>
      </c>
      <c r="E424" s="17" t="s">
        <v>35</v>
      </c>
      <c r="F424" s="17">
        <v>14</v>
      </c>
      <c r="G424" s="17">
        <v>0</v>
      </c>
      <c r="H424" s="17">
        <v>4.9000000000000004</v>
      </c>
      <c r="I424" s="17">
        <v>0.9</v>
      </c>
      <c r="J424" s="17">
        <v>1.8</v>
      </c>
      <c r="K424" s="17">
        <v>0.48</v>
      </c>
      <c r="L424" s="17">
        <v>0.4</v>
      </c>
      <c r="M424" s="17">
        <v>1</v>
      </c>
      <c r="N424" s="17">
        <v>0.42899999999999999</v>
      </c>
      <c r="O424" s="17">
        <v>0.4</v>
      </c>
      <c r="P424" s="17">
        <v>0.8</v>
      </c>
      <c r="Q424" s="17">
        <v>0.54500000000000004</v>
      </c>
      <c r="R424" s="17">
        <v>0.6</v>
      </c>
      <c r="S424" s="17">
        <v>0.4</v>
      </c>
      <c r="T424" s="17">
        <v>0.6</v>
      </c>
      <c r="U424" s="17">
        <v>0.75</v>
      </c>
      <c r="V424" s="17">
        <v>0.4</v>
      </c>
      <c r="W424" s="17">
        <v>1</v>
      </c>
      <c r="X424" s="17">
        <v>1.4</v>
      </c>
      <c r="Y424" s="17">
        <v>0.6</v>
      </c>
      <c r="Z424" s="17">
        <v>0</v>
      </c>
      <c r="AA424" s="17">
        <v>0</v>
      </c>
      <c r="AB424" s="17">
        <v>0.1</v>
      </c>
      <c r="AC424" s="17">
        <v>0.5</v>
      </c>
      <c r="AD424" s="17">
        <v>2.6</v>
      </c>
      <c r="AE424" s="17"/>
      <c r="AG424" s="8" t="str">
        <v>Craig Porter Jr.</v>
      </c>
      <c r="AH424" s="8" t="str">
        <v>CLE</v>
      </c>
    </row>
    <row r="425" spans="1:34" ht="17" x14ac:dyDescent="0.2">
      <c r="A425" s="1">
        <v>413</v>
      </c>
      <c r="B425" s="18" t="s">
        <v>207</v>
      </c>
      <c r="C425" s="17">
        <v>22</v>
      </c>
      <c r="D425" s="18" t="s">
        <v>52</v>
      </c>
      <c r="E425" s="17" t="s">
        <v>54</v>
      </c>
      <c r="F425" s="17">
        <v>26</v>
      </c>
      <c r="G425" s="17">
        <v>4</v>
      </c>
      <c r="H425" s="17">
        <v>9.8000000000000007</v>
      </c>
      <c r="I425" s="17">
        <v>0.8</v>
      </c>
      <c r="J425" s="17">
        <v>2.4</v>
      </c>
      <c r="K425" s="17">
        <v>0.33300000000000002</v>
      </c>
      <c r="L425" s="17">
        <v>0.7</v>
      </c>
      <c r="M425" s="17">
        <v>2.1</v>
      </c>
      <c r="N425" s="17">
        <v>0.34499999999999997</v>
      </c>
      <c r="O425" s="17">
        <v>0.1</v>
      </c>
      <c r="P425" s="17">
        <v>0.3</v>
      </c>
      <c r="Q425" s="17">
        <v>0.25</v>
      </c>
      <c r="R425" s="17">
        <v>0.48399999999999999</v>
      </c>
      <c r="S425" s="17">
        <v>0.3</v>
      </c>
      <c r="T425" s="17">
        <v>0.3</v>
      </c>
      <c r="U425" s="17">
        <v>1</v>
      </c>
      <c r="V425" s="17">
        <v>0.2</v>
      </c>
      <c r="W425" s="17">
        <v>0.5</v>
      </c>
      <c r="X425" s="17">
        <v>0.7</v>
      </c>
      <c r="Y425" s="17">
        <v>0.3</v>
      </c>
      <c r="Z425" s="17">
        <v>0.2</v>
      </c>
      <c r="AA425" s="17">
        <v>0.1</v>
      </c>
      <c r="AB425" s="17">
        <v>0.2</v>
      </c>
      <c r="AC425" s="17">
        <v>0.7</v>
      </c>
      <c r="AD425" s="17">
        <v>2.6</v>
      </c>
      <c r="AE425" s="17"/>
      <c r="AG425" s="8" t="str">
        <v>Vlatko Čančar</v>
      </c>
      <c r="AH425" s="8" t="str">
        <v>DEN</v>
      </c>
    </row>
    <row r="426" spans="1:34" ht="17" x14ac:dyDescent="0.2">
      <c r="A426" s="1">
        <v>414</v>
      </c>
      <c r="B426" s="18" t="s">
        <v>342</v>
      </c>
      <c r="C426" s="17">
        <v>28</v>
      </c>
      <c r="D426" s="18" t="s">
        <v>58</v>
      </c>
      <c r="E426" s="17" t="s">
        <v>29</v>
      </c>
      <c r="F426" s="17">
        <v>16</v>
      </c>
      <c r="G426" s="17">
        <v>0</v>
      </c>
      <c r="H426" s="17">
        <v>5.9</v>
      </c>
      <c r="I426" s="17">
        <v>0.9</v>
      </c>
      <c r="J426" s="17">
        <v>2.1</v>
      </c>
      <c r="K426" s="17">
        <v>0.41199999999999998</v>
      </c>
      <c r="L426" s="17">
        <v>0.6</v>
      </c>
      <c r="M426" s="17">
        <v>1.5</v>
      </c>
      <c r="N426" s="17">
        <v>0.375</v>
      </c>
      <c r="O426" s="17">
        <v>0.3</v>
      </c>
      <c r="P426" s="17">
        <v>0.6</v>
      </c>
      <c r="Q426" s="17">
        <v>0.5</v>
      </c>
      <c r="R426" s="17">
        <v>0.54400000000000004</v>
      </c>
      <c r="S426" s="17">
        <v>0.3</v>
      </c>
      <c r="T426" s="17">
        <v>0.4</v>
      </c>
      <c r="U426" s="17">
        <v>0.66700000000000004</v>
      </c>
      <c r="V426" s="17">
        <v>0.5</v>
      </c>
      <c r="W426" s="17">
        <v>0.5</v>
      </c>
      <c r="X426" s="17">
        <v>1</v>
      </c>
      <c r="Y426" s="17">
        <v>0.3</v>
      </c>
      <c r="Z426" s="17">
        <v>0</v>
      </c>
      <c r="AA426" s="17">
        <v>0.1</v>
      </c>
      <c r="AB426" s="17">
        <v>0.1</v>
      </c>
      <c r="AC426" s="17">
        <v>0.7</v>
      </c>
      <c r="AD426" s="17">
        <v>2.6</v>
      </c>
      <c r="AE426" s="17"/>
      <c r="AG426" s="8" t="str">
        <v>Keshad Johnson</v>
      </c>
      <c r="AH426" s="8" t="str">
        <v>MIA</v>
      </c>
    </row>
    <row r="427" spans="1:34" ht="17" x14ac:dyDescent="0.2">
      <c r="A427" s="1">
        <v>415</v>
      </c>
      <c r="B427" s="18" t="s">
        <v>584</v>
      </c>
      <c r="C427" s="17">
        <v>20</v>
      </c>
      <c r="D427" s="18" t="s">
        <v>99</v>
      </c>
      <c r="E427" s="17" t="s">
        <v>35</v>
      </c>
      <c r="F427" s="17">
        <v>24</v>
      </c>
      <c r="G427" s="17">
        <v>0</v>
      </c>
      <c r="H427" s="17">
        <v>8.8000000000000007</v>
      </c>
      <c r="I427" s="17">
        <v>0.9</v>
      </c>
      <c r="J427" s="17">
        <v>2.2999999999999998</v>
      </c>
      <c r="K427" s="17">
        <v>0.38200000000000001</v>
      </c>
      <c r="L427" s="17">
        <v>0.5</v>
      </c>
      <c r="M427" s="17">
        <v>1.3</v>
      </c>
      <c r="N427" s="17">
        <v>0.34399999999999997</v>
      </c>
      <c r="O427" s="17">
        <v>0.4</v>
      </c>
      <c r="P427" s="17">
        <v>1</v>
      </c>
      <c r="Q427" s="17">
        <v>0.435</v>
      </c>
      <c r="R427" s="17">
        <v>0.48199999999999998</v>
      </c>
      <c r="S427" s="17">
        <v>0.3</v>
      </c>
      <c r="T427" s="17">
        <v>0.3</v>
      </c>
      <c r="U427" s="17">
        <v>1</v>
      </c>
      <c r="V427" s="17">
        <v>0.5</v>
      </c>
      <c r="W427" s="17">
        <v>0.7</v>
      </c>
      <c r="X427" s="17">
        <v>1.2</v>
      </c>
      <c r="Y427" s="17">
        <v>0.4</v>
      </c>
      <c r="Z427" s="17">
        <v>0.3</v>
      </c>
      <c r="AA427" s="17">
        <v>0.3</v>
      </c>
      <c r="AB427" s="17">
        <v>0.4</v>
      </c>
      <c r="AC427" s="17">
        <v>0.8</v>
      </c>
      <c r="AD427" s="17">
        <v>2.5</v>
      </c>
      <c r="AE427" s="17"/>
      <c r="AG427" s="8" t="str">
        <v>Lester Quiñones</v>
      </c>
      <c r="AH427" s="8" t="str">
        <v>PHI</v>
      </c>
    </row>
    <row r="428" spans="1:34" ht="17" x14ac:dyDescent="0.2">
      <c r="A428" s="1">
        <v>416</v>
      </c>
      <c r="B428" s="18" t="s">
        <v>168</v>
      </c>
      <c r="C428" s="17">
        <v>39</v>
      </c>
      <c r="D428" s="18" t="s">
        <v>61</v>
      </c>
      <c r="E428" s="17" t="s">
        <v>29</v>
      </c>
      <c r="F428" s="17">
        <v>15</v>
      </c>
      <c r="G428" s="17">
        <v>8</v>
      </c>
      <c r="H428" s="17">
        <v>10.6</v>
      </c>
      <c r="I428" s="17">
        <v>1.1000000000000001</v>
      </c>
      <c r="J428" s="17">
        <v>2.2999999999999998</v>
      </c>
      <c r="K428" s="17">
        <v>0.47099999999999997</v>
      </c>
      <c r="L428" s="17">
        <v>0.1</v>
      </c>
      <c r="M428" s="17">
        <v>0.1</v>
      </c>
      <c r="N428" s="17">
        <v>0.5</v>
      </c>
      <c r="O428" s="17">
        <v>1</v>
      </c>
      <c r="P428" s="17">
        <v>2.1</v>
      </c>
      <c r="Q428" s="17">
        <v>0.46899999999999997</v>
      </c>
      <c r="R428" s="17">
        <v>0.48499999999999999</v>
      </c>
      <c r="S428" s="17">
        <v>0.3</v>
      </c>
      <c r="T428" s="17">
        <v>0.5</v>
      </c>
      <c r="U428" s="17">
        <v>0.625</v>
      </c>
      <c r="V428" s="17">
        <v>1.4</v>
      </c>
      <c r="W428" s="17">
        <v>1.6</v>
      </c>
      <c r="X428" s="17">
        <v>3</v>
      </c>
      <c r="Y428" s="17">
        <v>0.5</v>
      </c>
      <c r="Z428" s="17">
        <v>0.4</v>
      </c>
      <c r="AA428" s="17">
        <v>0.3</v>
      </c>
      <c r="AB428" s="17">
        <v>0.6</v>
      </c>
      <c r="AC428" s="17">
        <v>1.2</v>
      </c>
      <c r="AD428" s="17">
        <v>2.5</v>
      </c>
      <c r="AE428" s="17"/>
      <c r="AG428" s="8" t="str">
        <v>Hunter Tyson</v>
      </c>
      <c r="AH428" s="8" t="str">
        <v>DEN</v>
      </c>
    </row>
    <row r="429" spans="1:34" ht="17" x14ac:dyDescent="0.2">
      <c r="A429" s="1">
        <v>417</v>
      </c>
      <c r="B429" s="18" t="s">
        <v>202</v>
      </c>
      <c r="C429" s="17">
        <v>31</v>
      </c>
      <c r="D429" s="18" t="s">
        <v>56</v>
      </c>
      <c r="E429" s="17" t="s">
        <v>27</v>
      </c>
      <c r="F429" s="17">
        <v>6</v>
      </c>
      <c r="G429" s="17">
        <v>0</v>
      </c>
      <c r="H429" s="17">
        <v>8.8000000000000007</v>
      </c>
      <c r="I429" s="17">
        <v>1</v>
      </c>
      <c r="J429" s="17">
        <v>2.2999999999999998</v>
      </c>
      <c r="K429" s="17">
        <v>0.42899999999999999</v>
      </c>
      <c r="L429" s="17">
        <v>0</v>
      </c>
      <c r="M429" s="17">
        <v>0.2</v>
      </c>
      <c r="N429" s="17">
        <v>0</v>
      </c>
      <c r="O429" s="17">
        <v>1</v>
      </c>
      <c r="P429" s="17">
        <v>2.2000000000000002</v>
      </c>
      <c r="Q429" s="17">
        <v>0.46200000000000002</v>
      </c>
      <c r="R429" s="17">
        <v>0.42899999999999999</v>
      </c>
      <c r="S429" s="17">
        <v>0.5</v>
      </c>
      <c r="T429" s="17">
        <v>0.5</v>
      </c>
      <c r="U429" s="17">
        <v>1</v>
      </c>
      <c r="V429" s="17">
        <v>1</v>
      </c>
      <c r="W429" s="17">
        <v>2.2000000000000002</v>
      </c>
      <c r="X429" s="17">
        <v>3.2</v>
      </c>
      <c r="Y429" s="17">
        <v>0.2</v>
      </c>
      <c r="Z429" s="17">
        <v>0</v>
      </c>
      <c r="AA429" s="17">
        <v>0.7</v>
      </c>
      <c r="AB429" s="17">
        <v>0.3</v>
      </c>
      <c r="AC429" s="17">
        <v>0.8</v>
      </c>
      <c r="AD429" s="17">
        <v>2.5</v>
      </c>
      <c r="AE429" s="17"/>
      <c r="AG429" s="8" t="str">
        <v>Patrick Baldwin Jr.</v>
      </c>
      <c r="AH429" s="8" t="str">
        <v>WAS</v>
      </c>
    </row>
    <row r="430" spans="1:34" ht="17" x14ac:dyDescent="0.2">
      <c r="A430" s="1">
        <v>418</v>
      </c>
      <c r="B430" s="18" t="s">
        <v>246</v>
      </c>
      <c r="C430" s="17">
        <v>33</v>
      </c>
      <c r="D430" s="18" t="s">
        <v>100</v>
      </c>
      <c r="E430" s="17" t="s">
        <v>27</v>
      </c>
      <c r="F430" s="17">
        <v>26</v>
      </c>
      <c r="G430" s="17">
        <v>4</v>
      </c>
      <c r="H430" s="17">
        <v>19.399999999999999</v>
      </c>
      <c r="I430" s="17">
        <v>0.9</v>
      </c>
      <c r="J430" s="17">
        <v>2.2999999999999998</v>
      </c>
      <c r="K430" s="17">
        <v>0.39300000000000002</v>
      </c>
      <c r="L430" s="17">
        <v>0.3</v>
      </c>
      <c r="M430" s="17">
        <v>1</v>
      </c>
      <c r="N430" s="17">
        <v>0.25900000000000001</v>
      </c>
      <c r="O430" s="17">
        <v>0.7</v>
      </c>
      <c r="P430" s="17">
        <v>1.3</v>
      </c>
      <c r="Q430" s="17">
        <v>0.5</v>
      </c>
      <c r="R430" s="17">
        <v>0.45100000000000001</v>
      </c>
      <c r="S430" s="17">
        <v>0.4</v>
      </c>
      <c r="T430" s="17">
        <v>0.5</v>
      </c>
      <c r="U430" s="17">
        <v>0.78600000000000003</v>
      </c>
      <c r="V430" s="17">
        <v>0.7</v>
      </c>
      <c r="W430" s="17">
        <v>2.5</v>
      </c>
      <c r="X430" s="17">
        <v>3.1</v>
      </c>
      <c r="Y430" s="17">
        <v>1</v>
      </c>
      <c r="Z430" s="17">
        <v>0.3</v>
      </c>
      <c r="AA430" s="17">
        <v>0.5</v>
      </c>
      <c r="AB430" s="17">
        <v>0.7</v>
      </c>
      <c r="AC430" s="17">
        <v>1.9</v>
      </c>
      <c r="AD430" s="17">
        <v>2.5</v>
      </c>
      <c r="AE430" s="17"/>
      <c r="AG430" s="8" t="str">
        <v>Kai Jones</v>
      </c>
      <c r="AH430" s="8" t="str">
        <v>LAC</v>
      </c>
    </row>
    <row r="431" spans="1:34" ht="17" x14ac:dyDescent="0.2">
      <c r="A431" s="1">
        <v>419</v>
      </c>
      <c r="B431" s="18" t="s">
        <v>257</v>
      </c>
      <c r="C431" s="17">
        <v>24</v>
      </c>
      <c r="D431" s="18" t="s">
        <v>84</v>
      </c>
      <c r="E431" s="17" t="s">
        <v>27</v>
      </c>
      <c r="F431" s="17">
        <v>6</v>
      </c>
      <c r="G431" s="17">
        <v>0</v>
      </c>
      <c r="H431" s="17">
        <v>5.2</v>
      </c>
      <c r="I431" s="17">
        <v>0.8</v>
      </c>
      <c r="J431" s="17">
        <v>1.3</v>
      </c>
      <c r="K431" s="17">
        <v>0.625</v>
      </c>
      <c r="L431" s="17">
        <v>0.5</v>
      </c>
      <c r="M431" s="17">
        <v>1</v>
      </c>
      <c r="N431" s="17">
        <v>0.5</v>
      </c>
      <c r="O431" s="17">
        <v>0.3</v>
      </c>
      <c r="P431" s="17">
        <v>0.3</v>
      </c>
      <c r="Q431" s="17">
        <v>1</v>
      </c>
      <c r="R431" s="17">
        <v>0.81299999999999994</v>
      </c>
      <c r="S431" s="17">
        <v>0.3</v>
      </c>
      <c r="T431" s="17">
        <v>0.3</v>
      </c>
      <c r="U431" s="17">
        <v>1</v>
      </c>
      <c r="V431" s="17">
        <v>0.2</v>
      </c>
      <c r="W431" s="17">
        <v>0.7</v>
      </c>
      <c r="X431" s="17">
        <v>0.8</v>
      </c>
      <c r="Y431" s="17">
        <v>0.5</v>
      </c>
      <c r="Z431" s="17">
        <v>0.2</v>
      </c>
      <c r="AA431" s="17">
        <v>0.2</v>
      </c>
      <c r="AB431" s="17">
        <v>0.3</v>
      </c>
      <c r="AC431" s="17">
        <v>1.3</v>
      </c>
      <c r="AD431" s="17">
        <v>2.5</v>
      </c>
      <c r="AE431" s="17"/>
      <c r="AG431" s="8" t="str">
        <v>Tyler Kolek</v>
      </c>
      <c r="AH431" s="8" t="str">
        <v>NYK</v>
      </c>
    </row>
    <row r="432" spans="1:34" ht="17" x14ac:dyDescent="0.2">
      <c r="A432" s="1">
        <v>420</v>
      </c>
      <c r="B432" s="18" t="s">
        <v>225</v>
      </c>
      <c r="C432" s="17">
        <v>25</v>
      </c>
      <c r="D432" s="18" t="s">
        <v>47</v>
      </c>
      <c r="E432" s="17" t="s">
        <v>29</v>
      </c>
      <c r="F432" s="17">
        <v>16</v>
      </c>
      <c r="G432" s="17">
        <v>0</v>
      </c>
      <c r="H432" s="17">
        <v>10.4</v>
      </c>
      <c r="I432" s="17">
        <v>0.9</v>
      </c>
      <c r="J432" s="17">
        <v>2</v>
      </c>
      <c r="K432" s="17">
        <v>0.46899999999999997</v>
      </c>
      <c r="L432" s="17">
        <v>0</v>
      </c>
      <c r="M432" s="17">
        <v>0</v>
      </c>
      <c r="N432" s="17"/>
      <c r="O432" s="17">
        <v>0.9</v>
      </c>
      <c r="P432" s="17">
        <v>2</v>
      </c>
      <c r="Q432" s="17">
        <v>0.46899999999999997</v>
      </c>
      <c r="R432" s="17">
        <v>0.46899999999999997</v>
      </c>
      <c r="S432" s="17">
        <v>0.5</v>
      </c>
      <c r="T432" s="17">
        <v>1.3</v>
      </c>
      <c r="U432" s="17">
        <v>0.38100000000000001</v>
      </c>
      <c r="V432" s="17">
        <v>1.4</v>
      </c>
      <c r="W432" s="17">
        <v>1.4</v>
      </c>
      <c r="X432" s="17">
        <v>2.8</v>
      </c>
      <c r="Y432" s="17">
        <v>0.6</v>
      </c>
      <c r="Z432" s="17">
        <v>0.4</v>
      </c>
      <c r="AA432" s="17">
        <v>0.4</v>
      </c>
      <c r="AB432" s="17">
        <v>0.6</v>
      </c>
      <c r="AC432" s="17">
        <v>1.7</v>
      </c>
      <c r="AD432" s="17">
        <v>2.4</v>
      </c>
      <c r="AE432" s="17"/>
      <c r="AG432" s="8" t="str">
        <v>Olivier-Maxence Prosper</v>
      </c>
      <c r="AH432" s="8" t="str">
        <v>DAL</v>
      </c>
    </row>
    <row r="433" spans="1:34" ht="17" x14ac:dyDescent="0.2">
      <c r="A433" s="1">
        <v>421</v>
      </c>
      <c r="B433" s="18" t="s">
        <v>558</v>
      </c>
      <c r="C433" s="17">
        <v>32</v>
      </c>
      <c r="D433" s="18" t="s">
        <v>42</v>
      </c>
      <c r="E433" s="17" t="s">
        <v>35</v>
      </c>
      <c r="F433" s="17">
        <v>8</v>
      </c>
      <c r="G433" s="17">
        <v>0</v>
      </c>
      <c r="H433" s="17">
        <v>6</v>
      </c>
      <c r="I433" s="17">
        <v>0.6</v>
      </c>
      <c r="J433" s="17">
        <v>2.6</v>
      </c>
      <c r="K433" s="17">
        <v>0.23799999999999999</v>
      </c>
      <c r="L433" s="17">
        <v>0.1</v>
      </c>
      <c r="M433" s="17">
        <v>1.5</v>
      </c>
      <c r="N433" s="17">
        <v>8.3000000000000004E-2</v>
      </c>
      <c r="O433" s="17">
        <v>0.5</v>
      </c>
      <c r="P433" s="17">
        <v>1.1000000000000001</v>
      </c>
      <c r="Q433" s="17">
        <v>0.44400000000000001</v>
      </c>
      <c r="R433" s="17">
        <v>0.26200000000000001</v>
      </c>
      <c r="S433" s="17">
        <v>1</v>
      </c>
      <c r="T433" s="17">
        <v>1</v>
      </c>
      <c r="U433" s="17">
        <v>1</v>
      </c>
      <c r="V433" s="17">
        <v>0.1</v>
      </c>
      <c r="W433" s="17">
        <v>0.6</v>
      </c>
      <c r="X433" s="17">
        <v>0.8</v>
      </c>
      <c r="Y433" s="17">
        <v>0.6</v>
      </c>
      <c r="Z433" s="17">
        <v>0.3</v>
      </c>
      <c r="AA433" s="17">
        <v>0</v>
      </c>
      <c r="AB433" s="17">
        <v>0.4</v>
      </c>
      <c r="AC433" s="17">
        <v>0.3</v>
      </c>
      <c r="AD433" s="17">
        <v>2.4</v>
      </c>
      <c r="AE433" s="17"/>
      <c r="AG433" s="8" t="str">
        <v>Reece Beekman</v>
      </c>
      <c r="AH433" s="8" t="str">
        <v>BRK</v>
      </c>
    </row>
    <row r="434" spans="1:34" ht="17" x14ac:dyDescent="0.2">
      <c r="A434" s="1">
        <v>422</v>
      </c>
      <c r="B434" s="18" t="s">
        <v>330</v>
      </c>
      <c r="C434" s="17">
        <v>24</v>
      </c>
      <c r="D434" s="18" t="s">
        <v>44</v>
      </c>
      <c r="E434" s="17" t="s">
        <v>46</v>
      </c>
      <c r="F434" s="17">
        <v>21</v>
      </c>
      <c r="G434" s="17">
        <v>0</v>
      </c>
      <c r="H434" s="17">
        <v>8.3000000000000007</v>
      </c>
      <c r="I434" s="17">
        <v>1</v>
      </c>
      <c r="J434" s="17">
        <v>1.8</v>
      </c>
      <c r="K434" s="17">
        <v>0.54100000000000004</v>
      </c>
      <c r="L434" s="17">
        <v>0.2</v>
      </c>
      <c r="M434" s="17">
        <v>0.5</v>
      </c>
      <c r="N434" s="17">
        <v>0.45500000000000002</v>
      </c>
      <c r="O434" s="17">
        <v>0.7</v>
      </c>
      <c r="P434" s="17">
        <v>1.2</v>
      </c>
      <c r="Q434" s="17">
        <v>0.57699999999999996</v>
      </c>
      <c r="R434" s="17">
        <v>0.60799999999999998</v>
      </c>
      <c r="S434" s="17">
        <v>0.2</v>
      </c>
      <c r="T434" s="17">
        <v>0.3</v>
      </c>
      <c r="U434" s="17">
        <v>0.71399999999999997</v>
      </c>
      <c r="V434" s="17">
        <v>0.1</v>
      </c>
      <c r="W434" s="17">
        <v>0.7</v>
      </c>
      <c r="X434" s="17">
        <v>0.8</v>
      </c>
      <c r="Y434" s="17">
        <v>1.1000000000000001</v>
      </c>
      <c r="Z434" s="17">
        <v>0.2</v>
      </c>
      <c r="AA434" s="17">
        <v>0.3</v>
      </c>
      <c r="AB434" s="17">
        <v>0.4</v>
      </c>
      <c r="AC434" s="17">
        <v>0.4</v>
      </c>
      <c r="AD434" s="17">
        <v>2.4</v>
      </c>
      <c r="AE434" s="17"/>
      <c r="AG434" s="8" t="str">
        <v>Anthony Gill</v>
      </c>
      <c r="AH434" s="8" t="str">
        <v>WAS</v>
      </c>
    </row>
    <row r="435" spans="1:34" ht="17" x14ac:dyDescent="0.2">
      <c r="A435" s="1">
        <v>423</v>
      </c>
      <c r="B435" s="18" t="s">
        <v>591</v>
      </c>
      <c r="C435" s="17">
        <v>27</v>
      </c>
      <c r="D435" s="18" t="s">
        <v>93</v>
      </c>
      <c r="E435" s="17" t="s">
        <v>27</v>
      </c>
      <c r="F435" s="17">
        <v>4</v>
      </c>
      <c r="G435" s="17">
        <v>0</v>
      </c>
      <c r="H435" s="17">
        <v>8.5</v>
      </c>
      <c r="I435" s="17">
        <v>1</v>
      </c>
      <c r="J435" s="17">
        <v>1.8</v>
      </c>
      <c r="K435" s="17">
        <v>0.57099999999999995</v>
      </c>
      <c r="L435" s="17">
        <v>0.3</v>
      </c>
      <c r="M435" s="17">
        <v>0.5</v>
      </c>
      <c r="N435" s="17">
        <v>0.5</v>
      </c>
      <c r="O435" s="17">
        <v>0.8</v>
      </c>
      <c r="P435" s="17">
        <v>1.3</v>
      </c>
      <c r="Q435" s="17">
        <v>0.6</v>
      </c>
      <c r="R435" s="17">
        <v>0.64300000000000002</v>
      </c>
      <c r="S435" s="17">
        <v>0</v>
      </c>
      <c r="T435" s="17">
        <v>0</v>
      </c>
      <c r="U435" s="17"/>
      <c r="V435" s="17">
        <v>0.8</v>
      </c>
      <c r="W435" s="17">
        <v>1.3</v>
      </c>
      <c r="X435" s="17">
        <v>2</v>
      </c>
      <c r="Y435" s="17">
        <v>0</v>
      </c>
      <c r="Z435" s="17">
        <v>0</v>
      </c>
      <c r="AA435" s="17">
        <v>0.3</v>
      </c>
      <c r="AB435" s="17">
        <v>0.5</v>
      </c>
      <c r="AC435" s="17">
        <v>1</v>
      </c>
      <c r="AD435" s="17">
        <v>2.2999999999999998</v>
      </c>
      <c r="AE435" s="17"/>
      <c r="AG435" s="8" t="str">
        <v>Christian Koloko</v>
      </c>
      <c r="AH435" s="8" t="str">
        <v>LAL</v>
      </c>
    </row>
    <row r="436" spans="1:34" ht="17" x14ac:dyDescent="0.2">
      <c r="A436" s="1">
        <v>424</v>
      </c>
      <c r="B436" s="18" t="s">
        <v>648</v>
      </c>
      <c r="C436" s="17">
        <v>23</v>
      </c>
      <c r="D436" s="18" t="s">
        <v>33</v>
      </c>
      <c r="E436" s="17" t="s">
        <v>54</v>
      </c>
      <c r="F436" s="17">
        <v>6</v>
      </c>
      <c r="G436" s="17">
        <v>0</v>
      </c>
      <c r="H436" s="17">
        <v>7.7</v>
      </c>
      <c r="I436" s="17">
        <v>1</v>
      </c>
      <c r="J436" s="17">
        <v>1.7</v>
      </c>
      <c r="K436" s="17">
        <v>0.6</v>
      </c>
      <c r="L436" s="17">
        <v>0.2</v>
      </c>
      <c r="M436" s="17">
        <v>0.7</v>
      </c>
      <c r="N436" s="17">
        <v>0.25</v>
      </c>
      <c r="O436" s="17">
        <v>0.8</v>
      </c>
      <c r="P436" s="17">
        <v>1</v>
      </c>
      <c r="Q436" s="17">
        <v>0.83299999999999996</v>
      </c>
      <c r="R436" s="17">
        <v>0.65</v>
      </c>
      <c r="S436" s="17">
        <v>0.2</v>
      </c>
      <c r="T436" s="17">
        <v>0.7</v>
      </c>
      <c r="U436" s="17">
        <v>0.25</v>
      </c>
      <c r="V436" s="17">
        <v>0.2</v>
      </c>
      <c r="W436" s="17">
        <v>2</v>
      </c>
      <c r="X436" s="17">
        <v>2.2000000000000002</v>
      </c>
      <c r="Y436" s="17">
        <v>0.3</v>
      </c>
      <c r="Z436" s="17">
        <v>0.2</v>
      </c>
      <c r="AA436" s="17">
        <v>0.7</v>
      </c>
      <c r="AB436" s="17">
        <v>0.3</v>
      </c>
      <c r="AC436" s="17">
        <v>0.7</v>
      </c>
      <c r="AD436" s="17">
        <v>2.2999999999999998</v>
      </c>
      <c r="AE436" s="17"/>
      <c r="AG436" s="8" t="str">
        <v>Orlando Robinson</v>
      </c>
      <c r="AH436" s="8" t="str">
        <v>SAC</v>
      </c>
    </row>
    <row r="437" spans="1:34" ht="17" x14ac:dyDescent="0.2">
      <c r="A437" s="1">
        <v>425</v>
      </c>
      <c r="B437" s="18" t="s">
        <v>525</v>
      </c>
      <c r="C437" s="17">
        <v>24</v>
      </c>
      <c r="D437" s="18" t="s">
        <v>64</v>
      </c>
      <c r="E437" s="17" t="s">
        <v>35</v>
      </c>
      <c r="F437" s="17">
        <v>4</v>
      </c>
      <c r="G437" s="17">
        <v>0</v>
      </c>
      <c r="H437" s="17">
        <v>4.3</v>
      </c>
      <c r="I437" s="17">
        <v>1</v>
      </c>
      <c r="J437" s="17">
        <v>2</v>
      </c>
      <c r="K437" s="17">
        <v>0.5</v>
      </c>
      <c r="L437" s="17">
        <v>0</v>
      </c>
      <c r="M437" s="17">
        <v>0.8</v>
      </c>
      <c r="N437" s="17">
        <v>0</v>
      </c>
      <c r="O437" s="17">
        <v>1</v>
      </c>
      <c r="P437" s="17">
        <v>1.3</v>
      </c>
      <c r="Q437" s="17">
        <v>0.8</v>
      </c>
      <c r="R437" s="17">
        <v>0.5</v>
      </c>
      <c r="S437" s="17">
        <v>0.3</v>
      </c>
      <c r="T437" s="17">
        <v>0.3</v>
      </c>
      <c r="U437" s="17">
        <v>1</v>
      </c>
      <c r="V437" s="17">
        <v>0.8</v>
      </c>
      <c r="W437" s="17">
        <v>0.3</v>
      </c>
      <c r="X437" s="17">
        <v>1</v>
      </c>
      <c r="Y437" s="17">
        <v>0.3</v>
      </c>
      <c r="Z437" s="17">
        <v>0</v>
      </c>
      <c r="AA437" s="17">
        <v>0</v>
      </c>
      <c r="AB437" s="17">
        <v>1</v>
      </c>
      <c r="AC437" s="17">
        <v>0</v>
      </c>
      <c r="AD437" s="17">
        <v>2.2999999999999998</v>
      </c>
      <c r="AE437" s="17"/>
      <c r="AG437" s="8" t="str">
        <v>Tristan Thompson</v>
      </c>
      <c r="AH437" s="8" t="str">
        <v>CLE</v>
      </c>
    </row>
    <row r="438" spans="1:34" ht="17" x14ac:dyDescent="0.2">
      <c r="A438" s="1">
        <v>426</v>
      </c>
      <c r="B438" s="18" t="s">
        <v>398</v>
      </c>
      <c r="C438" s="17">
        <v>24</v>
      </c>
      <c r="D438" s="18" t="s">
        <v>93</v>
      </c>
      <c r="E438" s="17" t="s">
        <v>27</v>
      </c>
      <c r="F438" s="17">
        <v>26</v>
      </c>
      <c r="G438" s="17">
        <v>0</v>
      </c>
      <c r="H438" s="17">
        <v>8.4</v>
      </c>
      <c r="I438" s="17">
        <v>0.7</v>
      </c>
      <c r="J438" s="17">
        <v>1.8</v>
      </c>
      <c r="K438" s="17">
        <v>0.41299999999999998</v>
      </c>
      <c r="L438" s="17">
        <v>0.3</v>
      </c>
      <c r="M438" s="17">
        <v>1</v>
      </c>
      <c r="N438" s="17">
        <v>0.308</v>
      </c>
      <c r="O438" s="17">
        <v>0.4</v>
      </c>
      <c r="P438" s="17">
        <v>0.8</v>
      </c>
      <c r="Q438" s="17">
        <v>0.55000000000000004</v>
      </c>
      <c r="R438" s="17">
        <v>0.5</v>
      </c>
      <c r="S438" s="17">
        <v>0.5</v>
      </c>
      <c r="T438" s="17">
        <v>0.6</v>
      </c>
      <c r="U438" s="17">
        <v>0.86699999999999999</v>
      </c>
      <c r="V438" s="17">
        <v>0.3</v>
      </c>
      <c r="W438" s="17">
        <v>1.2</v>
      </c>
      <c r="X438" s="17">
        <v>1.6</v>
      </c>
      <c r="Y438" s="17">
        <v>0.4</v>
      </c>
      <c r="Z438" s="17">
        <v>0.2</v>
      </c>
      <c r="AA438" s="17">
        <v>0.2</v>
      </c>
      <c r="AB438" s="17">
        <v>0.3</v>
      </c>
      <c r="AC438" s="17">
        <v>1</v>
      </c>
      <c r="AD438" s="17">
        <v>2.2999999999999998</v>
      </c>
      <c r="AE438" s="17"/>
      <c r="AG438" s="8" t="str">
        <v>Jalen Hood-Schifino</v>
      </c>
      <c r="AH438" s="8" t="str">
        <v>LAL</v>
      </c>
    </row>
    <row r="439" spans="1:34" ht="17" x14ac:dyDescent="0.2">
      <c r="A439" s="1">
        <v>427</v>
      </c>
      <c r="B439" s="18" t="s">
        <v>62</v>
      </c>
      <c r="C439" s="17">
        <v>22</v>
      </c>
      <c r="D439" s="18" t="s">
        <v>56</v>
      </c>
      <c r="E439" s="17" t="s">
        <v>54</v>
      </c>
      <c r="F439" s="17">
        <v>16</v>
      </c>
      <c r="G439" s="17">
        <v>0</v>
      </c>
      <c r="H439" s="17">
        <v>4.0999999999999996</v>
      </c>
      <c r="I439" s="17">
        <v>0.8</v>
      </c>
      <c r="J439" s="17">
        <v>1.4</v>
      </c>
      <c r="K439" s="17">
        <v>0.56499999999999995</v>
      </c>
      <c r="L439" s="17">
        <v>0.4</v>
      </c>
      <c r="M439" s="17">
        <v>0.8</v>
      </c>
      <c r="N439" s="17">
        <v>0.53800000000000003</v>
      </c>
      <c r="O439" s="17">
        <v>0.4</v>
      </c>
      <c r="P439" s="17">
        <v>0.6</v>
      </c>
      <c r="Q439" s="17">
        <v>0.6</v>
      </c>
      <c r="R439" s="17">
        <v>0.71699999999999997</v>
      </c>
      <c r="S439" s="17">
        <v>0.1</v>
      </c>
      <c r="T439" s="17">
        <v>0.3</v>
      </c>
      <c r="U439" s="17">
        <v>0.5</v>
      </c>
      <c r="V439" s="17">
        <v>0.3</v>
      </c>
      <c r="W439" s="17">
        <v>0.6</v>
      </c>
      <c r="X439" s="17">
        <v>0.8</v>
      </c>
      <c r="Y439" s="17">
        <v>0.1</v>
      </c>
      <c r="Z439" s="17">
        <v>0.1</v>
      </c>
      <c r="AA439" s="17">
        <v>0.1</v>
      </c>
      <c r="AB439" s="17">
        <v>0.2</v>
      </c>
      <c r="AC439" s="17">
        <v>0.3</v>
      </c>
      <c r="AD439" s="17">
        <v>2.2000000000000002</v>
      </c>
      <c r="AE439" s="17"/>
      <c r="AG439" s="8" t="str">
        <v>Dillon Jones</v>
      </c>
      <c r="AH439" s="8" t="str">
        <v>OKC</v>
      </c>
    </row>
    <row r="440" spans="1:34" ht="17" x14ac:dyDescent="0.2">
      <c r="A440" s="1">
        <v>428</v>
      </c>
      <c r="B440" s="18" t="s">
        <v>571</v>
      </c>
      <c r="C440" s="17">
        <v>24</v>
      </c>
      <c r="D440" s="18" t="s">
        <v>77</v>
      </c>
      <c r="E440" s="17" t="s">
        <v>29</v>
      </c>
      <c r="F440" s="17">
        <v>23</v>
      </c>
      <c r="G440" s="17">
        <v>0</v>
      </c>
      <c r="H440" s="17">
        <v>8</v>
      </c>
      <c r="I440" s="17">
        <v>0.9</v>
      </c>
      <c r="J440" s="17">
        <v>1.3</v>
      </c>
      <c r="K440" s="17">
        <v>0.7</v>
      </c>
      <c r="L440" s="17">
        <v>0</v>
      </c>
      <c r="M440" s="17">
        <v>0.1</v>
      </c>
      <c r="N440" s="17">
        <v>0</v>
      </c>
      <c r="O440" s="17">
        <v>0.9</v>
      </c>
      <c r="P440" s="17">
        <v>1.2</v>
      </c>
      <c r="Q440" s="17">
        <v>0.75</v>
      </c>
      <c r="R440" s="17">
        <v>0.7</v>
      </c>
      <c r="S440" s="17">
        <v>0.4</v>
      </c>
      <c r="T440" s="17">
        <v>0.5</v>
      </c>
      <c r="U440" s="17">
        <v>0.75</v>
      </c>
      <c r="V440" s="17">
        <v>0.6</v>
      </c>
      <c r="W440" s="17">
        <v>1.2</v>
      </c>
      <c r="X440" s="17">
        <v>1.8</v>
      </c>
      <c r="Y440" s="17">
        <v>0.4</v>
      </c>
      <c r="Z440" s="17">
        <v>0.3</v>
      </c>
      <c r="AA440" s="17">
        <v>0.5</v>
      </c>
      <c r="AB440" s="17">
        <v>0.4</v>
      </c>
      <c r="AC440" s="17">
        <v>1</v>
      </c>
      <c r="AD440" s="17">
        <v>2.2000000000000002</v>
      </c>
      <c r="AE440" s="17"/>
      <c r="AG440" s="8" t="str">
        <v>Cory Joseph</v>
      </c>
      <c r="AH440" s="8" t="str">
        <v>ORL</v>
      </c>
    </row>
    <row r="441" spans="1:34" ht="17" x14ac:dyDescent="0.2">
      <c r="A441" s="1">
        <v>429</v>
      </c>
      <c r="B441" s="18" t="s">
        <v>559</v>
      </c>
      <c r="C441" s="17">
        <v>23</v>
      </c>
      <c r="D441" s="18" t="s">
        <v>31</v>
      </c>
      <c r="E441" s="17" t="s">
        <v>46</v>
      </c>
      <c r="F441" s="17">
        <v>22</v>
      </c>
      <c r="G441" s="17">
        <v>0</v>
      </c>
      <c r="H441" s="17">
        <v>6</v>
      </c>
      <c r="I441" s="17">
        <v>0.8</v>
      </c>
      <c r="J441" s="17">
        <v>1.9</v>
      </c>
      <c r="K441" s="17">
        <v>0.40500000000000003</v>
      </c>
      <c r="L441" s="17">
        <v>0.5</v>
      </c>
      <c r="M441" s="17">
        <v>1.1000000000000001</v>
      </c>
      <c r="N441" s="17">
        <v>0.4</v>
      </c>
      <c r="O441" s="17">
        <v>0.3</v>
      </c>
      <c r="P441" s="17">
        <v>0.8</v>
      </c>
      <c r="Q441" s="17">
        <v>0.41199999999999998</v>
      </c>
      <c r="R441" s="17">
        <v>0.52400000000000002</v>
      </c>
      <c r="S441" s="17">
        <v>0.2</v>
      </c>
      <c r="T441" s="17">
        <v>0.2</v>
      </c>
      <c r="U441" s="17">
        <v>1</v>
      </c>
      <c r="V441" s="17">
        <v>0.1</v>
      </c>
      <c r="W441" s="17">
        <v>0.5</v>
      </c>
      <c r="X441" s="17">
        <v>0.6</v>
      </c>
      <c r="Y441" s="17">
        <v>0.7</v>
      </c>
      <c r="Z441" s="17">
        <v>0.3</v>
      </c>
      <c r="AA441" s="17">
        <v>0</v>
      </c>
      <c r="AB441" s="17">
        <v>0.4</v>
      </c>
      <c r="AC441" s="17">
        <v>0.5</v>
      </c>
      <c r="AD441" s="17">
        <v>2.2000000000000002</v>
      </c>
      <c r="AE441" s="17"/>
      <c r="AG441" s="8" t="str">
        <v>Jordan McLaughlin</v>
      </c>
      <c r="AH441" s="8" t="str">
        <v>SAC</v>
      </c>
    </row>
    <row r="442" spans="1:34" ht="17" x14ac:dyDescent="0.2">
      <c r="A442" s="1">
        <v>430</v>
      </c>
      <c r="B442" s="18" t="s">
        <v>337</v>
      </c>
      <c r="C442" s="17">
        <v>22</v>
      </c>
      <c r="D442" s="18" t="s">
        <v>100</v>
      </c>
      <c r="E442" s="17" t="s">
        <v>27</v>
      </c>
      <c r="F442" s="17">
        <v>27</v>
      </c>
      <c r="G442" s="17">
        <v>0</v>
      </c>
      <c r="H442" s="17">
        <v>7</v>
      </c>
      <c r="I442" s="17">
        <v>0.7</v>
      </c>
      <c r="J442" s="17">
        <v>2</v>
      </c>
      <c r="K442" s="17">
        <v>0.36399999999999999</v>
      </c>
      <c r="L442" s="17">
        <v>0.1</v>
      </c>
      <c r="M442" s="17">
        <v>0.6</v>
      </c>
      <c r="N442" s="17">
        <v>0.25</v>
      </c>
      <c r="O442" s="17">
        <v>0.6</v>
      </c>
      <c r="P442" s="17">
        <v>1.4</v>
      </c>
      <c r="Q442" s="17">
        <v>0.41</v>
      </c>
      <c r="R442" s="17">
        <v>0.4</v>
      </c>
      <c r="S442" s="17">
        <v>0.6</v>
      </c>
      <c r="T442" s="17">
        <v>0.9</v>
      </c>
      <c r="U442" s="17">
        <v>0.64</v>
      </c>
      <c r="V442" s="17">
        <v>0.8</v>
      </c>
      <c r="W442" s="17">
        <v>1.1000000000000001</v>
      </c>
      <c r="X442" s="17">
        <v>1.9</v>
      </c>
      <c r="Y442" s="17">
        <v>0.5</v>
      </c>
      <c r="Z442" s="17">
        <v>0.3</v>
      </c>
      <c r="AA442" s="17">
        <v>0.1</v>
      </c>
      <c r="AB442" s="17">
        <v>0.1</v>
      </c>
      <c r="AC442" s="17">
        <v>0.3</v>
      </c>
      <c r="AD442" s="17">
        <v>2.2000000000000002</v>
      </c>
      <c r="AE442" s="17"/>
      <c r="AG442" s="8" t="str">
        <v>Markieff Morris</v>
      </c>
      <c r="AH442" s="8" t="str">
        <v>DAL</v>
      </c>
    </row>
    <row r="443" spans="1:34" ht="17" x14ac:dyDescent="0.2">
      <c r="A443" s="1">
        <v>431</v>
      </c>
      <c r="B443" s="18" t="s">
        <v>590</v>
      </c>
      <c r="C443" s="17">
        <v>23</v>
      </c>
      <c r="D443" s="17" t="s">
        <v>610</v>
      </c>
      <c r="E443" s="17" t="s">
        <v>46</v>
      </c>
      <c r="F443" s="17">
        <v>10</v>
      </c>
      <c r="G443" s="17">
        <v>0</v>
      </c>
      <c r="H443" s="17">
        <v>8.6999999999999993</v>
      </c>
      <c r="I443" s="17">
        <v>0.9</v>
      </c>
      <c r="J443" s="17">
        <v>2.2999999999999998</v>
      </c>
      <c r="K443" s="17">
        <v>0.39100000000000001</v>
      </c>
      <c r="L443" s="17">
        <v>0.1</v>
      </c>
      <c r="M443" s="17">
        <v>0.5</v>
      </c>
      <c r="N443" s="17">
        <v>0.2</v>
      </c>
      <c r="O443" s="17">
        <v>0.8</v>
      </c>
      <c r="P443" s="17">
        <v>1.8</v>
      </c>
      <c r="Q443" s="17">
        <v>0.44400000000000001</v>
      </c>
      <c r="R443" s="17">
        <v>0.41299999999999998</v>
      </c>
      <c r="S443" s="17">
        <v>0.2</v>
      </c>
      <c r="T443" s="17">
        <v>0.3</v>
      </c>
      <c r="U443" s="17">
        <v>0.66700000000000004</v>
      </c>
      <c r="V443" s="17">
        <v>0.1</v>
      </c>
      <c r="W443" s="17">
        <v>0.2</v>
      </c>
      <c r="X443" s="17">
        <v>0.3</v>
      </c>
      <c r="Y443" s="17">
        <v>0.8</v>
      </c>
      <c r="Z443" s="17">
        <v>0.4</v>
      </c>
      <c r="AA443" s="17">
        <v>0.2</v>
      </c>
      <c r="AB443" s="17">
        <v>0.7</v>
      </c>
      <c r="AC443" s="17">
        <v>0.5</v>
      </c>
      <c r="AD443" s="17">
        <v>2.1</v>
      </c>
      <c r="AE443" s="17"/>
      <c r="AG443" s="8" t="str">
        <v>Alex Reese</v>
      </c>
      <c r="AH443" s="8" t="str">
        <v>OKC</v>
      </c>
    </row>
    <row r="444" spans="1:34" ht="17" x14ac:dyDescent="0.2">
      <c r="A444" s="20">
        <v>431</v>
      </c>
      <c r="B444" s="18" t="s">
        <v>590</v>
      </c>
      <c r="C444" s="21">
        <v>23</v>
      </c>
      <c r="D444" s="18" t="s">
        <v>134</v>
      </c>
      <c r="E444" s="21" t="s">
        <v>46</v>
      </c>
      <c r="F444" s="21">
        <v>2</v>
      </c>
      <c r="G444" s="21">
        <v>0</v>
      </c>
      <c r="H444" s="21">
        <v>2</v>
      </c>
      <c r="I444" s="21">
        <v>0.5</v>
      </c>
      <c r="J444" s="21">
        <v>0.5</v>
      </c>
      <c r="K444" s="21">
        <v>1</v>
      </c>
      <c r="L444" s="21">
        <v>0</v>
      </c>
      <c r="M444" s="21">
        <v>0</v>
      </c>
      <c r="N444" s="21"/>
      <c r="O444" s="21">
        <v>0.5</v>
      </c>
      <c r="P444" s="21">
        <v>0.5</v>
      </c>
      <c r="Q444" s="21">
        <v>1</v>
      </c>
      <c r="R444" s="21">
        <v>1</v>
      </c>
      <c r="S444" s="21">
        <v>0</v>
      </c>
      <c r="T444" s="21">
        <v>0</v>
      </c>
      <c r="U444" s="21"/>
      <c r="V444" s="21">
        <v>0.5</v>
      </c>
      <c r="W444" s="21">
        <v>0</v>
      </c>
      <c r="X444" s="21">
        <v>0.5</v>
      </c>
      <c r="Y444" s="21">
        <v>0.5</v>
      </c>
      <c r="Z444" s="21">
        <v>0.5</v>
      </c>
      <c r="AA444" s="21">
        <v>0</v>
      </c>
      <c r="AB444" s="21">
        <v>0</v>
      </c>
      <c r="AC444" s="21">
        <v>0.5</v>
      </c>
      <c r="AD444" s="21">
        <v>1</v>
      </c>
      <c r="AE444" s="21"/>
      <c r="AG444" s="8" t="str">
        <v>Adama Sanogo</v>
      </c>
      <c r="AH444" s="8" t="str">
        <v>CHI</v>
      </c>
    </row>
    <row r="445" spans="1:34" ht="17" x14ac:dyDescent="0.2">
      <c r="A445" s="20">
        <v>431</v>
      </c>
      <c r="B445" s="18" t="s">
        <v>590</v>
      </c>
      <c r="C445" s="21">
        <v>23</v>
      </c>
      <c r="D445" s="18" t="s">
        <v>95</v>
      </c>
      <c r="E445" s="21" t="s">
        <v>46</v>
      </c>
      <c r="F445" s="21">
        <v>8</v>
      </c>
      <c r="G445" s="21">
        <v>0</v>
      </c>
      <c r="H445" s="21">
        <v>10.4</v>
      </c>
      <c r="I445" s="21">
        <v>1</v>
      </c>
      <c r="J445" s="21">
        <v>2.8</v>
      </c>
      <c r="K445" s="21">
        <v>0.36399999999999999</v>
      </c>
      <c r="L445" s="21">
        <v>0.1</v>
      </c>
      <c r="M445" s="21">
        <v>0.6</v>
      </c>
      <c r="N445" s="21">
        <v>0.2</v>
      </c>
      <c r="O445" s="21">
        <v>0.9</v>
      </c>
      <c r="P445" s="21">
        <v>2.1</v>
      </c>
      <c r="Q445" s="21">
        <v>0.41199999999999998</v>
      </c>
      <c r="R445" s="21">
        <v>0.38600000000000001</v>
      </c>
      <c r="S445" s="21">
        <v>0.3</v>
      </c>
      <c r="T445" s="21">
        <v>0.4</v>
      </c>
      <c r="U445" s="21">
        <v>0.66700000000000004</v>
      </c>
      <c r="V445" s="21">
        <v>0</v>
      </c>
      <c r="W445" s="21">
        <v>0.3</v>
      </c>
      <c r="X445" s="21">
        <v>0.3</v>
      </c>
      <c r="Y445" s="21">
        <v>0.9</v>
      </c>
      <c r="Z445" s="21">
        <v>0.4</v>
      </c>
      <c r="AA445" s="21">
        <v>0.3</v>
      </c>
      <c r="AB445" s="21">
        <v>0.9</v>
      </c>
      <c r="AC445" s="21">
        <v>0.5</v>
      </c>
      <c r="AD445" s="21">
        <v>2.4</v>
      </c>
      <c r="AE445" s="21"/>
      <c r="AG445" s="8" t="str">
        <v>Tyler Smith</v>
      </c>
      <c r="AH445" s="8" t="str">
        <v>MIL</v>
      </c>
    </row>
    <row r="446" spans="1:34" ht="17" x14ac:dyDescent="0.2">
      <c r="A446" s="1">
        <v>432</v>
      </c>
      <c r="B446" s="18" t="s">
        <v>171</v>
      </c>
      <c r="C446" s="17">
        <v>32</v>
      </c>
      <c r="D446" s="18" t="s">
        <v>56</v>
      </c>
      <c r="E446" s="17" t="s">
        <v>27</v>
      </c>
      <c r="F446" s="17">
        <v>25</v>
      </c>
      <c r="G446" s="17">
        <v>0</v>
      </c>
      <c r="H446" s="17">
        <v>6.6</v>
      </c>
      <c r="I446" s="17">
        <v>0.8</v>
      </c>
      <c r="J446" s="17">
        <v>1.5</v>
      </c>
      <c r="K446" s="17">
        <v>0.5</v>
      </c>
      <c r="L446" s="17">
        <v>0.2</v>
      </c>
      <c r="M446" s="17">
        <v>0.6</v>
      </c>
      <c r="N446" s="17">
        <v>0.35699999999999998</v>
      </c>
      <c r="O446" s="17">
        <v>0.6</v>
      </c>
      <c r="P446" s="17">
        <v>1</v>
      </c>
      <c r="Q446" s="17">
        <v>0.58299999999999996</v>
      </c>
      <c r="R446" s="17">
        <v>0.56599999999999995</v>
      </c>
      <c r="S446" s="17">
        <v>0.4</v>
      </c>
      <c r="T446" s="17">
        <v>0.7</v>
      </c>
      <c r="U446" s="17">
        <v>0.55600000000000005</v>
      </c>
      <c r="V446" s="17">
        <v>0.2</v>
      </c>
      <c r="W446" s="17">
        <v>0.8</v>
      </c>
      <c r="X446" s="17">
        <v>1.1000000000000001</v>
      </c>
      <c r="Y446" s="17">
        <v>0.2</v>
      </c>
      <c r="Z446" s="17">
        <v>0.2</v>
      </c>
      <c r="AA446" s="17">
        <v>0</v>
      </c>
      <c r="AB446" s="17">
        <v>0.2</v>
      </c>
      <c r="AC446" s="17">
        <v>0.5</v>
      </c>
      <c r="AD446" s="17">
        <v>2.1</v>
      </c>
      <c r="AE446" s="17"/>
      <c r="AG446" s="8" t="str">
        <v>Jaylon Tyson</v>
      </c>
      <c r="AH446" s="8" t="str">
        <v>CLE</v>
      </c>
    </row>
    <row r="447" spans="1:34" ht="17" x14ac:dyDescent="0.2">
      <c r="A447" s="1">
        <v>433</v>
      </c>
      <c r="B447" s="18" t="s">
        <v>566</v>
      </c>
      <c r="C447" s="17">
        <v>24</v>
      </c>
      <c r="D447" s="18" t="s">
        <v>116</v>
      </c>
      <c r="E447" s="17" t="s">
        <v>29</v>
      </c>
      <c r="F447" s="17">
        <v>21</v>
      </c>
      <c r="G447" s="17">
        <v>0</v>
      </c>
      <c r="H447" s="17">
        <v>9.6</v>
      </c>
      <c r="I447" s="17">
        <v>1</v>
      </c>
      <c r="J447" s="17">
        <v>1.7</v>
      </c>
      <c r="K447" s="17">
        <v>0.6</v>
      </c>
      <c r="L447" s="17">
        <v>0</v>
      </c>
      <c r="M447" s="17">
        <v>0.1</v>
      </c>
      <c r="N447" s="17">
        <v>0</v>
      </c>
      <c r="O447" s="17">
        <v>1</v>
      </c>
      <c r="P447" s="17">
        <v>1.6</v>
      </c>
      <c r="Q447" s="17">
        <v>0.63600000000000001</v>
      </c>
      <c r="R447" s="17">
        <v>0.6</v>
      </c>
      <c r="S447" s="17">
        <v>0.1</v>
      </c>
      <c r="T447" s="17">
        <v>0.2</v>
      </c>
      <c r="U447" s="17">
        <v>0.75</v>
      </c>
      <c r="V447" s="17">
        <v>1.1000000000000001</v>
      </c>
      <c r="W447" s="17">
        <v>1.4</v>
      </c>
      <c r="X447" s="17">
        <v>2.5</v>
      </c>
      <c r="Y447" s="17">
        <v>0.3</v>
      </c>
      <c r="Z447" s="17">
        <v>0.3</v>
      </c>
      <c r="AA447" s="17">
        <v>0.4</v>
      </c>
      <c r="AB447" s="17">
        <v>0.3</v>
      </c>
      <c r="AC447" s="17">
        <v>1.2</v>
      </c>
      <c r="AD447" s="17">
        <v>2.1</v>
      </c>
      <c r="AE447" s="17"/>
      <c r="AG447" s="8" t="str">
        <v>TyTy Washington Jr.</v>
      </c>
      <c r="AH447" s="8" t="str">
        <v>PHO</v>
      </c>
    </row>
    <row r="448" spans="1:34" ht="17" x14ac:dyDescent="0.2">
      <c r="A448" s="1">
        <v>434</v>
      </c>
      <c r="B448" s="18" t="s">
        <v>351</v>
      </c>
      <c r="C448" s="17">
        <v>24</v>
      </c>
      <c r="D448" s="18" t="s">
        <v>72</v>
      </c>
      <c r="E448" s="17" t="s">
        <v>29</v>
      </c>
      <c r="F448" s="17">
        <v>9</v>
      </c>
      <c r="G448" s="17">
        <v>0</v>
      </c>
      <c r="H448" s="17">
        <v>6.3</v>
      </c>
      <c r="I448" s="17">
        <v>0.8</v>
      </c>
      <c r="J448" s="17">
        <v>1.9</v>
      </c>
      <c r="K448" s="17">
        <v>0.41199999999999998</v>
      </c>
      <c r="L448" s="17">
        <v>0.1</v>
      </c>
      <c r="M448" s="17">
        <v>0.6</v>
      </c>
      <c r="N448" s="17">
        <v>0.2</v>
      </c>
      <c r="O448" s="17">
        <v>0.7</v>
      </c>
      <c r="P448" s="17">
        <v>1.3</v>
      </c>
      <c r="Q448" s="17">
        <v>0.5</v>
      </c>
      <c r="R448" s="17">
        <v>0.441</v>
      </c>
      <c r="S448" s="17">
        <v>0.4</v>
      </c>
      <c r="T448" s="17">
        <v>0.8</v>
      </c>
      <c r="U448" s="17">
        <v>0.57099999999999995</v>
      </c>
      <c r="V448" s="17">
        <v>0.3</v>
      </c>
      <c r="W448" s="17">
        <v>1.2</v>
      </c>
      <c r="X448" s="17">
        <v>1.6</v>
      </c>
      <c r="Y448" s="17">
        <v>1</v>
      </c>
      <c r="Z448" s="17">
        <v>0.3</v>
      </c>
      <c r="AA448" s="17">
        <v>0.1</v>
      </c>
      <c r="AB448" s="17">
        <v>0.4</v>
      </c>
      <c r="AC448" s="17">
        <v>0.7</v>
      </c>
      <c r="AD448" s="17">
        <v>2.1</v>
      </c>
      <c r="AE448" s="17"/>
      <c r="AG448" s="8" t="str">
        <v>Adem Bona</v>
      </c>
      <c r="AH448" s="8" t="str">
        <v>PHI</v>
      </c>
    </row>
    <row r="449" spans="1:34" ht="17" x14ac:dyDescent="0.2">
      <c r="A449" s="1">
        <v>435</v>
      </c>
      <c r="B449" s="18" t="s">
        <v>391</v>
      </c>
      <c r="C449" s="17">
        <v>33</v>
      </c>
      <c r="D449" s="18" t="s">
        <v>44</v>
      </c>
      <c r="E449" s="17" t="s">
        <v>27</v>
      </c>
      <c r="F449" s="17">
        <v>15</v>
      </c>
      <c r="G449" s="17">
        <v>0</v>
      </c>
      <c r="H449" s="17">
        <v>6.8</v>
      </c>
      <c r="I449" s="17">
        <v>0.9</v>
      </c>
      <c r="J449" s="17">
        <v>2</v>
      </c>
      <c r="K449" s="17">
        <v>0.46700000000000003</v>
      </c>
      <c r="L449" s="17">
        <v>0</v>
      </c>
      <c r="M449" s="17">
        <v>0.1</v>
      </c>
      <c r="N449" s="17">
        <v>0</v>
      </c>
      <c r="O449" s="17">
        <v>0.9</v>
      </c>
      <c r="P449" s="17">
        <v>1.9</v>
      </c>
      <c r="Q449" s="17">
        <v>0.48299999999999998</v>
      </c>
      <c r="R449" s="17">
        <v>0.46700000000000003</v>
      </c>
      <c r="S449" s="17">
        <v>0.3</v>
      </c>
      <c r="T449" s="17">
        <v>1.1000000000000001</v>
      </c>
      <c r="U449" s="17">
        <v>0.25</v>
      </c>
      <c r="V449" s="17">
        <v>0.6</v>
      </c>
      <c r="W449" s="17">
        <v>1.8</v>
      </c>
      <c r="X449" s="17">
        <v>2.4</v>
      </c>
      <c r="Y449" s="17">
        <v>0.3</v>
      </c>
      <c r="Z449" s="17">
        <v>0</v>
      </c>
      <c r="AA449" s="17">
        <v>0.3</v>
      </c>
      <c r="AB449" s="17">
        <v>0.4</v>
      </c>
      <c r="AC449" s="17">
        <v>0.7</v>
      </c>
      <c r="AD449" s="17">
        <v>2.1</v>
      </c>
      <c r="AE449" s="17"/>
      <c r="AG449" s="8" t="str">
        <v>MarJon Beauchamp</v>
      </c>
      <c r="AH449" s="8" t="str">
        <v>MIL</v>
      </c>
    </row>
    <row r="450" spans="1:34" ht="17" x14ac:dyDescent="0.2">
      <c r="A450" s="1">
        <v>436</v>
      </c>
      <c r="B450" s="18" t="s">
        <v>204</v>
      </c>
      <c r="C450" s="17">
        <v>21</v>
      </c>
      <c r="D450" s="18" t="s">
        <v>116</v>
      </c>
      <c r="E450" s="17" t="s">
        <v>35</v>
      </c>
      <c r="F450" s="17">
        <v>2</v>
      </c>
      <c r="G450" s="17">
        <v>0</v>
      </c>
      <c r="H450" s="17">
        <v>7</v>
      </c>
      <c r="I450" s="17">
        <v>0.5</v>
      </c>
      <c r="J450" s="17">
        <v>0.5</v>
      </c>
      <c r="K450" s="17">
        <v>1</v>
      </c>
      <c r="L450" s="17">
        <v>0</v>
      </c>
      <c r="M450" s="17">
        <v>0</v>
      </c>
      <c r="N450" s="17"/>
      <c r="O450" s="17">
        <v>0.5</v>
      </c>
      <c r="P450" s="17">
        <v>0.5</v>
      </c>
      <c r="Q450" s="17">
        <v>1</v>
      </c>
      <c r="R450" s="17">
        <v>1</v>
      </c>
      <c r="S450" s="17">
        <v>1</v>
      </c>
      <c r="T450" s="17">
        <v>1</v>
      </c>
      <c r="U450" s="17">
        <v>1</v>
      </c>
      <c r="V450" s="17">
        <v>0.5</v>
      </c>
      <c r="W450" s="17">
        <v>0</v>
      </c>
      <c r="X450" s="17">
        <v>0.5</v>
      </c>
      <c r="Y450" s="17">
        <v>0.5</v>
      </c>
      <c r="Z450" s="17">
        <v>0</v>
      </c>
      <c r="AA450" s="17">
        <v>0.5</v>
      </c>
      <c r="AB450" s="17">
        <v>0.5</v>
      </c>
      <c r="AC450" s="17">
        <v>1.5</v>
      </c>
      <c r="AD450" s="17">
        <v>2</v>
      </c>
      <c r="AE450" s="17"/>
      <c r="AG450" s="8" t="str">
        <v>Enrique Freeman</v>
      </c>
      <c r="AH450" s="8" t="str">
        <v>IND</v>
      </c>
    </row>
    <row r="451" spans="1:34" ht="17" x14ac:dyDescent="0.2">
      <c r="A451" s="1">
        <v>437</v>
      </c>
      <c r="B451" s="18" t="s">
        <v>579</v>
      </c>
      <c r="C451" s="17">
        <v>23</v>
      </c>
      <c r="D451" s="18" t="s">
        <v>81</v>
      </c>
      <c r="E451" s="17" t="s">
        <v>54</v>
      </c>
      <c r="F451" s="17">
        <v>26</v>
      </c>
      <c r="G451" s="17">
        <v>0</v>
      </c>
      <c r="H451" s="17">
        <v>8.1</v>
      </c>
      <c r="I451" s="17">
        <v>0.8</v>
      </c>
      <c r="J451" s="17">
        <v>2.2999999999999998</v>
      </c>
      <c r="K451" s="17">
        <v>0.32800000000000001</v>
      </c>
      <c r="L451" s="17">
        <v>0.3</v>
      </c>
      <c r="M451" s="17">
        <v>1.4</v>
      </c>
      <c r="N451" s="17">
        <v>0.19400000000000001</v>
      </c>
      <c r="O451" s="17">
        <v>0.5</v>
      </c>
      <c r="P451" s="17">
        <v>1</v>
      </c>
      <c r="Q451" s="17">
        <v>0.52</v>
      </c>
      <c r="R451" s="17">
        <v>0.38500000000000001</v>
      </c>
      <c r="S451" s="17">
        <v>0.2</v>
      </c>
      <c r="T451" s="17">
        <v>0.5</v>
      </c>
      <c r="U451" s="17">
        <v>0.5</v>
      </c>
      <c r="V451" s="17">
        <v>0.6</v>
      </c>
      <c r="W451" s="17">
        <v>1.2</v>
      </c>
      <c r="X451" s="17">
        <v>1.8</v>
      </c>
      <c r="Y451" s="17">
        <v>0.7</v>
      </c>
      <c r="Z451" s="17">
        <v>0.2</v>
      </c>
      <c r="AA451" s="17">
        <v>0.1</v>
      </c>
      <c r="AB451" s="17">
        <v>0.3</v>
      </c>
      <c r="AC451" s="17">
        <v>0.9</v>
      </c>
      <c r="AD451" s="17">
        <v>2</v>
      </c>
      <c r="AE451" s="17"/>
      <c r="AG451" s="8" t="str">
        <v>Ariel Hukporti</v>
      </c>
      <c r="AH451" s="8" t="str">
        <v>NYK</v>
      </c>
    </row>
    <row r="452" spans="1:34" ht="17" x14ac:dyDescent="0.2">
      <c r="A452" s="1">
        <v>438</v>
      </c>
      <c r="B452" s="18" t="s">
        <v>240</v>
      </c>
      <c r="C452" s="17">
        <v>33</v>
      </c>
      <c r="D452" s="18" t="s">
        <v>52</v>
      </c>
      <c r="E452" s="17" t="s">
        <v>46</v>
      </c>
      <c r="F452" s="17">
        <v>23</v>
      </c>
      <c r="G452" s="17">
        <v>0</v>
      </c>
      <c r="H452" s="17">
        <v>6.9</v>
      </c>
      <c r="I452" s="17">
        <v>0.7</v>
      </c>
      <c r="J452" s="17">
        <v>2</v>
      </c>
      <c r="K452" s="17">
        <v>0.37</v>
      </c>
      <c r="L452" s="17">
        <v>0.5</v>
      </c>
      <c r="M452" s="17">
        <v>1.3</v>
      </c>
      <c r="N452" s="17">
        <v>0.38700000000000001</v>
      </c>
      <c r="O452" s="17">
        <v>0.2</v>
      </c>
      <c r="P452" s="17">
        <v>0.7</v>
      </c>
      <c r="Q452" s="17">
        <v>0.33300000000000002</v>
      </c>
      <c r="R452" s="17">
        <v>0.5</v>
      </c>
      <c r="S452" s="17">
        <v>0</v>
      </c>
      <c r="T452" s="17">
        <v>0.1</v>
      </c>
      <c r="U452" s="17">
        <v>0.5</v>
      </c>
      <c r="V452" s="17">
        <v>0.2</v>
      </c>
      <c r="W452" s="17">
        <v>0.7</v>
      </c>
      <c r="X452" s="17">
        <v>0.9</v>
      </c>
      <c r="Y452" s="17">
        <v>0.9</v>
      </c>
      <c r="Z452" s="17">
        <v>0.3</v>
      </c>
      <c r="AA452" s="17">
        <v>0.1</v>
      </c>
      <c r="AB452" s="17">
        <v>0.4</v>
      </c>
      <c r="AC452" s="17">
        <v>0.4</v>
      </c>
      <c r="AD452" s="17">
        <v>2</v>
      </c>
      <c r="AE452" s="17"/>
      <c r="AG452" s="8" t="str">
        <v>Gui Santos</v>
      </c>
      <c r="AH452" s="8" t="str">
        <v>GSW</v>
      </c>
    </row>
    <row r="453" spans="1:34" ht="17" x14ac:dyDescent="0.2">
      <c r="A453" s="1">
        <v>439</v>
      </c>
      <c r="B453" s="18" t="s">
        <v>282</v>
      </c>
      <c r="C453" s="17">
        <v>28</v>
      </c>
      <c r="D453" s="18" t="s">
        <v>72</v>
      </c>
      <c r="E453" s="17" t="s">
        <v>46</v>
      </c>
      <c r="F453" s="17">
        <v>24</v>
      </c>
      <c r="G453" s="17">
        <v>0</v>
      </c>
      <c r="H453" s="17">
        <v>7.3</v>
      </c>
      <c r="I453" s="17">
        <v>0.6</v>
      </c>
      <c r="J453" s="17">
        <v>1.7</v>
      </c>
      <c r="K453" s="17">
        <v>0.36599999999999999</v>
      </c>
      <c r="L453" s="17">
        <v>0.4</v>
      </c>
      <c r="M453" s="17">
        <v>1</v>
      </c>
      <c r="N453" s="17">
        <v>0.375</v>
      </c>
      <c r="O453" s="17">
        <v>0.3</v>
      </c>
      <c r="P453" s="17">
        <v>0.7</v>
      </c>
      <c r="Q453" s="17">
        <v>0.35299999999999998</v>
      </c>
      <c r="R453" s="17">
        <v>0.47599999999999998</v>
      </c>
      <c r="S453" s="17">
        <v>0.4</v>
      </c>
      <c r="T453" s="17">
        <v>0.6</v>
      </c>
      <c r="U453" s="17">
        <v>0.71399999999999997</v>
      </c>
      <c r="V453" s="17">
        <v>0.2</v>
      </c>
      <c r="W453" s="17">
        <v>0.7</v>
      </c>
      <c r="X453" s="17">
        <v>0.8</v>
      </c>
      <c r="Y453" s="17">
        <v>0.9</v>
      </c>
      <c r="Z453" s="17">
        <v>0.4</v>
      </c>
      <c r="AA453" s="17">
        <v>0</v>
      </c>
      <c r="AB453" s="17">
        <v>0.5</v>
      </c>
      <c r="AC453" s="17">
        <v>0.5</v>
      </c>
      <c r="AD453" s="17">
        <v>2</v>
      </c>
      <c r="AE453" s="17"/>
      <c r="AG453" s="8" t="str">
        <v>Jeenathan Williams</v>
      </c>
      <c r="AH453" s="8" t="str">
        <v>HOU</v>
      </c>
    </row>
    <row r="454" spans="1:34" ht="17" x14ac:dyDescent="0.2">
      <c r="A454" s="1">
        <v>440</v>
      </c>
      <c r="B454" s="18" t="s">
        <v>299</v>
      </c>
      <c r="C454" s="17">
        <v>35</v>
      </c>
      <c r="D454" s="18" t="s">
        <v>100</v>
      </c>
      <c r="E454" s="17" t="s">
        <v>27</v>
      </c>
      <c r="F454" s="17">
        <v>5</v>
      </c>
      <c r="G454" s="17">
        <v>0</v>
      </c>
      <c r="H454" s="17">
        <v>5</v>
      </c>
      <c r="I454" s="17">
        <v>0.8</v>
      </c>
      <c r="J454" s="17">
        <v>2.8</v>
      </c>
      <c r="K454" s="17">
        <v>0.28599999999999998</v>
      </c>
      <c r="L454" s="17">
        <v>0.4</v>
      </c>
      <c r="M454" s="17">
        <v>1.4</v>
      </c>
      <c r="N454" s="17">
        <v>0.28599999999999998</v>
      </c>
      <c r="O454" s="17">
        <v>0.4</v>
      </c>
      <c r="P454" s="17">
        <v>1.4</v>
      </c>
      <c r="Q454" s="17">
        <v>0.28599999999999998</v>
      </c>
      <c r="R454" s="17">
        <v>0.35699999999999998</v>
      </c>
      <c r="S454" s="17">
        <v>0</v>
      </c>
      <c r="T454" s="17">
        <v>0</v>
      </c>
      <c r="U454" s="17"/>
      <c r="V454" s="17">
        <v>0</v>
      </c>
      <c r="W454" s="17">
        <v>1.2</v>
      </c>
      <c r="X454" s="17">
        <v>1.2</v>
      </c>
      <c r="Y454" s="17">
        <v>0.6</v>
      </c>
      <c r="Z454" s="17">
        <v>0</v>
      </c>
      <c r="AA454" s="17">
        <v>0.2</v>
      </c>
      <c r="AB454" s="17">
        <v>0.4</v>
      </c>
      <c r="AC454" s="17">
        <v>0.2</v>
      </c>
      <c r="AD454" s="17">
        <v>2</v>
      </c>
      <c r="AE454" s="17"/>
      <c r="AG454" s="8" t="str">
        <v>Jericho Sims</v>
      </c>
      <c r="AH454" s="8" t="str">
        <v>NYK</v>
      </c>
    </row>
    <row r="455" spans="1:34" ht="17" x14ac:dyDescent="0.2">
      <c r="A455" s="1">
        <v>441</v>
      </c>
      <c r="B455" s="18" t="s">
        <v>575</v>
      </c>
      <c r="C455" s="17">
        <v>25</v>
      </c>
      <c r="D455" s="18" t="s">
        <v>81</v>
      </c>
      <c r="E455" s="17" t="s">
        <v>27</v>
      </c>
      <c r="F455" s="17">
        <v>1</v>
      </c>
      <c r="G455" s="17">
        <v>0</v>
      </c>
      <c r="H455" s="17">
        <v>2</v>
      </c>
      <c r="I455" s="17">
        <v>1</v>
      </c>
      <c r="J455" s="17">
        <v>1</v>
      </c>
      <c r="K455" s="17">
        <v>1</v>
      </c>
      <c r="L455" s="17">
        <v>0</v>
      </c>
      <c r="M455" s="17">
        <v>0</v>
      </c>
      <c r="N455" s="17"/>
      <c r="O455" s="17">
        <v>1</v>
      </c>
      <c r="P455" s="17">
        <v>1</v>
      </c>
      <c r="Q455" s="17">
        <v>1</v>
      </c>
      <c r="R455" s="17">
        <v>1</v>
      </c>
      <c r="S455" s="17">
        <v>0</v>
      </c>
      <c r="T455" s="17">
        <v>0</v>
      </c>
      <c r="U455" s="17"/>
      <c r="V455" s="17">
        <v>1</v>
      </c>
      <c r="W455" s="17">
        <v>0</v>
      </c>
      <c r="X455" s="17">
        <v>1</v>
      </c>
      <c r="Y455" s="17">
        <v>0</v>
      </c>
      <c r="Z455" s="17">
        <v>0</v>
      </c>
      <c r="AA455" s="17">
        <v>0</v>
      </c>
      <c r="AB455" s="17">
        <v>0</v>
      </c>
      <c r="AC455" s="17">
        <v>0</v>
      </c>
      <c r="AD455" s="17">
        <v>2</v>
      </c>
      <c r="AE455" s="17"/>
      <c r="AG455" s="8" t="str">
        <v>Jordan Walsh</v>
      </c>
      <c r="AH455" s="8" t="str">
        <v>BOS</v>
      </c>
    </row>
    <row r="456" spans="1:34" ht="17" x14ac:dyDescent="0.2">
      <c r="A456" s="1">
        <v>442</v>
      </c>
      <c r="B456" s="18" t="s">
        <v>360</v>
      </c>
      <c r="C456" s="17">
        <v>22</v>
      </c>
      <c r="D456" s="18" t="s">
        <v>84</v>
      </c>
      <c r="E456" s="17" t="s">
        <v>29</v>
      </c>
      <c r="F456" s="17">
        <v>4</v>
      </c>
      <c r="G456" s="17">
        <v>0</v>
      </c>
      <c r="H456" s="17">
        <v>5.3</v>
      </c>
      <c r="I456" s="17">
        <v>1</v>
      </c>
      <c r="J456" s="17">
        <v>1.8</v>
      </c>
      <c r="K456" s="17">
        <v>0.57099999999999995</v>
      </c>
      <c r="L456" s="17">
        <v>0</v>
      </c>
      <c r="M456" s="17">
        <v>0</v>
      </c>
      <c r="N456" s="17"/>
      <c r="O456" s="17">
        <v>1</v>
      </c>
      <c r="P456" s="17">
        <v>1.8</v>
      </c>
      <c r="Q456" s="17">
        <v>0.57099999999999995</v>
      </c>
      <c r="R456" s="17">
        <v>0.57099999999999995</v>
      </c>
      <c r="S456" s="17">
        <v>0</v>
      </c>
      <c r="T456" s="17">
        <v>0</v>
      </c>
      <c r="U456" s="17"/>
      <c r="V456" s="17">
        <v>1.3</v>
      </c>
      <c r="W456" s="17">
        <v>0.3</v>
      </c>
      <c r="X456" s="17">
        <v>1.5</v>
      </c>
      <c r="Y456" s="17">
        <v>0.3</v>
      </c>
      <c r="Z456" s="17">
        <v>0</v>
      </c>
      <c r="AA456" s="17">
        <v>0</v>
      </c>
      <c r="AB456" s="17">
        <v>0.3</v>
      </c>
      <c r="AC456" s="17">
        <v>0.3</v>
      </c>
      <c r="AD456" s="17">
        <v>2</v>
      </c>
      <c r="AE456" s="17"/>
      <c r="AG456" s="8" t="str">
        <v>Pacome Dadiet</v>
      </c>
      <c r="AH456" s="8" t="str">
        <v>NYK</v>
      </c>
    </row>
    <row r="457" spans="1:34" ht="17" x14ac:dyDescent="0.2">
      <c r="A457" s="1">
        <v>443</v>
      </c>
      <c r="B457" s="18" t="s">
        <v>568</v>
      </c>
      <c r="C457" s="17">
        <v>20</v>
      </c>
      <c r="D457" s="18" t="s">
        <v>50</v>
      </c>
      <c r="E457" s="17" t="s">
        <v>27</v>
      </c>
      <c r="F457" s="17">
        <v>11</v>
      </c>
      <c r="G457" s="17">
        <v>0</v>
      </c>
      <c r="H457" s="17">
        <v>3.5</v>
      </c>
      <c r="I457" s="17">
        <v>0.8</v>
      </c>
      <c r="J457" s="17">
        <v>1.3</v>
      </c>
      <c r="K457" s="17">
        <v>0.64300000000000002</v>
      </c>
      <c r="L457" s="17">
        <v>0.3</v>
      </c>
      <c r="M457" s="17">
        <v>0.7</v>
      </c>
      <c r="N457" s="17">
        <v>0.375</v>
      </c>
      <c r="O457" s="17">
        <v>0.5</v>
      </c>
      <c r="P457" s="17">
        <v>0.5</v>
      </c>
      <c r="Q457" s="17">
        <v>1</v>
      </c>
      <c r="R457" s="17">
        <v>0.75</v>
      </c>
      <c r="S457" s="17">
        <v>0.1</v>
      </c>
      <c r="T457" s="17">
        <v>0.2</v>
      </c>
      <c r="U457" s="17">
        <v>0.5</v>
      </c>
      <c r="V457" s="17">
        <v>0.1</v>
      </c>
      <c r="W457" s="17">
        <v>0.8</v>
      </c>
      <c r="X457" s="17">
        <v>0.9</v>
      </c>
      <c r="Y457" s="17">
        <v>0.1</v>
      </c>
      <c r="Z457" s="17">
        <v>0</v>
      </c>
      <c r="AA457" s="17">
        <v>0.3</v>
      </c>
      <c r="AB457" s="17">
        <v>0.3</v>
      </c>
      <c r="AC457" s="17">
        <v>0.4</v>
      </c>
      <c r="AD457" s="17">
        <v>2</v>
      </c>
      <c r="AE457" s="17"/>
      <c r="AG457" s="8" t="str">
        <v>Jazian Gortman</v>
      </c>
      <c r="AH457" s="8" t="str">
        <v>DAL</v>
      </c>
    </row>
    <row r="458" spans="1:34" ht="17" x14ac:dyDescent="0.2">
      <c r="A458" s="1">
        <v>444</v>
      </c>
      <c r="B458" s="18" t="s">
        <v>585</v>
      </c>
      <c r="C458" s="17">
        <v>22</v>
      </c>
      <c r="D458" s="18" t="s">
        <v>44</v>
      </c>
      <c r="E458" s="17" t="s">
        <v>35</v>
      </c>
      <c r="F458" s="17">
        <v>21</v>
      </c>
      <c r="G458" s="17">
        <v>1</v>
      </c>
      <c r="H458" s="17">
        <v>7.3</v>
      </c>
      <c r="I458" s="17">
        <v>0.8</v>
      </c>
      <c r="J458" s="17">
        <v>1.9</v>
      </c>
      <c r="K458" s="17">
        <v>0.42499999999999999</v>
      </c>
      <c r="L458" s="17">
        <v>0.2</v>
      </c>
      <c r="M458" s="17">
        <v>0.7</v>
      </c>
      <c r="N458" s="17">
        <v>0.26700000000000002</v>
      </c>
      <c r="O458" s="17">
        <v>0.6</v>
      </c>
      <c r="P458" s="17">
        <v>1.2</v>
      </c>
      <c r="Q458" s="17">
        <v>0.52</v>
      </c>
      <c r="R458" s="17">
        <v>0.47499999999999998</v>
      </c>
      <c r="S458" s="17">
        <v>0.2</v>
      </c>
      <c r="T458" s="17">
        <v>0.4</v>
      </c>
      <c r="U458" s="17">
        <v>0.5</v>
      </c>
      <c r="V458" s="17">
        <v>0.6</v>
      </c>
      <c r="W458" s="17">
        <v>1</v>
      </c>
      <c r="X458" s="17">
        <v>1.7</v>
      </c>
      <c r="Y458" s="17">
        <v>0.7</v>
      </c>
      <c r="Z458" s="17">
        <v>0.2</v>
      </c>
      <c r="AA458" s="17">
        <v>0</v>
      </c>
      <c r="AB458" s="17">
        <v>0.5</v>
      </c>
      <c r="AC458" s="17">
        <v>1.1000000000000001</v>
      </c>
      <c r="AD458" s="17">
        <v>2</v>
      </c>
      <c r="AE458" s="17"/>
      <c r="AG458" s="8" t="str">
        <v>Alex Len</v>
      </c>
      <c r="AH458" s="8" t="str">
        <v>SAC</v>
      </c>
    </row>
    <row r="459" spans="1:34" ht="17" x14ac:dyDescent="0.2">
      <c r="A459" s="1">
        <v>445</v>
      </c>
      <c r="B459" s="18" t="s">
        <v>413</v>
      </c>
      <c r="C459" s="17">
        <v>23</v>
      </c>
      <c r="D459" s="18" t="s">
        <v>42</v>
      </c>
      <c r="E459" s="17" t="s">
        <v>46</v>
      </c>
      <c r="F459" s="17">
        <v>4</v>
      </c>
      <c r="G459" s="17">
        <v>0</v>
      </c>
      <c r="H459" s="17">
        <v>7</v>
      </c>
      <c r="I459" s="17">
        <v>0.8</v>
      </c>
      <c r="J459" s="17">
        <v>1.5</v>
      </c>
      <c r="K459" s="17">
        <v>0.5</v>
      </c>
      <c r="L459" s="17">
        <v>0.5</v>
      </c>
      <c r="M459" s="17">
        <v>0.8</v>
      </c>
      <c r="N459" s="17">
        <v>0.66700000000000004</v>
      </c>
      <c r="O459" s="17">
        <v>0.3</v>
      </c>
      <c r="P459" s="17">
        <v>0.8</v>
      </c>
      <c r="Q459" s="17">
        <v>0.33300000000000002</v>
      </c>
      <c r="R459" s="17">
        <v>0.66700000000000004</v>
      </c>
      <c r="S459" s="17">
        <v>0</v>
      </c>
      <c r="T459" s="17">
        <v>0</v>
      </c>
      <c r="U459" s="17"/>
      <c r="V459" s="17">
        <v>0</v>
      </c>
      <c r="W459" s="17">
        <v>0.3</v>
      </c>
      <c r="X459" s="17">
        <v>0.3</v>
      </c>
      <c r="Y459" s="17">
        <v>1</v>
      </c>
      <c r="Z459" s="17">
        <v>0.5</v>
      </c>
      <c r="AA459" s="17">
        <v>0</v>
      </c>
      <c r="AB459" s="17">
        <v>0.3</v>
      </c>
      <c r="AC459" s="17">
        <v>0</v>
      </c>
      <c r="AD459" s="17">
        <v>2</v>
      </c>
      <c r="AE459" s="17"/>
      <c r="AG459" s="8" t="str">
        <v>Yuki Kawamura</v>
      </c>
      <c r="AH459" s="8" t="str">
        <v>MEM</v>
      </c>
    </row>
    <row r="460" spans="1:34" ht="17" x14ac:dyDescent="0.2">
      <c r="A460" s="1">
        <v>446</v>
      </c>
      <c r="B460" s="18" t="s">
        <v>587</v>
      </c>
      <c r="C460" s="17">
        <v>21</v>
      </c>
      <c r="D460" s="18" t="s">
        <v>64</v>
      </c>
      <c r="E460" s="17" t="s">
        <v>29</v>
      </c>
      <c r="F460" s="17">
        <v>20</v>
      </c>
      <c r="G460" s="17">
        <v>0</v>
      </c>
      <c r="H460" s="17">
        <v>7.4</v>
      </c>
      <c r="I460" s="17">
        <v>0.6</v>
      </c>
      <c r="J460" s="17">
        <v>1</v>
      </c>
      <c r="K460" s="17">
        <v>0.6</v>
      </c>
      <c r="L460" s="17">
        <v>0</v>
      </c>
      <c r="M460" s="17">
        <v>0</v>
      </c>
      <c r="N460" s="17"/>
      <c r="O460" s="17">
        <v>0.6</v>
      </c>
      <c r="P460" s="17">
        <v>1</v>
      </c>
      <c r="Q460" s="17">
        <v>0.6</v>
      </c>
      <c r="R460" s="17">
        <v>0.6</v>
      </c>
      <c r="S460" s="17">
        <v>0.7</v>
      </c>
      <c r="T460" s="17">
        <v>1</v>
      </c>
      <c r="U460" s="17">
        <v>0.73699999999999999</v>
      </c>
      <c r="V460" s="17">
        <v>0.6</v>
      </c>
      <c r="W460" s="17">
        <v>1.5</v>
      </c>
      <c r="X460" s="17">
        <v>2.1</v>
      </c>
      <c r="Y460" s="17">
        <v>0.3</v>
      </c>
      <c r="Z460" s="17">
        <v>0.1</v>
      </c>
      <c r="AA460" s="17">
        <v>0.7</v>
      </c>
      <c r="AB460" s="17">
        <v>0.5</v>
      </c>
      <c r="AC460" s="17">
        <v>1.3</v>
      </c>
      <c r="AD460" s="17">
        <v>1.9</v>
      </c>
      <c r="AE460" s="17"/>
      <c r="AG460" s="8" t="str">
        <v>Dwight Powell</v>
      </c>
      <c r="AH460" s="8" t="str">
        <v>DAL</v>
      </c>
    </row>
    <row r="461" spans="1:34" ht="17" x14ac:dyDescent="0.2">
      <c r="A461" s="1">
        <v>447</v>
      </c>
      <c r="B461" s="18" t="s">
        <v>80</v>
      </c>
      <c r="C461" s="17">
        <v>24</v>
      </c>
      <c r="D461" s="18" t="s">
        <v>50</v>
      </c>
      <c r="E461" s="17" t="s">
        <v>54</v>
      </c>
      <c r="F461" s="17">
        <v>17</v>
      </c>
      <c r="G461" s="17">
        <v>0</v>
      </c>
      <c r="H461" s="17">
        <v>4.0999999999999996</v>
      </c>
      <c r="I461" s="17">
        <v>0.6</v>
      </c>
      <c r="J461" s="17">
        <v>1.6</v>
      </c>
      <c r="K461" s="17">
        <v>0.40699999999999997</v>
      </c>
      <c r="L461" s="17">
        <v>0.2</v>
      </c>
      <c r="M461" s="17">
        <v>0.8</v>
      </c>
      <c r="N461" s="17">
        <v>0.23100000000000001</v>
      </c>
      <c r="O461" s="17">
        <v>0.5</v>
      </c>
      <c r="P461" s="17">
        <v>0.8</v>
      </c>
      <c r="Q461" s="17">
        <v>0.57099999999999995</v>
      </c>
      <c r="R461" s="17">
        <v>0.46300000000000002</v>
      </c>
      <c r="S461" s="17">
        <v>0.3</v>
      </c>
      <c r="T461" s="17">
        <v>0.4</v>
      </c>
      <c r="U461" s="17">
        <v>0.83299999999999996</v>
      </c>
      <c r="V461" s="17">
        <v>0.2</v>
      </c>
      <c r="W461" s="17">
        <v>0.8</v>
      </c>
      <c r="X461" s="17">
        <v>1</v>
      </c>
      <c r="Y461" s="17">
        <v>0.1</v>
      </c>
      <c r="Z461" s="17">
        <v>0.1</v>
      </c>
      <c r="AA461" s="17">
        <v>0.1</v>
      </c>
      <c r="AB461" s="17">
        <v>0.7</v>
      </c>
      <c r="AC461" s="17">
        <v>0.3</v>
      </c>
      <c r="AD461" s="17">
        <v>1.8</v>
      </c>
      <c r="AE461" s="17"/>
      <c r="AG461" s="8" t="str">
        <v xml:space="preserve">Terrence Shannon Jr. </v>
      </c>
      <c r="AH461" s="8" t="str">
        <v>MIN</v>
      </c>
    </row>
    <row r="462" spans="1:34" ht="17" x14ac:dyDescent="0.2">
      <c r="A462" s="1">
        <v>448</v>
      </c>
      <c r="B462" s="18" t="s">
        <v>593</v>
      </c>
      <c r="C462" s="17">
        <v>24</v>
      </c>
      <c r="D462" s="18" t="s">
        <v>99</v>
      </c>
      <c r="E462" s="17" t="s">
        <v>27</v>
      </c>
      <c r="F462" s="17">
        <v>18</v>
      </c>
      <c r="G462" s="17">
        <v>1</v>
      </c>
      <c r="H462" s="17">
        <v>7.5</v>
      </c>
      <c r="I462" s="17">
        <v>0.7</v>
      </c>
      <c r="J462" s="17">
        <v>1.4</v>
      </c>
      <c r="K462" s="17">
        <v>0.48</v>
      </c>
      <c r="L462" s="17">
        <v>0.1</v>
      </c>
      <c r="M462" s="17">
        <v>0.3</v>
      </c>
      <c r="N462" s="17">
        <v>0.16700000000000001</v>
      </c>
      <c r="O462" s="17">
        <v>0.6</v>
      </c>
      <c r="P462" s="17">
        <v>1.1000000000000001</v>
      </c>
      <c r="Q462" s="17">
        <v>0.57899999999999996</v>
      </c>
      <c r="R462" s="17">
        <v>0.5</v>
      </c>
      <c r="S462" s="17">
        <v>0.4</v>
      </c>
      <c r="T462" s="17">
        <v>0.7</v>
      </c>
      <c r="U462" s="17">
        <v>0.53800000000000003</v>
      </c>
      <c r="V462" s="17">
        <v>0.3</v>
      </c>
      <c r="W462" s="17">
        <v>0.7</v>
      </c>
      <c r="X462" s="17">
        <v>1</v>
      </c>
      <c r="Y462" s="17">
        <v>0.4</v>
      </c>
      <c r="Z462" s="17">
        <v>0.1</v>
      </c>
      <c r="AA462" s="17">
        <v>0.1</v>
      </c>
      <c r="AB462" s="17">
        <v>0.3</v>
      </c>
      <c r="AC462" s="17">
        <v>0.9</v>
      </c>
      <c r="AD462" s="17">
        <v>1.8</v>
      </c>
      <c r="AE462" s="17"/>
      <c r="AG462" s="8" t="str">
        <v>Pat Spencer</v>
      </c>
      <c r="AH462" s="8" t="str">
        <v>GSW</v>
      </c>
    </row>
    <row r="463" spans="1:34" ht="17" x14ac:dyDescent="0.2">
      <c r="A463" s="1">
        <v>449</v>
      </c>
      <c r="B463" s="18" t="s">
        <v>588</v>
      </c>
      <c r="C463" s="17">
        <v>22</v>
      </c>
      <c r="D463" s="18" t="s">
        <v>31</v>
      </c>
      <c r="E463" s="17" t="s">
        <v>29</v>
      </c>
      <c r="F463" s="17">
        <v>12</v>
      </c>
      <c r="G463" s="17">
        <v>0</v>
      </c>
      <c r="H463" s="17">
        <v>8.3000000000000007</v>
      </c>
      <c r="I463" s="17">
        <v>0.8</v>
      </c>
      <c r="J463" s="17">
        <v>1.2</v>
      </c>
      <c r="K463" s="17">
        <v>0.64300000000000002</v>
      </c>
      <c r="L463" s="17">
        <v>0</v>
      </c>
      <c r="M463" s="17">
        <v>0</v>
      </c>
      <c r="N463" s="17"/>
      <c r="O463" s="17">
        <v>0.8</v>
      </c>
      <c r="P463" s="17">
        <v>1.2</v>
      </c>
      <c r="Q463" s="17">
        <v>0.64300000000000002</v>
      </c>
      <c r="R463" s="17">
        <v>0.64300000000000002</v>
      </c>
      <c r="S463" s="17">
        <v>0.3</v>
      </c>
      <c r="T463" s="17">
        <v>0.7</v>
      </c>
      <c r="U463" s="17">
        <v>0.5</v>
      </c>
      <c r="V463" s="17">
        <v>0.3</v>
      </c>
      <c r="W463" s="17">
        <v>1.5</v>
      </c>
      <c r="X463" s="17">
        <v>1.8</v>
      </c>
      <c r="Y463" s="17">
        <v>0.5</v>
      </c>
      <c r="Z463" s="17">
        <v>0</v>
      </c>
      <c r="AA463" s="17">
        <v>0.7</v>
      </c>
      <c r="AB463" s="17">
        <v>0.8</v>
      </c>
      <c r="AC463" s="17">
        <v>1.2</v>
      </c>
      <c r="AD463" s="17">
        <v>1.8</v>
      </c>
      <c r="AE463" s="17"/>
      <c r="AG463" s="8" t="str">
        <v>Armel Traoré</v>
      </c>
      <c r="AH463" s="8" t="str">
        <v>LAL</v>
      </c>
    </row>
    <row r="464" spans="1:34" ht="17" x14ac:dyDescent="0.2">
      <c r="A464" s="1">
        <v>450</v>
      </c>
      <c r="B464" s="18" t="s">
        <v>361</v>
      </c>
      <c r="C464" s="17">
        <v>22</v>
      </c>
      <c r="D464" s="18" t="s">
        <v>134</v>
      </c>
      <c r="E464" s="17" t="s">
        <v>27</v>
      </c>
      <c r="F464" s="17">
        <v>13</v>
      </c>
      <c r="G464" s="17">
        <v>0</v>
      </c>
      <c r="H464" s="17">
        <v>6.8</v>
      </c>
      <c r="I464" s="17">
        <v>0.6</v>
      </c>
      <c r="J464" s="17">
        <v>1.5</v>
      </c>
      <c r="K464" s="17">
        <v>0.42099999999999999</v>
      </c>
      <c r="L464" s="17">
        <v>0.4</v>
      </c>
      <c r="M464" s="17">
        <v>1.2</v>
      </c>
      <c r="N464" s="17">
        <v>0.33300000000000002</v>
      </c>
      <c r="O464" s="17">
        <v>0.2</v>
      </c>
      <c r="P464" s="17">
        <v>0.3</v>
      </c>
      <c r="Q464" s="17">
        <v>0.75</v>
      </c>
      <c r="R464" s="17">
        <v>0.55300000000000005</v>
      </c>
      <c r="S464" s="17">
        <v>0.2</v>
      </c>
      <c r="T464" s="17">
        <v>0.3</v>
      </c>
      <c r="U464" s="17">
        <v>0.5</v>
      </c>
      <c r="V464" s="17">
        <v>0.5</v>
      </c>
      <c r="W464" s="17">
        <v>0.8</v>
      </c>
      <c r="X464" s="17">
        <v>1.3</v>
      </c>
      <c r="Y464" s="17">
        <v>0.6</v>
      </c>
      <c r="Z464" s="17">
        <v>0.2</v>
      </c>
      <c r="AA464" s="17">
        <v>0.2</v>
      </c>
      <c r="AB464" s="17">
        <v>0.6</v>
      </c>
      <c r="AC464" s="17">
        <v>0.8</v>
      </c>
      <c r="AD464" s="17">
        <v>1.8</v>
      </c>
      <c r="AE464" s="17"/>
      <c r="AG464" s="8" t="str">
        <v>Colin Castleton</v>
      </c>
      <c r="AH464" s="8" t="str">
        <v>MEM</v>
      </c>
    </row>
    <row r="465" spans="1:34" ht="17" x14ac:dyDescent="0.2">
      <c r="A465" s="1">
        <v>451</v>
      </c>
      <c r="B465" s="18" t="s">
        <v>427</v>
      </c>
      <c r="C465" s="17">
        <v>25</v>
      </c>
      <c r="D465" s="18" t="s">
        <v>98</v>
      </c>
      <c r="E465" s="17" t="s">
        <v>35</v>
      </c>
      <c r="F465" s="17">
        <v>4</v>
      </c>
      <c r="G465" s="17">
        <v>0</v>
      </c>
      <c r="H465" s="17">
        <v>3.3</v>
      </c>
      <c r="I465" s="17">
        <v>0.8</v>
      </c>
      <c r="J465" s="17">
        <v>1.3</v>
      </c>
      <c r="K465" s="17">
        <v>0.6</v>
      </c>
      <c r="L465" s="17">
        <v>0.3</v>
      </c>
      <c r="M465" s="17">
        <v>0.8</v>
      </c>
      <c r="N465" s="17">
        <v>0.33300000000000002</v>
      </c>
      <c r="O465" s="17">
        <v>0.5</v>
      </c>
      <c r="P465" s="17">
        <v>0.5</v>
      </c>
      <c r="Q465" s="17">
        <v>1</v>
      </c>
      <c r="R465" s="17">
        <v>0.7</v>
      </c>
      <c r="S465" s="17">
        <v>0</v>
      </c>
      <c r="T465" s="17">
        <v>0</v>
      </c>
      <c r="U465" s="17"/>
      <c r="V465" s="17">
        <v>0</v>
      </c>
      <c r="W465" s="17">
        <v>0.8</v>
      </c>
      <c r="X465" s="17">
        <v>0.8</v>
      </c>
      <c r="Y465" s="17">
        <v>0</v>
      </c>
      <c r="Z465" s="17">
        <v>0.3</v>
      </c>
      <c r="AA465" s="17">
        <v>0.3</v>
      </c>
      <c r="AB465" s="17">
        <v>0.3</v>
      </c>
      <c r="AC465" s="17">
        <v>0</v>
      </c>
      <c r="AD465" s="17">
        <v>1.8</v>
      </c>
      <c r="AE465" s="17"/>
      <c r="AG465" s="8" t="str">
        <v>Adam Flagler</v>
      </c>
      <c r="AH465" s="8" t="str">
        <v>OKC</v>
      </c>
    </row>
    <row r="466" spans="1:34" ht="17" x14ac:dyDescent="0.2">
      <c r="A466" s="1">
        <v>452</v>
      </c>
      <c r="B466" s="18" t="s">
        <v>372</v>
      </c>
      <c r="C466" s="17">
        <v>26</v>
      </c>
      <c r="D466" s="18" t="s">
        <v>31</v>
      </c>
      <c r="E466" s="17" t="s">
        <v>29</v>
      </c>
      <c r="F466" s="17">
        <v>32</v>
      </c>
      <c r="G466" s="17">
        <v>3</v>
      </c>
      <c r="H466" s="17">
        <v>11.6</v>
      </c>
      <c r="I466" s="17">
        <v>0.8</v>
      </c>
      <c r="J466" s="17">
        <v>1.2</v>
      </c>
      <c r="K466" s="17">
        <v>0.63200000000000001</v>
      </c>
      <c r="L466" s="17">
        <v>0</v>
      </c>
      <c r="M466" s="17">
        <v>0</v>
      </c>
      <c r="N466" s="17"/>
      <c r="O466" s="17">
        <v>0.8</v>
      </c>
      <c r="P466" s="17">
        <v>1.2</v>
      </c>
      <c r="Q466" s="17">
        <v>0.63200000000000001</v>
      </c>
      <c r="R466" s="17">
        <v>0.63200000000000001</v>
      </c>
      <c r="S466" s="17">
        <v>0.2</v>
      </c>
      <c r="T466" s="17">
        <v>0.3</v>
      </c>
      <c r="U466" s="17">
        <v>0.66700000000000004</v>
      </c>
      <c r="V466" s="17">
        <v>1.3</v>
      </c>
      <c r="W466" s="17">
        <v>2.2999999999999998</v>
      </c>
      <c r="X466" s="17">
        <v>3.6</v>
      </c>
      <c r="Y466" s="17">
        <v>0.6</v>
      </c>
      <c r="Z466" s="17">
        <v>0.2</v>
      </c>
      <c r="AA466" s="17">
        <v>0.3</v>
      </c>
      <c r="AB466" s="17">
        <v>0.6</v>
      </c>
      <c r="AC466" s="17">
        <v>1.3</v>
      </c>
      <c r="AD466" s="17">
        <v>1.7</v>
      </c>
      <c r="AE466" s="17"/>
      <c r="AG466" s="8" t="str">
        <v>AJ Johnson</v>
      </c>
      <c r="AH466" s="8" t="str">
        <v>MIL</v>
      </c>
    </row>
    <row r="467" spans="1:34" ht="17" x14ac:dyDescent="0.2">
      <c r="A467" s="1">
        <v>453</v>
      </c>
      <c r="B467" s="18" t="s">
        <v>411</v>
      </c>
      <c r="C467" s="17">
        <v>20</v>
      </c>
      <c r="D467" s="18" t="s">
        <v>68</v>
      </c>
      <c r="E467" s="17" t="s">
        <v>27</v>
      </c>
      <c r="F467" s="17">
        <v>26</v>
      </c>
      <c r="G467" s="17">
        <v>1</v>
      </c>
      <c r="H467" s="17">
        <v>8.8000000000000007</v>
      </c>
      <c r="I467" s="17">
        <v>0.6</v>
      </c>
      <c r="J467" s="17">
        <v>1.8</v>
      </c>
      <c r="K467" s="17">
        <v>0.34</v>
      </c>
      <c r="L467" s="17">
        <v>0.3</v>
      </c>
      <c r="M467" s="17">
        <v>1.2</v>
      </c>
      <c r="N467" s="17">
        <v>0.25</v>
      </c>
      <c r="O467" s="17">
        <v>0.3</v>
      </c>
      <c r="P467" s="17">
        <v>0.6</v>
      </c>
      <c r="Q467" s="17">
        <v>0.53300000000000003</v>
      </c>
      <c r="R467" s="17">
        <v>0.42599999999999999</v>
      </c>
      <c r="S467" s="17">
        <v>0.2</v>
      </c>
      <c r="T467" s="17">
        <v>0.4</v>
      </c>
      <c r="U467" s="17">
        <v>0.5</v>
      </c>
      <c r="V467" s="17">
        <v>0.4</v>
      </c>
      <c r="W467" s="17">
        <v>0.8</v>
      </c>
      <c r="X467" s="17">
        <v>1.3</v>
      </c>
      <c r="Y467" s="17">
        <v>0.3</v>
      </c>
      <c r="Z467" s="17">
        <v>0.3</v>
      </c>
      <c r="AA467" s="17">
        <v>0.3</v>
      </c>
      <c r="AB467" s="17">
        <v>0.3</v>
      </c>
      <c r="AC467" s="17">
        <v>0.6</v>
      </c>
      <c r="AD467" s="17">
        <v>1.7</v>
      </c>
      <c r="AE467" s="17"/>
      <c r="AG467" s="8" t="str">
        <v>Josh Christopher</v>
      </c>
      <c r="AH467" s="8" t="str">
        <v>MIA</v>
      </c>
    </row>
    <row r="468" spans="1:34" ht="17" x14ac:dyDescent="0.2">
      <c r="A468" s="1">
        <v>454</v>
      </c>
      <c r="B468" s="18" t="s">
        <v>573</v>
      </c>
      <c r="C468" s="17">
        <v>19</v>
      </c>
      <c r="D468" s="18" t="s">
        <v>31</v>
      </c>
      <c r="E468" s="17" t="s">
        <v>35</v>
      </c>
      <c r="F468" s="17">
        <v>12</v>
      </c>
      <c r="G468" s="17">
        <v>0</v>
      </c>
      <c r="H468" s="17">
        <v>6.8</v>
      </c>
      <c r="I468" s="17">
        <v>0.5</v>
      </c>
      <c r="J468" s="17">
        <v>1.7</v>
      </c>
      <c r="K468" s="17">
        <v>0.3</v>
      </c>
      <c r="L468" s="17">
        <v>0.4</v>
      </c>
      <c r="M468" s="17">
        <v>1.2</v>
      </c>
      <c r="N468" s="17">
        <v>0.35699999999999998</v>
      </c>
      <c r="O468" s="17">
        <v>0.1</v>
      </c>
      <c r="P468" s="17">
        <v>0.5</v>
      </c>
      <c r="Q468" s="17">
        <v>0.16700000000000001</v>
      </c>
      <c r="R468" s="17">
        <v>0.42499999999999999</v>
      </c>
      <c r="S468" s="17">
        <v>0.2</v>
      </c>
      <c r="T468" s="17">
        <v>0.2</v>
      </c>
      <c r="U468" s="17">
        <v>1</v>
      </c>
      <c r="V468" s="17">
        <v>0</v>
      </c>
      <c r="W468" s="17">
        <v>1.1000000000000001</v>
      </c>
      <c r="X468" s="17">
        <v>1.1000000000000001</v>
      </c>
      <c r="Y468" s="17">
        <v>0.4</v>
      </c>
      <c r="Z468" s="17">
        <v>0.1</v>
      </c>
      <c r="AA468" s="17">
        <v>0.2</v>
      </c>
      <c r="AB468" s="17">
        <v>0.1</v>
      </c>
      <c r="AC468" s="17">
        <v>0.4</v>
      </c>
      <c r="AD468" s="17">
        <v>1.6</v>
      </c>
      <c r="AE468" s="17"/>
      <c r="AG468" s="8" t="str">
        <v>James Johnson</v>
      </c>
      <c r="AH468" s="8" t="str">
        <v>IND</v>
      </c>
    </row>
    <row r="469" spans="1:34" ht="17" x14ac:dyDescent="0.2">
      <c r="A469" s="1">
        <v>455</v>
      </c>
      <c r="B469" s="18" t="s">
        <v>582</v>
      </c>
      <c r="C469" s="17">
        <v>21</v>
      </c>
      <c r="D469" s="18" t="s">
        <v>100</v>
      </c>
      <c r="E469" s="17" t="s">
        <v>46</v>
      </c>
      <c r="F469" s="17">
        <v>15</v>
      </c>
      <c r="G469" s="17">
        <v>0</v>
      </c>
      <c r="H469" s="17">
        <v>3.7</v>
      </c>
      <c r="I469" s="17">
        <v>0.6</v>
      </c>
      <c r="J469" s="17">
        <v>1.5</v>
      </c>
      <c r="K469" s="17">
        <v>0.39100000000000001</v>
      </c>
      <c r="L469" s="17">
        <v>0.3</v>
      </c>
      <c r="M469" s="17">
        <v>0.7</v>
      </c>
      <c r="N469" s="17">
        <v>0.36399999999999999</v>
      </c>
      <c r="O469" s="17">
        <v>0.3</v>
      </c>
      <c r="P469" s="17">
        <v>0.8</v>
      </c>
      <c r="Q469" s="17">
        <v>0.41699999999999998</v>
      </c>
      <c r="R469" s="17">
        <v>0.47799999999999998</v>
      </c>
      <c r="S469" s="17">
        <v>0.1</v>
      </c>
      <c r="T469" s="17">
        <v>0.3</v>
      </c>
      <c r="U469" s="17">
        <v>0.5</v>
      </c>
      <c r="V469" s="17">
        <v>0.1</v>
      </c>
      <c r="W469" s="17">
        <v>0.3</v>
      </c>
      <c r="X469" s="17">
        <v>0.3</v>
      </c>
      <c r="Y469" s="17">
        <v>0.4</v>
      </c>
      <c r="Z469" s="17">
        <v>0.1</v>
      </c>
      <c r="AA469" s="17">
        <v>0.1</v>
      </c>
      <c r="AB469" s="17">
        <v>0.3</v>
      </c>
      <c r="AC469" s="17">
        <v>0.6</v>
      </c>
      <c r="AD469" s="17">
        <v>1.6</v>
      </c>
      <c r="AE469" s="17"/>
      <c r="AG469" s="8" t="str">
        <v>Karlo Matković</v>
      </c>
      <c r="AH469" s="8" t="str">
        <v>NOP</v>
      </c>
    </row>
    <row r="470" spans="1:34" ht="17" x14ac:dyDescent="0.2">
      <c r="A470" s="1">
        <v>456</v>
      </c>
      <c r="B470" s="18" t="s">
        <v>254</v>
      </c>
      <c r="C470" s="17">
        <v>31</v>
      </c>
      <c r="D470" s="18" t="s">
        <v>72</v>
      </c>
      <c r="E470" s="17" t="s">
        <v>29</v>
      </c>
      <c r="F470" s="17">
        <v>29</v>
      </c>
      <c r="G470" s="17">
        <v>3</v>
      </c>
      <c r="H470" s="17">
        <v>7.3</v>
      </c>
      <c r="I470" s="17">
        <v>0.7</v>
      </c>
      <c r="J470" s="17">
        <v>1.3</v>
      </c>
      <c r="K470" s="17">
        <v>0.54100000000000004</v>
      </c>
      <c r="L470" s="17">
        <v>0</v>
      </c>
      <c r="M470" s="17">
        <v>0.1</v>
      </c>
      <c r="N470" s="17">
        <v>0</v>
      </c>
      <c r="O470" s="17">
        <v>0.7</v>
      </c>
      <c r="P470" s="17">
        <v>1.1000000000000001</v>
      </c>
      <c r="Q470" s="17">
        <v>0.60599999999999998</v>
      </c>
      <c r="R470" s="17">
        <v>0.54100000000000004</v>
      </c>
      <c r="S470" s="17">
        <v>0.2</v>
      </c>
      <c r="T470" s="17">
        <v>0.4</v>
      </c>
      <c r="U470" s="17">
        <v>0.54500000000000004</v>
      </c>
      <c r="V470" s="17">
        <v>0.7</v>
      </c>
      <c r="W470" s="17">
        <v>1.2</v>
      </c>
      <c r="X470" s="17">
        <v>1.9</v>
      </c>
      <c r="Y470" s="17">
        <v>0.9</v>
      </c>
      <c r="Z470" s="17">
        <v>0.2</v>
      </c>
      <c r="AA470" s="17">
        <v>0.6</v>
      </c>
      <c r="AB470" s="17">
        <v>0.3</v>
      </c>
      <c r="AC470" s="17">
        <v>0.9</v>
      </c>
      <c r="AD470" s="17">
        <v>1.6</v>
      </c>
      <c r="AE470" s="17"/>
      <c r="AG470" s="8" t="str">
        <v>Jack McVeigh</v>
      </c>
      <c r="AH470" s="8" t="str">
        <v>HOU</v>
      </c>
    </row>
    <row r="471" spans="1:34" ht="17" x14ac:dyDescent="0.2">
      <c r="A471" s="1">
        <v>457</v>
      </c>
      <c r="B471" s="18" t="s">
        <v>594</v>
      </c>
      <c r="C471" s="17">
        <v>23</v>
      </c>
      <c r="D471" s="18" t="s">
        <v>38</v>
      </c>
      <c r="E471" s="17" t="s">
        <v>46</v>
      </c>
      <c r="F471" s="17">
        <v>16</v>
      </c>
      <c r="G471" s="17">
        <v>0</v>
      </c>
      <c r="H471" s="17">
        <v>3.4</v>
      </c>
      <c r="I471" s="17">
        <v>0.5</v>
      </c>
      <c r="J471" s="17">
        <v>1.3</v>
      </c>
      <c r="K471" s="17">
        <v>0.38100000000000001</v>
      </c>
      <c r="L471" s="17">
        <v>0.3</v>
      </c>
      <c r="M471" s="17">
        <v>0.9</v>
      </c>
      <c r="N471" s="17">
        <v>0.26700000000000002</v>
      </c>
      <c r="O471" s="17">
        <v>0.3</v>
      </c>
      <c r="P471" s="17">
        <v>0.4</v>
      </c>
      <c r="Q471" s="17">
        <v>0.66700000000000004</v>
      </c>
      <c r="R471" s="17">
        <v>0.47599999999999998</v>
      </c>
      <c r="S471" s="17">
        <v>0.3</v>
      </c>
      <c r="T471" s="17">
        <v>0.4</v>
      </c>
      <c r="U471" s="17">
        <v>0.66700000000000004</v>
      </c>
      <c r="V471" s="17">
        <v>0</v>
      </c>
      <c r="W471" s="17">
        <v>0.4</v>
      </c>
      <c r="X471" s="17">
        <v>0.4</v>
      </c>
      <c r="Y471" s="17">
        <v>0.8</v>
      </c>
      <c r="Z471" s="17">
        <v>0.1</v>
      </c>
      <c r="AA471" s="17">
        <v>0</v>
      </c>
      <c r="AB471" s="17">
        <v>0.3</v>
      </c>
      <c r="AC471" s="17">
        <v>0.4</v>
      </c>
      <c r="AD471" s="17">
        <v>1.5</v>
      </c>
      <c r="AE471" s="17"/>
      <c r="AG471" s="8" t="str">
        <v>Matt Ryan</v>
      </c>
      <c r="AH471" s="8" t="str">
        <v>NYK</v>
      </c>
    </row>
    <row r="472" spans="1:34" ht="17" x14ac:dyDescent="0.2">
      <c r="A472" s="1">
        <v>458</v>
      </c>
      <c r="B472" s="18" t="s">
        <v>333</v>
      </c>
      <c r="C472" s="17">
        <v>33</v>
      </c>
      <c r="D472" s="18" t="s">
        <v>100</v>
      </c>
      <c r="E472" s="17" t="s">
        <v>29</v>
      </c>
      <c r="F472" s="17">
        <v>30</v>
      </c>
      <c r="G472" s="17">
        <v>0</v>
      </c>
      <c r="H472" s="17">
        <v>7.6</v>
      </c>
      <c r="I472" s="17">
        <v>0.4</v>
      </c>
      <c r="J472" s="17">
        <v>0.6</v>
      </c>
      <c r="K472" s="17">
        <v>0.76500000000000001</v>
      </c>
      <c r="L472" s="17">
        <v>0</v>
      </c>
      <c r="M472" s="17">
        <v>0</v>
      </c>
      <c r="N472" s="17">
        <v>1</v>
      </c>
      <c r="O472" s="17">
        <v>0.4</v>
      </c>
      <c r="P472" s="17">
        <v>0.5</v>
      </c>
      <c r="Q472" s="17">
        <v>0.75</v>
      </c>
      <c r="R472" s="17">
        <v>0.79400000000000004</v>
      </c>
      <c r="S472" s="17">
        <v>0.6</v>
      </c>
      <c r="T472" s="17">
        <v>0.9</v>
      </c>
      <c r="U472" s="17">
        <v>0.67900000000000005</v>
      </c>
      <c r="V472" s="17">
        <v>0.7</v>
      </c>
      <c r="W472" s="17">
        <v>1.2</v>
      </c>
      <c r="X472" s="17">
        <v>1.9</v>
      </c>
      <c r="Y472" s="17">
        <v>0.7</v>
      </c>
      <c r="Z472" s="17">
        <v>0.3</v>
      </c>
      <c r="AA472" s="17">
        <v>0.5</v>
      </c>
      <c r="AB472" s="17">
        <v>0.2</v>
      </c>
      <c r="AC472" s="17">
        <v>1.1000000000000001</v>
      </c>
      <c r="AD472" s="17">
        <v>1.5</v>
      </c>
      <c r="AE472" s="17"/>
      <c r="AG472" s="8" t="str">
        <v>Jaden Springer</v>
      </c>
      <c r="AH472" s="8" t="str">
        <v>BOS</v>
      </c>
    </row>
    <row r="473" spans="1:34" ht="17" x14ac:dyDescent="0.2">
      <c r="A473" s="1">
        <v>459</v>
      </c>
      <c r="B473" s="18" t="s">
        <v>596</v>
      </c>
      <c r="C473" s="17">
        <v>24</v>
      </c>
      <c r="D473" s="18" t="s">
        <v>40</v>
      </c>
      <c r="E473" s="17" t="s">
        <v>35</v>
      </c>
      <c r="F473" s="17">
        <v>10</v>
      </c>
      <c r="G473" s="17">
        <v>0</v>
      </c>
      <c r="H473" s="17">
        <v>4.5</v>
      </c>
      <c r="I473" s="17">
        <v>0.7</v>
      </c>
      <c r="J473" s="17">
        <v>1.3</v>
      </c>
      <c r="K473" s="17">
        <v>0.53800000000000003</v>
      </c>
      <c r="L473" s="17">
        <v>0.1</v>
      </c>
      <c r="M473" s="17">
        <v>0.3</v>
      </c>
      <c r="N473" s="17">
        <v>0.33300000000000002</v>
      </c>
      <c r="O473" s="17">
        <v>0.6</v>
      </c>
      <c r="P473" s="17">
        <v>1</v>
      </c>
      <c r="Q473" s="17">
        <v>0.6</v>
      </c>
      <c r="R473" s="17">
        <v>0.57699999999999996</v>
      </c>
      <c r="S473" s="17">
        <v>0</v>
      </c>
      <c r="T473" s="17">
        <v>0</v>
      </c>
      <c r="U473" s="17"/>
      <c r="V473" s="17">
        <v>0</v>
      </c>
      <c r="W473" s="17">
        <v>0.2</v>
      </c>
      <c r="X473" s="17">
        <v>0.2</v>
      </c>
      <c r="Y473" s="17">
        <v>0.5</v>
      </c>
      <c r="Z473" s="17">
        <v>0.2</v>
      </c>
      <c r="AA473" s="17">
        <v>0.1</v>
      </c>
      <c r="AB473" s="17">
        <v>0.3</v>
      </c>
      <c r="AC473" s="17">
        <v>0.1</v>
      </c>
      <c r="AD473" s="17">
        <v>1.5</v>
      </c>
      <c r="AE473" s="17"/>
      <c r="AG473" s="8" t="str">
        <v>Luke Travers</v>
      </c>
      <c r="AH473" s="8" t="str">
        <v>CLE</v>
      </c>
    </row>
    <row r="474" spans="1:34" ht="17" x14ac:dyDescent="0.2">
      <c r="A474" s="1">
        <v>460</v>
      </c>
      <c r="B474" s="18" t="s">
        <v>531</v>
      </c>
      <c r="C474" s="17">
        <v>28</v>
      </c>
      <c r="D474" s="18" t="s">
        <v>134</v>
      </c>
      <c r="E474" s="17" t="s">
        <v>46</v>
      </c>
      <c r="F474" s="17">
        <v>15</v>
      </c>
      <c r="G474" s="17">
        <v>0</v>
      </c>
      <c r="H474" s="17">
        <v>5.9</v>
      </c>
      <c r="I474" s="17">
        <v>0.6</v>
      </c>
      <c r="J474" s="17">
        <v>1.7</v>
      </c>
      <c r="K474" s="17">
        <v>0.36</v>
      </c>
      <c r="L474" s="17">
        <v>0</v>
      </c>
      <c r="M474" s="17">
        <v>0.3</v>
      </c>
      <c r="N474" s="17">
        <v>0</v>
      </c>
      <c r="O474" s="17">
        <v>0.6</v>
      </c>
      <c r="P474" s="17">
        <v>1.4</v>
      </c>
      <c r="Q474" s="17">
        <v>0.42899999999999999</v>
      </c>
      <c r="R474" s="17">
        <v>0.36</v>
      </c>
      <c r="S474" s="17">
        <v>0.3</v>
      </c>
      <c r="T474" s="17">
        <v>0.5</v>
      </c>
      <c r="U474" s="17">
        <v>0.625</v>
      </c>
      <c r="V474" s="17">
        <v>0.4</v>
      </c>
      <c r="W474" s="17">
        <v>0.7</v>
      </c>
      <c r="X474" s="17">
        <v>1.1000000000000001</v>
      </c>
      <c r="Y474" s="17">
        <v>1.5</v>
      </c>
      <c r="Z474" s="17">
        <v>0.5</v>
      </c>
      <c r="AA474" s="17">
        <v>0.1</v>
      </c>
      <c r="AB474" s="17">
        <v>0.4</v>
      </c>
      <c r="AC474" s="17">
        <v>0.4</v>
      </c>
      <c r="AD474" s="17">
        <v>1.5</v>
      </c>
      <c r="AE474" s="17"/>
      <c r="AG474" s="8" t="str">
        <v>Sidy Cissoko</v>
      </c>
      <c r="AH474" s="8" t="str">
        <v>SAS</v>
      </c>
    </row>
    <row r="475" spans="1:34" ht="17" x14ac:dyDescent="0.2">
      <c r="A475" s="1">
        <v>461</v>
      </c>
      <c r="B475" s="18" t="s">
        <v>608</v>
      </c>
      <c r="C475" s="17">
        <v>22</v>
      </c>
      <c r="D475" s="18" t="s">
        <v>116</v>
      </c>
      <c r="E475" s="17" t="s">
        <v>54</v>
      </c>
      <c r="F475" s="17">
        <v>8</v>
      </c>
      <c r="G475" s="17">
        <v>0</v>
      </c>
      <c r="H475" s="17">
        <v>7.6</v>
      </c>
      <c r="I475" s="17">
        <v>0.6</v>
      </c>
      <c r="J475" s="17">
        <v>2.2999999999999998</v>
      </c>
      <c r="K475" s="17">
        <v>0.27800000000000002</v>
      </c>
      <c r="L475" s="17">
        <v>0</v>
      </c>
      <c r="M475" s="17">
        <v>0.9</v>
      </c>
      <c r="N475" s="17">
        <v>0</v>
      </c>
      <c r="O475" s="17">
        <v>0.6</v>
      </c>
      <c r="P475" s="17">
        <v>1.4</v>
      </c>
      <c r="Q475" s="17">
        <v>0.45500000000000002</v>
      </c>
      <c r="R475" s="17">
        <v>0.27800000000000002</v>
      </c>
      <c r="S475" s="17">
        <v>0.3</v>
      </c>
      <c r="T475" s="17">
        <v>0.9</v>
      </c>
      <c r="U475" s="17">
        <v>0.28599999999999998</v>
      </c>
      <c r="V475" s="17">
        <v>0.1</v>
      </c>
      <c r="W475" s="17">
        <v>1.6</v>
      </c>
      <c r="X475" s="17">
        <v>1.8</v>
      </c>
      <c r="Y475" s="17">
        <v>0.1</v>
      </c>
      <c r="Z475" s="17">
        <v>0.5</v>
      </c>
      <c r="AA475" s="17">
        <v>0.3</v>
      </c>
      <c r="AB475" s="17">
        <v>0.3</v>
      </c>
      <c r="AC475" s="17">
        <v>0.8</v>
      </c>
      <c r="AD475" s="17">
        <v>1.5</v>
      </c>
      <c r="AE475" s="17"/>
      <c r="AG475" s="8" t="str">
        <v>JD Davison</v>
      </c>
      <c r="AH475" s="8" t="str">
        <v>BOS</v>
      </c>
    </row>
    <row r="476" spans="1:34" ht="17" x14ac:dyDescent="0.2">
      <c r="A476" s="1">
        <v>462</v>
      </c>
      <c r="B476" s="18" t="s">
        <v>115</v>
      </c>
      <c r="C476" s="17">
        <v>24</v>
      </c>
      <c r="D476" s="18" t="s">
        <v>38</v>
      </c>
      <c r="E476" s="17" t="s">
        <v>29</v>
      </c>
      <c r="F476" s="17">
        <v>10</v>
      </c>
      <c r="G476" s="17">
        <v>0</v>
      </c>
      <c r="H476" s="17">
        <v>4.5999999999999996</v>
      </c>
      <c r="I476" s="17">
        <v>0.2</v>
      </c>
      <c r="J476" s="17">
        <v>1</v>
      </c>
      <c r="K476" s="17">
        <v>0.2</v>
      </c>
      <c r="L476" s="17">
        <v>0</v>
      </c>
      <c r="M476" s="17">
        <v>0.4</v>
      </c>
      <c r="N476" s="17">
        <v>0</v>
      </c>
      <c r="O476" s="17">
        <v>0.2</v>
      </c>
      <c r="P476" s="17">
        <v>0.6</v>
      </c>
      <c r="Q476" s="17">
        <v>0.33300000000000002</v>
      </c>
      <c r="R476" s="17">
        <v>0.2</v>
      </c>
      <c r="S476" s="17">
        <v>1</v>
      </c>
      <c r="T476" s="17">
        <v>1.1000000000000001</v>
      </c>
      <c r="U476" s="17">
        <v>0.90900000000000003</v>
      </c>
      <c r="V476" s="17">
        <v>0.3</v>
      </c>
      <c r="W476" s="17">
        <v>0.6</v>
      </c>
      <c r="X476" s="17">
        <v>0.9</v>
      </c>
      <c r="Y476" s="17">
        <v>0</v>
      </c>
      <c r="Z476" s="17">
        <v>0.1</v>
      </c>
      <c r="AA476" s="17">
        <v>0.1</v>
      </c>
      <c r="AB476" s="17">
        <v>0.1</v>
      </c>
      <c r="AC476" s="17">
        <v>0.6</v>
      </c>
      <c r="AD476" s="17">
        <v>1.4</v>
      </c>
      <c r="AE476" s="17"/>
      <c r="AG476" s="8" t="str">
        <v>Zeke Nnaji</v>
      </c>
      <c r="AH476" s="8" t="str">
        <v>DEN</v>
      </c>
    </row>
    <row r="477" spans="1:34" ht="17" x14ac:dyDescent="0.2">
      <c r="A477" s="1">
        <v>463</v>
      </c>
      <c r="B477" s="18" t="s">
        <v>528</v>
      </c>
      <c r="C477" s="17">
        <v>25</v>
      </c>
      <c r="D477" s="18" t="s">
        <v>81</v>
      </c>
      <c r="E477" s="17" t="s">
        <v>35</v>
      </c>
      <c r="F477" s="17">
        <v>11</v>
      </c>
      <c r="G477" s="17">
        <v>0</v>
      </c>
      <c r="H477" s="17">
        <v>3.6</v>
      </c>
      <c r="I477" s="17">
        <v>0.5</v>
      </c>
      <c r="J477" s="17">
        <v>1.8</v>
      </c>
      <c r="K477" s="17">
        <v>0.25</v>
      </c>
      <c r="L477" s="17">
        <v>0.5</v>
      </c>
      <c r="M477" s="17">
        <v>1.7</v>
      </c>
      <c r="N477" s="17">
        <v>0.26300000000000001</v>
      </c>
      <c r="O477" s="17">
        <v>0</v>
      </c>
      <c r="P477" s="17">
        <v>0.1</v>
      </c>
      <c r="Q477" s="17">
        <v>0</v>
      </c>
      <c r="R477" s="17">
        <v>0.375</v>
      </c>
      <c r="S477" s="17">
        <v>0</v>
      </c>
      <c r="T477" s="17">
        <v>0</v>
      </c>
      <c r="U477" s="17"/>
      <c r="V477" s="17">
        <v>0.2</v>
      </c>
      <c r="W477" s="17">
        <v>0.4</v>
      </c>
      <c r="X477" s="17">
        <v>0.5</v>
      </c>
      <c r="Y477" s="17">
        <v>0</v>
      </c>
      <c r="Z477" s="17">
        <v>0.2</v>
      </c>
      <c r="AA477" s="17">
        <v>0</v>
      </c>
      <c r="AB477" s="17">
        <v>0</v>
      </c>
      <c r="AC477" s="17">
        <v>0.4</v>
      </c>
      <c r="AD477" s="17">
        <v>1.4</v>
      </c>
      <c r="AE477" s="17"/>
      <c r="AG477" s="8" t="str">
        <v>Colby Jones</v>
      </c>
      <c r="AH477" s="8" t="str">
        <v>SAC</v>
      </c>
    </row>
    <row r="478" spans="1:34" ht="17" x14ac:dyDescent="0.2">
      <c r="A478" s="1">
        <v>464</v>
      </c>
      <c r="B478" s="18" t="s">
        <v>600</v>
      </c>
      <c r="C478" s="17">
        <v>20</v>
      </c>
      <c r="D478" s="18" t="s">
        <v>50</v>
      </c>
      <c r="E478" s="17" t="s">
        <v>35</v>
      </c>
      <c r="F478" s="17">
        <v>5</v>
      </c>
      <c r="G478" s="17">
        <v>0</v>
      </c>
      <c r="H478" s="17">
        <v>2.2000000000000002</v>
      </c>
      <c r="I478" s="17">
        <v>0.6</v>
      </c>
      <c r="J478" s="17">
        <v>1.2</v>
      </c>
      <c r="K478" s="17">
        <v>0.5</v>
      </c>
      <c r="L478" s="17">
        <v>0.2</v>
      </c>
      <c r="M478" s="17">
        <v>0.2</v>
      </c>
      <c r="N478" s="17">
        <v>1</v>
      </c>
      <c r="O478" s="17">
        <v>0.4</v>
      </c>
      <c r="P478" s="17">
        <v>1</v>
      </c>
      <c r="Q478" s="17">
        <v>0.4</v>
      </c>
      <c r="R478" s="17">
        <v>0.58299999999999996</v>
      </c>
      <c r="S478" s="17">
        <v>0</v>
      </c>
      <c r="T478" s="17">
        <v>0</v>
      </c>
      <c r="U478" s="17"/>
      <c r="V478" s="17">
        <v>0</v>
      </c>
      <c r="W478" s="17">
        <v>0.4</v>
      </c>
      <c r="X478" s="17">
        <v>0.4</v>
      </c>
      <c r="Y478" s="17">
        <v>0.2</v>
      </c>
      <c r="Z478" s="17">
        <v>0</v>
      </c>
      <c r="AA478" s="17">
        <v>0</v>
      </c>
      <c r="AB478" s="17">
        <v>0.4</v>
      </c>
      <c r="AC478" s="17">
        <v>0</v>
      </c>
      <c r="AD478" s="17">
        <v>1.4</v>
      </c>
      <c r="AE478" s="17"/>
      <c r="AG478" s="8" t="str">
        <v>Xavier Tillman Sr.</v>
      </c>
      <c r="AH478" s="8" t="str">
        <v>BOS</v>
      </c>
    </row>
    <row r="479" spans="1:34" ht="17" x14ac:dyDescent="0.2">
      <c r="A479" s="1">
        <v>465</v>
      </c>
      <c r="B479" s="18" t="s">
        <v>653</v>
      </c>
      <c r="C479" s="17">
        <v>23</v>
      </c>
      <c r="D479" s="18" t="s">
        <v>33</v>
      </c>
      <c r="E479" s="17" t="s">
        <v>35</v>
      </c>
      <c r="F479" s="17">
        <v>4</v>
      </c>
      <c r="G479" s="17">
        <v>0</v>
      </c>
      <c r="H479" s="17">
        <v>4.5</v>
      </c>
      <c r="I479" s="17">
        <v>0.5</v>
      </c>
      <c r="J479" s="17">
        <v>0.8</v>
      </c>
      <c r="K479" s="17">
        <v>0.66700000000000004</v>
      </c>
      <c r="L479" s="17">
        <v>0</v>
      </c>
      <c r="M479" s="17">
        <v>0.3</v>
      </c>
      <c r="N479" s="17">
        <v>0</v>
      </c>
      <c r="O479" s="17">
        <v>0.5</v>
      </c>
      <c r="P479" s="17">
        <v>0.5</v>
      </c>
      <c r="Q479" s="17">
        <v>1</v>
      </c>
      <c r="R479" s="17">
        <v>0.66700000000000004</v>
      </c>
      <c r="S479" s="17">
        <v>0.3</v>
      </c>
      <c r="T479" s="17">
        <v>0.5</v>
      </c>
      <c r="U479" s="17">
        <v>0.5</v>
      </c>
      <c r="V479" s="17">
        <v>0</v>
      </c>
      <c r="W479" s="17">
        <v>0.5</v>
      </c>
      <c r="X479" s="17">
        <v>0.5</v>
      </c>
      <c r="Y479" s="17">
        <v>0.8</v>
      </c>
      <c r="Z479" s="17">
        <v>0</v>
      </c>
      <c r="AA479" s="17">
        <v>0.3</v>
      </c>
      <c r="AB479" s="17">
        <v>1</v>
      </c>
      <c r="AC479" s="17">
        <v>0.3</v>
      </c>
      <c r="AD479" s="17">
        <v>1.3</v>
      </c>
      <c r="AE479" s="17"/>
      <c r="AG479" s="8" t="str">
        <v>Mouhamed Gueye</v>
      </c>
      <c r="AH479" s="8" t="str">
        <v>ATL</v>
      </c>
    </row>
    <row r="480" spans="1:34" ht="17" x14ac:dyDescent="0.2">
      <c r="A480" s="1">
        <v>466</v>
      </c>
      <c r="B480" s="18" t="s">
        <v>230</v>
      </c>
      <c r="C480" s="17">
        <v>37</v>
      </c>
      <c r="D480" s="18" t="s">
        <v>99</v>
      </c>
      <c r="E480" s="17" t="s">
        <v>27</v>
      </c>
      <c r="F480" s="17">
        <v>6</v>
      </c>
      <c r="G480" s="17">
        <v>0</v>
      </c>
      <c r="H480" s="17">
        <v>3.8</v>
      </c>
      <c r="I480" s="17">
        <v>0.7</v>
      </c>
      <c r="J480" s="17">
        <v>1.2</v>
      </c>
      <c r="K480" s="17">
        <v>0.57099999999999995</v>
      </c>
      <c r="L480" s="17">
        <v>0</v>
      </c>
      <c r="M480" s="17">
        <v>0.2</v>
      </c>
      <c r="N480" s="17">
        <v>0</v>
      </c>
      <c r="O480" s="17">
        <v>0.7</v>
      </c>
      <c r="P480" s="17">
        <v>1</v>
      </c>
      <c r="Q480" s="17">
        <v>0.66700000000000004</v>
      </c>
      <c r="R480" s="17">
        <v>0.57099999999999995</v>
      </c>
      <c r="S480" s="17">
        <v>0</v>
      </c>
      <c r="T480" s="17">
        <v>0.2</v>
      </c>
      <c r="U480" s="17">
        <v>0</v>
      </c>
      <c r="V480" s="17">
        <v>0</v>
      </c>
      <c r="W480" s="17">
        <v>0.7</v>
      </c>
      <c r="X480" s="17">
        <v>0.7</v>
      </c>
      <c r="Y480" s="17">
        <v>0.5</v>
      </c>
      <c r="Z480" s="17">
        <v>0</v>
      </c>
      <c r="AA480" s="17">
        <v>0.3</v>
      </c>
      <c r="AB480" s="17">
        <v>0.7</v>
      </c>
      <c r="AC480" s="17">
        <v>0.5</v>
      </c>
      <c r="AD480" s="17">
        <v>1.3</v>
      </c>
      <c r="AE480" s="17"/>
      <c r="AG480" s="8" t="str">
        <v>Jaylen Martin</v>
      </c>
      <c r="AH480" s="8" t="str">
        <v>BRK</v>
      </c>
    </row>
    <row r="481" spans="1:34" ht="17" x14ac:dyDescent="0.2">
      <c r="A481" s="1">
        <v>467</v>
      </c>
      <c r="B481" s="18" t="s">
        <v>595</v>
      </c>
      <c r="C481" s="17">
        <v>23</v>
      </c>
      <c r="D481" s="18" t="s">
        <v>47</v>
      </c>
      <c r="E481" s="17" t="s">
        <v>27</v>
      </c>
      <c r="F481" s="17">
        <v>6</v>
      </c>
      <c r="G481" s="17">
        <v>0</v>
      </c>
      <c r="H481" s="17">
        <v>7.5</v>
      </c>
      <c r="I481" s="17">
        <v>0.7</v>
      </c>
      <c r="J481" s="17">
        <v>1.3</v>
      </c>
      <c r="K481" s="17">
        <v>0.5</v>
      </c>
      <c r="L481" s="17">
        <v>0</v>
      </c>
      <c r="M481" s="17">
        <v>0.2</v>
      </c>
      <c r="N481" s="17">
        <v>0</v>
      </c>
      <c r="O481" s="17">
        <v>0.7</v>
      </c>
      <c r="P481" s="17">
        <v>1.2</v>
      </c>
      <c r="Q481" s="17">
        <v>0.57099999999999995</v>
      </c>
      <c r="R481" s="17">
        <v>0.5</v>
      </c>
      <c r="S481" s="17">
        <v>0</v>
      </c>
      <c r="T481" s="17">
        <v>0</v>
      </c>
      <c r="U481" s="17"/>
      <c r="V481" s="17">
        <v>1.2</v>
      </c>
      <c r="W481" s="17">
        <v>1.2</v>
      </c>
      <c r="X481" s="17">
        <v>2.2999999999999998</v>
      </c>
      <c r="Y481" s="17">
        <v>0.2</v>
      </c>
      <c r="Z481" s="17">
        <v>0.7</v>
      </c>
      <c r="AA481" s="17">
        <v>0.5</v>
      </c>
      <c r="AB481" s="17">
        <v>0.7</v>
      </c>
      <c r="AC481" s="17">
        <v>0.7</v>
      </c>
      <c r="AD481" s="17">
        <v>1.3</v>
      </c>
      <c r="AE481" s="17"/>
      <c r="AG481" s="8" t="str">
        <v>Bryce McGowens</v>
      </c>
      <c r="AH481" s="8" t="str">
        <v>POR</v>
      </c>
    </row>
    <row r="482" spans="1:34" ht="17" x14ac:dyDescent="0.2">
      <c r="A482" s="1">
        <v>468</v>
      </c>
      <c r="B482" s="18" t="s">
        <v>597</v>
      </c>
      <c r="C482" s="17">
        <v>28</v>
      </c>
      <c r="D482" s="18" t="s">
        <v>98</v>
      </c>
      <c r="E482" s="17" t="s">
        <v>27</v>
      </c>
      <c r="F482" s="17">
        <v>6</v>
      </c>
      <c r="G482" s="17">
        <v>0</v>
      </c>
      <c r="H482" s="17">
        <v>3.5</v>
      </c>
      <c r="I482" s="17">
        <v>0.5</v>
      </c>
      <c r="J482" s="17">
        <v>1.8</v>
      </c>
      <c r="K482" s="17">
        <v>0.27300000000000002</v>
      </c>
      <c r="L482" s="17">
        <v>0.3</v>
      </c>
      <c r="M482" s="17">
        <v>1.3</v>
      </c>
      <c r="N482" s="17">
        <v>0.25</v>
      </c>
      <c r="O482" s="17">
        <v>0.2</v>
      </c>
      <c r="P482" s="17">
        <v>0.5</v>
      </c>
      <c r="Q482" s="17">
        <v>0.33300000000000002</v>
      </c>
      <c r="R482" s="17">
        <v>0.36399999999999999</v>
      </c>
      <c r="S482" s="17">
        <v>0</v>
      </c>
      <c r="T482" s="17">
        <v>0</v>
      </c>
      <c r="U482" s="17"/>
      <c r="V482" s="17">
        <v>0.2</v>
      </c>
      <c r="W482" s="17">
        <v>0.5</v>
      </c>
      <c r="X482" s="17">
        <v>0.7</v>
      </c>
      <c r="Y482" s="17">
        <v>0.2</v>
      </c>
      <c r="Z482" s="17">
        <v>0</v>
      </c>
      <c r="AA482" s="17">
        <v>0.2</v>
      </c>
      <c r="AB482" s="17">
        <v>0.2</v>
      </c>
      <c r="AC482" s="17">
        <v>0.2</v>
      </c>
      <c r="AD482" s="17">
        <v>1.3</v>
      </c>
      <c r="AE482" s="17"/>
      <c r="AG482" s="8" t="str">
        <v>Leonard Miller</v>
      </c>
      <c r="AH482" s="8" t="str">
        <v>MIN</v>
      </c>
    </row>
    <row r="483" spans="1:34" ht="17" x14ac:dyDescent="0.2">
      <c r="A483" s="1">
        <v>469</v>
      </c>
      <c r="B483" s="18" t="s">
        <v>358</v>
      </c>
      <c r="C483" s="17">
        <v>27</v>
      </c>
      <c r="D483" s="18" t="s">
        <v>31</v>
      </c>
      <c r="E483" s="17" t="s">
        <v>54</v>
      </c>
      <c r="F483" s="17">
        <v>12</v>
      </c>
      <c r="G483" s="17">
        <v>0</v>
      </c>
      <c r="H483" s="17">
        <v>4.2</v>
      </c>
      <c r="I483" s="17">
        <v>0.5</v>
      </c>
      <c r="J483" s="17">
        <v>1.8</v>
      </c>
      <c r="K483" s="17">
        <v>0.28599999999999998</v>
      </c>
      <c r="L483" s="17">
        <v>0.3</v>
      </c>
      <c r="M483" s="17">
        <v>1.2</v>
      </c>
      <c r="N483" s="17">
        <v>0.214</v>
      </c>
      <c r="O483" s="17">
        <v>0.3</v>
      </c>
      <c r="P483" s="17">
        <v>0.6</v>
      </c>
      <c r="Q483" s="17">
        <v>0.42899999999999999</v>
      </c>
      <c r="R483" s="17">
        <v>0.35699999999999998</v>
      </c>
      <c r="S483" s="17">
        <v>0</v>
      </c>
      <c r="T483" s="17">
        <v>0</v>
      </c>
      <c r="U483" s="17"/>
      <c r="V483" s="17">
        <v>0</v>
      </c>
      <c r="W483" s="17">
        <v>0.3</v>
      </c>
      <c r="X483" s="17">
        <v>0.3</v>
      </c>
      <c r="Y483" s="17">
        <v>0</v>
      </c>
      <c r="Z483" s="17">
        <v>0.1</v>
      </c>
      <c r="AA483" s="17">
        <v>0</v>
      </c>
      <c r="AB483" s="17">
        <v>0.3</v>
      </c>
      <c r="AC483" s="17">
        <v>0.1</v>
      </c>
      <c r="AD483" s="17">
        <v>1.3</v>
      </c>
      <c r="AE483" s="17"/>
      <c r="AG483" s="8" t="str">
        <v>Quinten Post</v>
      </c>
      <c r="AH483" s="8" t="str">
        <v>GSW</v>
      </c>
    </row>
    <row r="484" spans="1:34" ht="17" x14ac:dyDescent="0.2">
      <c r="A484" s="1">
        <v>470</v>
      </c>
      <c r="B484" s="18" t="s">
        <v>379</v>
      </c>
      <c r="C484" s="17">
        <v>22</v>
      </c>
      <c r="D484" s="18" t="s">
        <v>68</v>
      </c>
      <c r="E484" s="17" t="s">
        <v>35</v>
      </c>
      <c r="F484" s="17">
        <v>15</v>
      </c>
      <c r="G484" s="17">
        <v>0</v>
      </c>
      <c r="H484" s="17">
        <v>4.3</v>
      </c>
      <c r="I484" s="17">
        <v>0.3</v>
      </c>
      <c r="J484" s="17">
        <v>0.9</v>
      </c>
      <c r="K484" s="17">
        <v>0.28599999999999998</v>
      </c>
      <c r="L484" s="17">
        <v>0</v>
      </c>
      <c r="M484" s="17">
        <v>0.3</v>
      </c>
      <c r="N484" s="17">
        <v>0</v>
      </c>
      <c r="O484" s="17">
        <v>0.3</v>
      </c>
      <c r="P484" s="17">
        <v>0.7</v>
      </c>
      <c r="Q484" s="17">
        <v>0.4</v>
      </c>
      <c r="R484" s="17">
        <v>0.28599999999999998</v>
      </c>
      <c r="S484" s="17">
        <v>0.8</v>
      </c>
      <c r="T484" s="17">
        <v>1</v>
      </c>
      <c r="U484" s="17">
        <v>0.8</v>
      </c>
      <c r="V484" s="17">
        <v>0.3</v>
      </c>
      <c r="W484" s="17">
        <v>0.7</v>
      </c>
      <c r="X484" s="17">
        <v>0.9</v>
      </c>
      <c r="Y484" s="17">
        <v>0.3</v>
      </c>
      <c r="Z484" s="17">
        <v>0.3</v>
      </c>
      <c r="AA484" s="17">
        <v>0</v>
      </c>
      <c r="AB484" s="17">
        <v>0.1</v>
      </c>
      <c r="AC484" s="17">
        <v>0.7</v>
      </c>
      <c r="AD484" s="17">
        <v>1.3</v>
      </c>
      <c r="AE484" s="17"/>
      <c r="AG484" s="8" t="str">
        <v>Jared Rhoden</v>
      </c>
      <c r="AH484" s="8" t="str">
        <v>CHO</v>
      </c>
    </row>
    <row r="485" spans="1:34" ht="17" x14ac:dyDescent="0.2">
      <c r="A485" s="1">
        <v>471</v>
      </c>
      <c r="B485" s="18" t="s">
        <v>578</v>
      </c>
      <c r="C485" s="17">
        <v>23</v>
      </c>
      <c r="D485" s="18" t="s">
        <v>44</v>
      </c>
      <c r="E485" s="17" t="s">
        <v>35</v>
      </c>
      <c r="F485" s="17">
        <v>6</v>
      </c>
      <c r="G485" s="17">
        <v>0</v>
      </c>
      <c r="H485" s="17">
        <v>7</v>
      </c>
      <c r="I485" s="17">
        <v>0.5</v>
      </c>
      <c r="J485" s="17">
        <v>1.2</v>
      </c>
      <c r="K485" s="17">
        <v>0.42899999999999999</v>
      </c>
      <c r="L485" s="17">
        <v>0</v>
      </c>
      <c r="M485" s="17">
        <v>0.5</v>
      </c>
      <c r="N485" s="17">
        <v>0</v>
      </c>
      <c r="O485" s="17">
        <v>0.5</v>
      </c>
      <c r="P485" s="17">
        <v>0.7</v>
      </c>
      <c r="Q485" s="17">
        <v>0.75</v>
      </c>
      <c r="R485" s="17">
        <v>0.42899999999999999</v>
      </c>
      <c r="S485" s="17">
        <v>0.3</v>
      </c>
      <c r="T485" s="17">
        <v>0.3</v>
      </c>
      <c r="U485" s="17">
        <v>1</v>
      </c>
      <c r="V485" s="17">
        <v>0.2</v>
      </c>
      <c r="W485" s="17">
        <v>0.8</v>
      </c>
      <c r="X485" s="17">
        <v>1</v>
      </c>
      <c r="Y485" s="17">
        <v>0.8</v>
      </c>
      <c r="Z485" s="17">
        <v>0.2</v>
      </c>
      <c r="AA485" s="17">
        <v>0.2</v>
      </c>
      <c r="AB485" s="17">
        <v>0.3</v>
      </c>
      <c r="AC485" s="17">
        <v>0.5</v>
      </c>
      <c r="AD485" s="17">
        <v>1.3</v>
      </c>
      <c r="AE485" s="17"/>
      <c r="AG485" s="8" t="str">
        <v>Maxwell Lewis</v>
      </c>
      <c r="AH485" s="8" t="str">
        <v>BRK</v>
      </c>
    </row>
    <row r="486" spans="1:34" ht="17" x14ac:dyDescent="0.2">
      <c r="A486" s="1">
        <v>472</v>
      </c>
      <c r="B486" s="18" t="s">
        <v>119</v>
      </c>
      <c r="C486" s="17">
        <v>20</v>
      </c>
      <c r="D486" s="18" t="s">
        <v>70</v>
      </c>
      <c r="E486" s="17" t="s">
        <v>54</v>
      </c>
      <c r="F486" s="17">
        <v>13</v>
      </c>
      <c r="G486" s="17">
        <v>0</v>
      </c>
      <c r="H486" s="17">
        <v>3.2</v>
      </c>
      <c r="I486" s="17">
        <v>0.5</v>
      </c>
      <c r="J486" s="17">
        <v>1</v>
      </c>
      <c r="K486" s="17">
        <v>0.46200000000000002</v>
      </c>
      <c r="L486" s="17">
        <v>0.2</v>
      </c>
      <c r="M486" s="17">
        <v>0.5</v>
      </c>
      <c r="N486" s="17">
        <v>0.5</v>
      </c>
      <c r="O486" s="17">
        <v>0.2</v>
      </c>
      <c r="P486" s="17">
        <v>0.5</v>
      </c>
      <c r="Q486" s="17">
        <v>0.42899999999999999</v>
      </c>
      <c r="R486" s="17">
        <v>0.57699999999999996</v>
      </c>
      <c r="S486" s="17">
        <v>0</v>
      </c>
      <c r="T486" s="17">
        <v>0.3</v>
      </c>
      <c r="U486" s="17">
        <v>0</v>
      </c>
      <c r="V486" s="17">
        <v>0.2</v>
      </c>
      <c r="W486" s="17">
        <v>0.5</v>
      </c>
      <c r="X486" s="17">
        <v>0.6</v>
      </c>
      <c r="Y486" s="17">
        <v>0.5</v>
      </c>
      <c r="Z486" s="17">
        <v>0</v>
      </c>
      <c r="AA486" s="17">
        <v>0</v>
      </c>
      <c r="AB486" s="17">
        <v>0.1</v>
      </c>
      <c r="AC486" s="17">
        <v>0.4</v>
      </c>
      <c r="AD486" s="17">
        <v>1.2</v>
      </c>
      <c r="AE486" s="17"/>
      <c r="AG486" s="8" t="str">
        <v>Dominick Barlow</v>
      </c>
      <c r="AH486" s="8" t="str">
        <v>ATL</v>
      </c>
    </row>
    <row r="487" spans="1:34" ht="17" x14ac:dyDescent="0.2">
      <c r="A487" s="1">
        <v>473</v>
      </c>
      <c r="B487" s="18" t="s">
        <v>138</v>
      </c>
      <c r="C487" s="17">
        <v>22</v>
      </c>
      <c r="D487" s="18" t="s">
        <v>68</v>
      </c>
      <c r="E487" s="17" t="s">
        <v>46</v>
      </c>
      <c r="F487" s="17">
        <v>5</v>
      </c>
      <c r="G487" s="17">
        <v>0</v>
      </c>
      <c r="H487" s="17">
        <v>4.8</v>
      </c>
      <c r="I487" s="17">
        <v>0.4</v>
      </c>
      <c r="J487" s="17">
        <v>1</v>
      </c>
      <c r="K487" s="17">
        <v>0.4</v>
      </c>
      <c r="L487" s="17">
        <v>0.2</v>
      </c>
      <c r="M487" s="17">
        <v>0.6</v>
      </c>
      <c r="N487" s="17">
        <v>0.33300000000000002</v>
      </c>
      <c r="O487" s="17">
        <v>0.2</v>
      </c>
      <c r="P487" s="17">
        <v>0.4</v>
      </c>
      <c r="Q487" s="17">
        <v>0.5</v>
      </c>
      <c r="R487" s="17">
        <v>0.5</v>
      </c>
      <c r="S487" s="17">
        <v>0.2</v>
      </c>
      <c r="T487" s="17">
        <v>0.4</v>
      </c>
      <c r="U487" s="17">
        <v>0.5</v>
      </c>
      <c r="V487" s="17">
        <v>0</v>
      </c>
      <c r="W487" s="17">
        <v>0.4</v>
      </c>
      <c r="X487" s="17">
        <v>0.4</v>
      </c>
      <c r="Y487" s="17">
        <v>0.2</v>
      </c>
      <c r="Z487" s="17">
        <v>0.2</v>
      </c>
      <c r="AA487" s="17">
        <v>0</v>
      </c>
      <c r="AB487" s="17">
        <v>1.2</v>
      </c>
      <c r="AC487" s="17">
        <v>0.2</v>
      </c>
      <c r="AD487" s="17">
        <v>1.2</v>
      </c>
      <c r="AE487" s="17"/>
      <c r="AG487" s="8" t="str">
        <v>Trey Alexander</v>
      </c>
      <c r="AH487" s="8" t="str">
        <v>DEN</v>
      </c>
    </row>
    <row r="488" spans="1:34" ht="17" x14ac:dyDescent="0.2">
      <c r="A488" s="1">
        <v>474</v>
      </c>
      <c r="B488" s="18" t="s">
        <v>311</v>
      </c>
      <c r="C488" s="17">
        <v>24</v>
      </c>
      <c r="D488" s="18" t="s">
        <v>93</v>
      </c>
      <c r="E488" s="17" t="s">
        <v>27</v>
      </c>
      <c r="F488" s="17">
        <v>21</v>
      </c>
      <c r="G488" s="17">
        <v>0</v>
      </c>
      <c r="H488" s="17">
        <v>4.5999999999999996</v>
      </c>
      <c r="I488" s="17">
        <v>0.6</v>
      </c>
      <c r="J488" s="17">
        <v>1.4</v>
      </c>
      <c r="K488" s="17">
        <v>0.41399999999999998</v>
      </c>
      <c r="L488" s="17">
        <v>0</v>
      </c>
      <c r="M488" s="17">
        <v>0.4</v>
      </c>
      <c r="N488" s="17">
        <v>0</v>
      </c>
      <c r="O488" s="17">
        <v>0.6</v>
      </c>
      <c r="P488" s="17">
        <v>1</v>
      </c>
      <c r="Q488" s="17">
        <v>0.6</v>
      </c>
      <c r="R488" s="17">
        <v>0.41399999999999998</v>
      </c>
      <c r="S488" s="17">
        <v>0</v>
      </c>
      <c r="T488" s="17">
        <v>0.2</v>
      </c>
      <c r="U488" s="17">
        <v>0.2</v>
      </c>
      <c r="V488" s="17">
        <v>0.1</v>
      </c>
      <c r="W488" s="17">
        <v>0.2</v>
      </c>
      <c r="X488" s="17">
        <v>0.3</v>
      </c>
      <c r="Y488" s="17">
        <v>0.2</v>
      </c>
      <c r="Z488" s="17">
        <v>0</v>
      </c>
      <c r="AA488" s="17">
        <v>0.1</v>
      </c>
      <c r="AB488" s="17">
        <v>0.1</v>
      </c>
      <c r="AC488" s="17">
        <v>0.4</v>
      </c>
      <c r="AD488" s="17">
        <v>1.2</v>
      </c>
      <c r="AE488" s="17"/>
      <c r="AG488" s="8" t="str">
        <v>D.J. Carton</v>
      </c>
      <c r="AH488" s="8" t="str">
        <v>TOR</v>
      </c>
    </row>
    <row r="489" spans="1:34" ht="17" x14ac:dyDescent="0.2">
      <c r="A489" s="1">
        <v>475</v>
      </c>
      <c r="B489" s="18" t="s">
        <v>234</v>
      </c>
      <c r="C489" s="17">
        <v>22</v>
      </c>
      <c r="D489" s="18" t="s">
        <v>72</v>
      </c>
      <c r="E489" s="17" t="s">
        <v>35</v>
      </c>
      <c r="F489" s="17">
        <v>22</v>
      </c>
      <c r="G489" s="17">
        <v>0</v>
      </c>
      <c r="H489" s="17">
        <v>5.4</v>
      </c>
      <c r="I489" s="17">
        <v>0.5</v>
      </c>
      <c r="J489" s="17">
        <v>1.1000000000000001</v>
      </c>
      <c r="K489" s="17">
        <v>0.41699999999999998</v>
      </c>
      <c r="L489" s="17">
        <v>0.2</v>
      </c>
      <c r="M489" s="17">
        <v>0.4</v>
      </c>
      <c r="N489" s="17">
        <v>0.44400000000000001</v>
      </c>
      <c r="O489" s="17">
        <v>0.3</v>
      </c>
      <c r="P489" s="17">
        <v>0.7</v>
      </c>
      <c r="Q489" s="17">
        <v>0.4</v>
      </c>
      <c r="R489" s="17">
        <v>0.5</v>
      </c>
      <c r="S489" s="17">
        <v>0</v>
      </c>
      <c r="T489" s="17">
        <v>0</v>
      </c>
      <c r="U489" s="17"/>
      <c r="V489" s="17">
        <v>0.3</v>
      </c>
      <c r="W489" s="17">
        <v>0.6</v>
      </c>
      <c r="X489" s="17">
        <v>0.9</v>
      </c>
      <c r="Y489" s="17">
        <v>0.2</v>
      </c>
      <c r="Z489" s="17">
        <v>0.2</v>
      </c>
      <c r="AA489" s="17">
        <v>0.2</v>
      </c>
      <c r="AB489" s="17">
        <v>0.3</v>
      </c>
      <c r="AC489" s="17">
        <v>0.6</v>
      </c>
      <c r="AD489" s="17">
        <v>1.1000000000000001</v>
      </c>
      <c r="AE489" s="17"/>
      <c r="AG489" s="8" t="str">
        <v>Ulrich Chomche</v>
      </c>
      <c r="AH489" s="8" t="str">
        <v>TOR</v>
      </c>
    </row>
    <row r="490" spans="1:34" ht="17" x14ac:dyDescent="0.2">
      <c r="A490" s="1">
        <v>476</v>
      </c>
      <c r="B490" s="18" t="s">
        <v>392</v>
      </c>
      <c r="C490" s="17">
        <v>26</v>
      </c>
      <c r="D490" s="18" t="s">
        <v>68</v>
      </c>
      <c r="E490" s="17" t="s">
        <v>29</v>
      </c>
      <c r="F490" s="17">
        <v>22</v>
      </c>
      <c r="G490" s="17">
        <v>1</v>
      </c>
      <c r="H490" s="17">
        <v>7.8</v>
      </c>
      <c r="I490" s="17">
        <v>0.5</v>
      </c>
      <c r="J490" s="17">
        <v>1.6</v>
      </c>
      <c r="K490" s="17">
        <v>0.27800000000000002</v>
      </c>
      <c r="L490" s="17">
        <v>0.2</v>
      </c>
      <c r="M490" s="17">
        <v>0.9</v>
      </c>
      <c r="N490" s="17">
        <v>0.21099999999999999</v>
      </c>
      <c r="O490" s="17">
        <v>0.3</v>
      </c>
      <c r="P490" s="17">
        <v>0.8</v>
      </c>
      <c r="Q490" s="17">
        <v>0.35299999999999998</v>
      </c>
      <c r="R490" s="17">
        <v>0.33300000000000002</v>
      </c>
      <c r="S490" s="17">
        <v>0</v>
      </c>
      <c r="T490" s="17">
        <v>0.1</v>
      </c>
      <c r="U490" s="17">
        <v>0.5</v>
      </c>
      <c r="V490" s="17">
        <v>0.4</v>
      </c>
      <c r="W490" s="17">
        <v>1.2</v>
      </c>
      <c r="X490" s="17">
        <v>1.5</v>
      </c>
      <c r="Y490" s="17">
        <v>0.3</v>
      </c>
      <c r="Z490" s="17">
        <v>0.4</v>
      </c>
      <c r="AA490" s="17">
        <v>0.2</v>
      </c>
      <c r="AB490" s="17">
        <v>0.3</v>
      </c>
      <c r="AC490" s="17">
        <v>0.6</v>
      </c>
      <c r="AD490" s="17">
        <v>1.1000000000000001</v>
      </c>
      <c r="AE490" s="17"/>
      <c r="AG490" s="8" t="str">
        <v>PJ Dozier</v>
      </c>
      <c r="AH490" s="8" t="str">
        <v>MIN</v>
      </c>
    </row>
    <row r="491" spans="1:34" ht="17" x14ac:dyDescent="0.2">
      <c r="A491" s="1">
        <v>477</v>
      </c>
      <c r="B491" s="18" t="s">
        <v>183</v>
      </c>
      <c r="C491" s="17">
        <v>22</v>
      </c>
      <c r="D491" s="18" t="s">
        <v>82</v>
      </c>
      <c r="E491" s="17" t="s">
        <v>27</v>
      </c>
      <c r="F491" s="17">
        <v>2</v>
      </c>
      <c r="G491" s="17">
        <v>0</v>
      </c>
      <c r="H491" s="17">
        <v>5.5</v>
      </c>
      <c r="I491" s="17">
        <v>0.5</v>
      </c>
      <c r="J491" s="17">
        <v>2</v>
      </c>
      <c r="K491" s="17">
        <v>0.25</v>
      </c>
      <c r="L491" s="17">
        <v>0</v>
      </c>
      <c r="M491" s="17">
        <v>1</v>
      </c>
      <c r="N491" s="17">
        <v>0</v>
      </c>
      <c r="O491" s="17">
        <v>0.5</v>
      </c>
      <c r="P491" s="17">
        <v>1</v>
      </c>
      <c r="Q491" s="17">
        <v>0.5</v>
      </c>
      <c r="R491" s="17">
        <v>0.25</v>
      </c>
      <c r="S491" s="17">
        <v>0</v>
      </c>
      <c r="T491" s="17">
        <v>0</v>
      </c>
      <c r="U491" s="17"/>
      <c r="V491" s="17">
        <v>0</v>
      </c>
      <c r="W491" s="17">
        <v>1</v>
      </c>
      <c r="X491" s="17">
        <v>1</v>
      </c>
      <c r="Y491" s="17">
        <v>0</v>
      </c>
      <c r="Z491" s="17">
        <v>0</v>
      </c>
      <c r="AA491" s="17">
        <v>0</v>
      </c>
      <c r="AB491" s="17">
        <v>0.5</v>
      </c>
      <c r="AC491" s="17">
        <v>0</v>
      </c>
      <c r="AD491" s="17">
        <v>1</v>
      </c>
      <c r="AE491" s="17"/>
      <c r="AG491" s="8" t="str">
        <v>Baylor Scheierman</v>
      </c>
      <c r="AH491" s="8" t="str">
        <v>BOS</v>
      </c>
    </row>
    <row r="492" spans="1:34" ht="17" x14ac:dyDescent="0.2">
      <c r="A492" s="1">
        <v>478</v>
      </c>
      <c r="B492" s="18" t="s">
        <v>583</v>
      </c>
      <c r="C492" s="17">
        <v>21</v>
      </c>
      <c r="D492" s="18" t="s">
        <v>95</v>
      </c>
      <c r="E492" s="17" t="s">
        <v>54</v>
      </c>
      <c r="F492" s="17">
        <v>3</v>
      </c>
      <c r="G492" s="17">
        <v>0</v>
      </c>
      <c r="H492" s="17">
        <v>1.7</v>
      </c>
      <c r="I492" s="17">
        <v>0.3</v>
      </c>
      <c r="J492" s="17">
        <v>0.7</v>
      </c>
      <c r="K492" s="17">
        <v>0.5</v>
      </c>
      <c r="L492" s="17">
        <v>0.3</v>
      </c>
      <c r="M492" s="17">
        <v>0.3</v>
      </c>
      <c r="N492" s="17">
        <v>1</v>
      </c>
      <c r="O492" s="17">
        <v>0</v>
      </c>
      <c r="P492" s="17">
        <v>0.3</v>
      </c>
      <c r="Q492" s="17">
        <v>0</v>
      </c>
      <c r="R492" s="17">
        <v>0.75</v>
      </c>
      <c r="S492" s="17">
        <v>0</v>
      </c>
      <c r="T492" s="17">
        <v>0</v>
      </c>
      <c r="U492" s="17"/>
      <c r="V492" s="17">
        <v>0</v>
      </c>
      <c r="W492" s="17">
        <v>0</v>
      </c>
      <c r="X492" s="17">
        <v>0</v>
      </c>
      <c r="Y492" s="17">
        <v>0</v>
      </c>
      <c r="Z492" s="17">
        <v>0</v>
      </c>
      <c r="AA492" s="17">
        <v>0</v>
      </c>
      <c r="AB492" s="17">
        <v>0</v>
      </c>
      <c r="AC492" s="17">
        <v>0.3</v>
      </c>
      <c r="AD492" s="17">
        <v>1</v>
      </c>
      <c r="AE492" s="17"/>
      <c r="AG492" s="8" t="str">
        <v>PJ Hall</v>
      </c>
      <c r="AH492" s="8" t="str">
        <v>DEN</v>
      </c>
    </row>
    <row r="493" spans="1:34" ht="17" x14ac:dyDescent="0.2">
      <c r="A493" s="1">
        <v>479</v>
      </c>
      <c r="B493" s="18" t="s">
        <v>644</v>
      </c>
      <c r="C493" s="17">
        <v>22</v>
      </c>
      <c r="D493" s="18" t="s">
        <v>58</v>
      </c>
      <c r="E493" s="17" t="s">
        <v>35</v>
      </c>
      <c r="F493" s="17">
        <v>2</v>
      </c>
      <c r="G493" s="17">
        <v>0</v>
      </c>
      <c r="H493" s="17">
        <v>3.5</v>
      </c>
      <c r="I493" s="17">
        <v>0.5</v>
      </c>
      <c r="J493" s="17">
        <v>1</v>
      </c>
      <c r="K493" s="17">
        <v>0.5</v>
      </c>
      <c r="L493" s="17">
        <v>0</v>
      </c>
      <c r="M493" s="17">
        <v>0.5</v>
      </c>
      <c r="N493" s="17">
        <v>0</v>
      </c>
      <c r="O493" s="17">
        <v>0.5</v>
      </c>
      <c r="P493" s="17">
        <v>0.5</v>
      </c>
      <c r="Q493" s="17">
        <v>1</v>
      </c>
      <c r="R493" s="17">
        <v>0.5</v>
      </c>
      <c r="S493" s="17">
        <v>0</v>
      </c>
      <c r="T493" s="17">
        <v>0</v>
      </c>
      <c r="U493" s="17"/>
      <c r="V493" s="17">
        <v>0.5</v>
      </c>
      <c r="W493" s="17">
        <v>0</v>
      </c>
      <c r="X493" s="17">
        <v>0.5</v>
      </c>
      <c r="Y493" s="17">
        <v>0.5</v>
      </c>
      <c r="Z493" s="17">
        <v>0</v>
      </c>
      <c r="AA493" s="17">
        <v>0</v>
      </c>
      <c r="AB493" s="17">
        <v>0</v>
      </c>
      <c r="AC493" s="17">
        <v>0</v>
      </c>
      <c r="AD493" s="17">
        <v>1</v>
      </c>
      <c r="AE493" s="17"/>
      <c r="AG493" s="8" t="str">
        <v>Chris Livingston</v>
      </c>
      <c r="AH493" s="8" t="str">
        <v>MIL</v>
      </c>
    </row>
    <row r="494" spans="1:34" ht="17" x14ac:dyDescent="0.2">
      <c r="A494" s="1">
        <v>480</v>
      </c>
      <c r="B494" s="18" t="s">
        <v>642</v>
      </c>
      <c r="C494" s="17">
        <v>21</v>
      </c>
      <c r="D494" s="18" t="s">
        <v>40</v>
      </c>
      <c r="E494" s="17" t="s">
        <v>54</v>
      </c>
      <c r="F494" s="17">
        <v>2</v>
      </c>
      <c r="G494" s="17">
        <v>0</v>
      </c>
      <c r="H494" s="17">
        <v>2.5</v>
      </c>
      <c r="I494" s="17">
        <v>0</v>
      </c>
      <c r="J494" s="17">
        <v>1</v>
      </c>
      <c r="K494" s="17">
        <v>0</v>
      </c>
      <c r="L494" s="17">
        <v>0</v>
      </c>
      <c r="M494" s="17">
        <v>0.5</v>
      </c>
      <c r="N494" s="17">
        <v>0</v>
      </c>
      <c r="O494" s="17">
        <v>0</v>
      </c>
      <c r="P494" s="17">
        <v>0.5</v>
      </c>
      <c r="Q494" s="17">
        <v>0</v>
      </c>
      <c r="R494" s="17">
        <v>0</v>
      </c>
      <c r="S494" s="17">
        <v>1</v>
      </c>
      <c r="T494" s="17">
        <v>1</v>
      </c>
      <c r="U494" s="17">
        <v>1</v>
      </c>
      <c r="V494" s="17">
        <v>0.5</v>
      </c>
      <c r="W494" s="17">
        <v>0.5</v>
      </c>
      <c r="X494" s="17">
        <v>1</v>
      </c>
      <c r="Y494" s="17">
        <v>0</v>
      </c>
      <c r="Z494" s="17">
        <v>0.5</v>
      </c>
      <c r="AA494" s="17">
        <v>0</v>
      </c>
      <c r="AB494" s="17">
        <v>0</v>
      </c>
      <c r="AC494" s="17">
        <v>0.5</v>
      </c>
      <c r="AD494" s="17">
        <v>1</v>
      </c>
      <c r="AE494" s="17"/>
      <c r="AG494" s="8" t="str">
        <v>Liam Robbins</v>
      </c>
      <c r="AH494" s="8" t="str">
        <v>MIL</v>
      </c>
    </row>
    <row r="495" spans="1:34" ht="17" x14ac:dyDescent="0.2">
      <c r="A495" s="1">
        <v>481</v>
      </c>
      <c r="B495" s="18" t="s">
        <v>645</v>
      </c>
      <c r="C495" s="17">
        <v>24</v>
      </c>
      <c r="D495" s="18" t="s">
        <v>134</v>
      </c>
      <c r="E495" s="17" t="s">
        <v>27</v>
      </c>
      <c r="F495" s="17">
        <v>2</v>
      </c>
      <c r="G495" s="17">
        <v>0</v>
      </c>
      <c r="H495" s="17">
        <v>2.5</v>
      </c>
      <c r="I495" s="17">
        <v>0.5</v>
      </c>
      <c r="J495" s="17">
        <v>1.5</v>
      </c>
      <c r="K495" s="17">
        <v>0.33300000000000002</v>
      </c>
      <c r="L495" s="17">
        <v>0</v>
      </c>
      <c r="M495" s="17">
        <v>1</v>
      </c>
      <c r="N495" s="17">
        <v>0</v>
      </c>
      <c r="O495" s="17">
        <v>0.5</v>
      </c>
      <c r="P495" s="17">
        <v>0.5</v>
      </c>
      <c r="Q495" s="17">
        <v>1</v>
      </c>
      <c r="R495" s="17">
        <v>0.33300000000000002</v>
      </c>
      <c r="S495" s="17">
        <v>0</v>
      </c>
      <c r="T495" s="17">
        <v>0</v>
      </c>
      <c r="U495" s="17"/>
      <c r="V495" s="17">
        <v>0.5</v>
      </c>
      <c r="W495" s="17">
        <v>0</v>
      </c>
      <c r="X495" s="17">
        <v>0.5</v>
      </c>
      <c r="Y495" s="17">
        <v>0.5</v>
      </c>
      <c r="Z495" s="17">
        <v>0</v>
      </c>
      <c r="AA495" s="17">
        <v>0</v>
      </c>
      <c r="AB495" s="17">
        <v>0</v>
      </c>
      <c r="AC495" s="17">
        <v>0</v>
      </c>
      <c r="AD495" s="17">
        <v>1</v>
      </c>
      <c r="AE495" s="17"/>
      <c r="AG495" s="8" t="str">
        <v>Tristan Vukcevic</v>
      </c>
      <c r="AH495" s="8" t="str">
        <v>WAS</v>
      </c>
    </row>
    <row r="496" spans="1:34" ht="17" x14ac:dyDescent="0.2">
      <c r="A496" s="1">
        <v>482</v>
      </c>
      <c r="B496" s="18" t="s">
        <v>347</v>
      </c>
      <c r="C496" s="17">
        <v>25</v>
      </c>
      <c r="D496" s="18" t="s">
        <v>61</v>
      </c>
      <c r="E496" s="17" t="s">
        <v>35</v>
      </c>
      <c r="F496" s="17">
        <v>4</v>
      </c>
      <c r="G496" s="17">
        <v>0</v>
      </c>
      <c r="H496" s="17">
        <v>3</v>
      </c>
      <c r="I496" s="17">
        <v>0.5</v>
      </c>
      <c r="J496" s="17">
        <v>2</v>
      </c>
      <c r="K496" s="17">
        <v>0.25</v>
      </c>
      <c r="L496" s="17">
        <v>0</v>
      </c>
      <c r="M496" s="17">
        <v>0.5</v>
      </c>
      <c r="N496" s="17">
        <v>0</v>
      </c>
      <c r="O496" s="17">
        <v>0.5</v>
      </c>
      <c r="P496" s="17">
        <v>1.5</v>
      </c>
      <c r="Q496" s="17">
        <v>0.33300000000000002</v>
      </c>
      <c r="R496" s="17">
        <v>0.25</v>
      </c>
      <c r="S496" s="17">
        <v>0</v>
      </c>
      <c r="T496" s="17">
        <v>0</v>
      </c>
      <c r="U496" s="17"/>
      <c r="V496" s="17">
        <v>0.5</v>
      </c>
      <c r="W496" s="17">
        <v>0.5</v>
      </c>
      <c r="X496" s="17">
        <v>1</v>
      </c>
      <c r="Y496" s="17">
        <v>0.5</v>
      </c>
      <c r="Z496" s="17">
        <v>0.3</v>
      </c>
      <c r="AA496" s="17">
        <v>0</v>
      </c>
      <c r="AB496" s="17">
        <v>0.3</v>
      </c>
      <c r="AC496" s="17">
        <v>0.3</v>
      </c>
      <c r="AD496" s="17">
        <v>1</v>
      </c>
      <c r="AE496" s="17"/>
      <c r="AG496" s="8" t="str">
        <v>Branden Carlson</v>
      </c>
      <c r="AH496" s="8" t="str">
        <v>OKC</v>
      </c>
    </row>
    <row r="497" spans="1:34" ht="17" x14ac:dyDescent="0.2">
      <c r="A497" s="1">
        <v>483</v>
      </c>
      <c r="B497" s="18" t="s">
        <v>256</v>
      </c>
      <c r="C497" s="17">
        <v>22</v>
      </c>
      <c r="D497" s="17" t="s">
        <v>610</v>
      </c>
      <c r="E497" s="17" t="s">
        <v>54</v>
      </c>
      <c r="F497" s="17">
        <v>8</v>
      </c>
      <c r="G497" s="17">
        <v>0</v>
      </c>
      <c r="H497" s="17">
        <v>3.8</v>
      </c>
      <c r="I497" s="17">
        <v>0.4</v>
      </c>
      <c r="J497" s="17">
        <v>0.9</v>
      </c>
      <c r="K497" s="17">
        <v>0.42899999999999999</v>
      </c>
      <c r="L497" s="17">
        <v>0.1</v>
      </c>
      <c r="M497" s="17">
        <v>0.1</v>
      </c>
      <c r="N497" s="17">
        <v>1</v>
      </c>
      <c r="O497" s="17">
        <v>0.3</v>
      </c>
      <c r="P497" s="17">
        <v>0.8</v>
      </c>
      <c r="Q497" s="17">
        <v>0.33300000000000002</v>
      </c>
      <c r="R497" s="17">
        <v>0.5</v>
      </c>
      <c r="S497" s="17">
        <v>0</v>
      </c>
      <c r="T497" s="17">
        <v>0</v>
      </c>
      <c r="U497" s="17"/>
      <c r="V497" s="17">
        <v>0.3</v>
      </c>
      <c r="W497" s="17">
        <v>0</v>
      </c>
      <c r="X497" s="17">
        <v>0.3</v>
      </c>
      <c r="Y497" s="17">
        <v>0.3</v>
      </c>
      <c r="Z497" s="17">
        <v>0.1</v>
      </c>
      <c r="AA497" s="17">
        <v>0</v>
      </c>
      <c r="AB497" s="17">
        <v>0.3</v>
      </c>
      <c r="AC497" s="17">
        <v>0.1</v>
      </c>
      <c r="AD497" s="17">
        <v>0.9</v>
      </c>
      <c r="AE497" s="17"/>
      <c r="AG497" s="8" t="str">
        <v>Cui Yongxi</v>
      </c>
      <c r="AH497" s="8" t="str">
        <v>BRK</v>
      </c>
    </row>
    <row r="498" spans="1:34" ht="17" x14ac:dyDescent="0.2">
      <c r="A498" s="20">
        <v>483</v>
      </c>
      <c r="B498" s="18" t="s">
        <v>256</v>
      </c>
      <c r="C498" s="21">
        <v>22</v>
      </c>
      <c r="D498" s="18" t="s">
        <v>116</v>
      </c>
      <c r="E498" s="21" t="s">
        <v>54</v>
      </c>
      <c r="F498" s="21">
        <v>7</v>
      </c>
      <c r="G498" s="21">
        <v>0</v>
      </c>
      <c r="H498" s="21">
        <v>4.0999999999999996</v>
      </c>
      <c r="I498" s="21">
        <v>0.3</v>
      </c>
      <c r="J498" s="21">
        <v>0.9</v>
      </c>
      <c r="K498" s="21">
        <v>0.33300000000000002</v>
      </c>
      <c r="L498" s="21">
        <v>0</v>
      </c>
      <c r="M498" s="21">
        <v>0</v>
      </c>
      <c r="N498" s="21"/>
      <c r="O498" s="21">
        <v>0.3</v>
      </c>
      <c r="P498" s="21">
        <v>0.9</v>
      </c>
      <c r="Q498" s="21">
        <v>0.33300000000000002</v>
      </c>
      <c r="R498" s="21">
        <v>0.33300000000000002</v>
      </c>
      <c r="S498" s="21">
        <v>0</v>
      </c>
      <c r="T498" s="21">
        <v>0</v>
      </c>
      <c r="U498" s="21"/>
      <c r="V498" s="21">
        <v>0.3</v>
      </c>
      <c r="W498" s="21">
        <v>0</v>
      </c>
      <c r="X498" s="21">
        <v>0.3</v>
      </c>
      <c r="Y498" s="21">
        <v>0.3</v>
      </c>
      <c r="Z498" s="21">
        <v>0.1</v>
      </c>
      <c r="AA498" s="21">
        <v>0</v>
      </c>
      <c r="AB498" s="21">
        <v>0.3</v>
      </c>
      <c r="AC498" s="21">
        <v>0.1</v>
      </c>
      <c r="AD498" s="21">
        <v>0.6</v>
      </c>
      <c r="AE498" s="21"/>
      <c r="AG498" s="8" t="str">
        <v>Tristen Newton</v>
      </c>
      <c r="AH498" s="8" t="str">
        <v>IND</v>
      </c>
    </row>
    <row r="499" spans="1:34" ht="17" x14ac:dyDescent="0.2">
      <c r="A499" s="20">
        <v>483</v>
      </c>
      <c r="B499" s="18" t="s">
        <v>256</v>
      </c>
      <c r="C499" s="21">
        <v>22</v>
      </c>
      <c r="D499" s="18" t="s">
        <v>95</v>
      </c>
      <c r="E499" s="21" t="s">
        <v>54</v>
      </c>
      <c r="F499" s="21">
        <v>1</v>
      </c>
      <c r="G499" s="21">
        <v>0</v>
      </c>
      <c r="H499" s="21">
        <v>1</v>
      </c>
      <c r="I499" s="21">
        <v>1</v>
      </c>
      <c r="J499" s="21">
        <v>1</v>
      </c>
      <c r="K499" s="21">
        <v>1</v>
      </c>
      <c r="L499" s="21">
        <v>1</v>
      </c>
      <c r="M499" s="21">
        <v>1</v>
      </c>
      <c r="N499" s="21">
        <v>1</v>
      </c>
      <c r="O499" s="21">
        <v>0</v>
      </c>
      <c r="P499" s="21">
        <v>0</v>
      </c>
      <c r="Q499" s="21"/>
      <c r="R499" s="21">
        <v>1.5</v>
      </c>
      <c r="S499" s="21">
        <v>0</v>
      </c>
      <c r="T499" s="21">
        <v>0</v>
      </c>
      <c r="U499" s="21"/>
      <c r="V499" s="21">
        <v>0</v>
      </c>
      <c r="W499" s="21">
        <v>0</v>
      </c>
      <c r="X499" s="21">
        <v>0</v>
      </c>
      <c r="Y499" s="21">
        <v>0</v>
      </c>
      <c r="Z499" s="21">
        <v>0</v>
      </c>
      <c r="AA499" s="21">
        <v>0</v>
      </c>
      <c r="AB499" s="21">
        <v>0</v>
      </c>
      <c r="AC499" s="21">
        <v>0</v>
      </c>
      <c r="AD499" s="21">
        <v>3</v>
      </c>
      <c r="AE499" s="21"/>
      <c r="AG499" s="8" t="str">
        <v>Garrett Temple</v>
      </c>
      <c r="AH499" s="8" t="str">
        <v>TOR</v>
      </c>
    </row>
    <row r="500" spans="1:34" ht="17" x14ac:dyDescent="0.2">
      <c r="A500" s="1">
        <v>484</v>
      </c>
      <c r="B500" s="18" t="s">
        <v>69</v>
      </c>
      <c r="C500" s="17">
        <v>21</v>
      </c>
      <c r="D500" s="18" t="s">
        <v>82</v>
      </c>
      <c r="E500" s="17" t="s">
        <v>54</v>
      </c>
      <c r="F500" s="17">
        <v>7</v>
      </c>
      <c r="G500" s="17">
        <v>0</v>
      </c>
      <c r="H500" s="17">
        <v>4.3</v>
      </c>
      <c r="I500" s="17">
        <v>0.3</v>
      </c>
      <c r="J500" s="17">
        <v>1</v>
      </c>
      <c r="K500" s="17">
        <v>0.28599999999999998</v>
      </c>
      <c r="L500" s="17">
        <v>0.1</v>
      </c>
      <c r="M500" s="17">
        <v>0.3</v>
      </c>
      <c r="N500" s="17">
        <v>0.5</v>
      </c>
      <c r="O500" s="17">
        <v>0.1</v>
      </c>
      <c r="P500" s="17">
        <v>0.7</v>
      </c>
      <c r="Q500" s="17">
        <v>0.2</v>
      </c>
      <c r="R500" s="17">
        <v>0.35699999999999998</v>
      </c>
      <c r="S500" s="17">
        <v>0.1</v>
      </c>
      <c r="T500" s="17">
        <v>0.3</v>
      </c>
      <c r="U500" s="17">
        <v>0.5</v>
      </c>
      <c r="V500" s="17">
        <v>0</v>
      </c>
      <c r="W500" s="17">
        <v>0.6</v>
      </c>
      <c r="X500" s="17">
        <v>0.6</v>
      </c>
      <c r="Y500" s="17">
        <v>0.1</v>
      </c>
      <c r="Z500" s="17">
        <v>0.1</v>
      </c>
      <c r="AA500" s="17">
        <v>0</v>
      </c>
      <c r="AB500" s="17">
        <v>0</v>
      </c>
      <c r="AC500" s="17">
        <v>0.3</v>
      </c>
      <c r="AD500" s="17">
        <v>0.9</v>
      </c>
      <c r="AE500" s="17"/>
      <c r="AG500" s="8" t="str">
        <v>Stanley Umude</v>
      </c>
      <c r="AH500" s="8" t="str">
        <v>MIL</v>
      </c>
    </row>
    <row r="501" spans="1:34" ht="17" x14ac:dyDescent="0.2">
      <c r="A501" s="1">
        <v>485</v>
      </c>
      <c r="B501" s="18" t="s">
        <v>589</v>
      </c>
      <c r="C501" s="17">
        <v>21</v>
      </c>
      <c r="D501" s="18" t="s">
        <v>93</v>
      </c>
      <c r="E501" s="17" t="s">
        <v>35</v>
      </c>
      <c r="F501" s="17">
        <v>12</v>
      </c>
      <c r="G501" s="17">
        <v>0</v>
      </c>
      <c r="H501" s="17">
        <v>4.4000000000000004</v>
      </c>
      <c r="I501" s="17">
        <v>0.3</v>
      </c>
      <c r="J501" s="17">
        <v>1.2</v>
      </c>
      <c r="K501" s="17">
        <v>0.214</v>
      </c>
      <c r="L501" s="17">
        <v>0.1</v>
      </c>
      <c r="M501" s="17">
        <v>0.6</v>
      </c>
      <c r="N501" s="17">
        <v>0.14299999999999999</v>
      </c>
      <c r="O501" s="17">
        <v>0.2</v>
      </c>
      <c r="P501" s="17">
        <v>0.6</v>
      </c>
      <c r="Q501" s="17">
        <v>0.28599999999999998</v>
      </c>
      <c r="R501" s="17">
        <v>0.25</v>
      </c>
      <c r="S501" s="17">
        <v>0.2</v>
      </c>
      <c r="T501" s="17">
        <v>0.2</v>
      </c>
      <c r="U501" s="17">
        <v>1</v>
      </c>
      <c r="V501" s="17">
        <v>0</v>
      </c>
      <c r="W501" s="17">
        <v>0.2</v>
      </c>
      <c r="X501" s="17">
        <v>0.2</v>
      </c>
      <c r="Y501" s="17">
        <v>0.4</v>
      </c>
      <c r="Z501" s="17">
        <v>0</v>
      </c>
      <c r="AA501" s="17">
        <v>0.1</v>
      </c>
      <c r="AB501" s="17">
        <v>0.1</v>
      </c>
      <c r="AC501" s="17">
        <v>0.3</v>
      </c>
      <c r="AD501" s="17">
        <v>0.8</v>
      </c>
      <c r="AE501" s="17"/>
      <c r="AG501" s="8" t="str">
        <v>Bronny James</v>
      </c>
      <c r="AH501" s="8" t="str">
        <v>LAL</v>
      </c>
    </row>
    <row r="502" spans="1:34" ht="17" x14ac:dyDescent="0.2">
      <c r="A502" s="1">
        <v>486</v>
      </c>
      <c r="B502" s="18" t="s">
        <v>527</v>
      </c>
      <c r="C502" s="17">
        <v>24</v>
      </c>
      <c r="D502" s="18" t="s">
        <v>30</v>
      </c>
      <c r="E502" s="17" t="s">
        <v>35</v>
      </c>
      <c r="F502" s="17">
        <v>4</v>
      </c>
      <c r="G502" s="17">
        <v>0</v>
      </c>
      <c r="H502" s="17">
        <v>8.3000000000000007</v>
      </c>
      <c r="I502" s="17">
        <v>0.3</v>
      </c>
      <c r="J502" s="17">
        <v>1.8</v>
      </c>
      <c r="K502" s="17">
        <v>0.14299999999999999</v>
      </c>
      <c r="L502" s="17">
        <v>0</v>
      </c>
      <c r="M502" s="17">
        <v>0.8</v>
      </c>
      <c r="N502" s="17">
        <v>0</v>
      </c>
      <c r="O502" s="17">
        <v>0.3</v>
      </c>
      <c r="P502" s="17">
        <v>1</v>
      </c>
      <c r="Q502" s="17">
        <v>0.25</v>
      </c>
      <c r="R502" s="17">
        <v>0.14299999999999999</v>
      </c>
      <c r="S502" s="17">
        <v>0.3</v>
      </c>
      <c r="T502" s="17">
        <v>0.3</v>
      </c>
      <c r="U502" s="17">
        <v>1</v>
      </c>
      <c r="V502" s="17">
        <v>0</v>
      </c>
      <c r="W502" s="17">
        <v>1</v>
      </c>
      <c r="X502" s="17">
        <v>1</v>
      </c>
      <c r="Y502" s="17">
        <v>0.8</v>
      </c>
      <c r="Z502" s="17">
        <v>0.5</v>
      </c>
      <c r="AA502" s="17">
        <v>0</v>
      </c>
      <c r="AB502" s="17">
        <v>1</v>
      </c>
      <c r="AC502" s="17">
        <v>0.3</v>
      </c>
      <c r="AD502" s="17">
        <v>0.8</v>
      </c>
      <c r="AE502" s="17"/>
      <c r="AG502" s="8" t="str">
        <v>Spencer Jones</v>
      </c>
      <c r="AH502" s="8" t="str">
        <v>DEN</v>
      </c>
    </row>
    <row r="503" spans="1:34" ht="17" x14ac:dyDescent="0.2">
      <c r="A503" s="1">
        <v>487</v>
      </c>
      <c r="B503" s="18" t="s">
        <v>572</v>
      </c>
      <c r="C503" s="17">
        <v>19</v>
      </c>
      <c r="D503" s="18" t="s">
        <v>30</v>
      </c>
      <c r="E503" s="17" t="s">
        <v>27</v>
      </c>
      <c r="F503" s="17">
        <v>5</v>
      </c>
      <c r="G503" s="17">
        <v>0</v>
      </c>
      <c r="H503" s="17">
        <v>3.8</v>
      </c>
      <c r="I503" s="17">
        <v>0.4</v>
      </c>
      <c r="J503" s="17">
        <v>0.6</v>
      </c>
      <c r="K503" s="17">
        <v>0.66700000000000004</v>
      </c>
      <c r="L503" s="17">
        <v>0</v>
      </c>
      <c r="M503" s="17">
        <v>0</v>
      </c>
      <c r="N503" s="17"/>
      <c r="O503" s="17">
        <v>0.4</v>
      </c>
      <c r="P503" s="17">
        <v>0.6</v>
      </c>
      <c r="Q503" s="17">
        <v>0.66700000000000004</v>
      </c>
      <c r="R503" s="17">
        <v>0.66700000000000004</v>
      </c>
      <c r="S503" s="17">
        <v>0</v>
      </c>
      <c r="T503" s="17">
        <v>0</v>
      </c>
      <c r="U503" s="17"/>
      <c r="V503" s="17">
        <v>0.4</v>
      </c>
      <c r="W503" s="17">
        <v>0.4</v>
      </c>
      <c r="X503" s="17">
        <v>0.8</v>
      </c>
      <c r="Y503" s="17">
        <v>0.2</v>
      </c>
      <c r="Z503" s="17">
        <v>0</v>
      </c>
      <c r="AA503" s="17">
        <v>0</v>
      </c>
      <c r="AB503" s="17">
        <v>0.4</v>
      </c>
      <c r="AC503" s="17">
        <v>0.8</v>
      </c>
      <c r="AD503" s="17">
        <v>0.8</v>
      </c>
      <c r="AE503" s="17"/>
      <c r="AG503" s="8" t="str">
        <v>Jalen Bridges</v>
      </c>
      <c r="AH503" s="8" t="str">
        <v>PHO</v>
      </c>
    </row>
    <row r="504" spans="1:34" ht="17" x14ac:dyDescent="0.2">
      <c r="A504" s="1">
        <v>488</v>
      </c>
      <c r="B504" s="18" t="s">
        <v>592</v>
      </c>
      <c r="C504" s="17">
        <v>28</v>
      </c>
      <c r="D504" s="18" t="s">
        <v>40</v>
      </c>
      <c r="E504" s="17" t="s">
        <v>35</v>
      </c>
      <c r="F504" s="17">
        <v>9</v>
      </c>
      <c r="G504" s="17">
        <v>0</v>
      </c>
      <c r="H504" s="17">
        <v>3.9</v>
      </c>
      <c r="I504" s="17">
        <v>0.2</v>
      </c>
      <c r="J504" s="17">
        <v>0.3</v>
      </c>
      <c r="K504" s="17">
        <v>0.66700000000000004</v>
      </c>
      <c r="L504" s="17">
        <v>0.2</v>
      </c>
      <c r="M504" s="17">
        <v>0.3</v>
      </c>
      <c r="N504" s="17">
        <v>0.66700000000000004</v>
      </c>
      <c r="O504" s="17">
        <v>0</v>
      </c>
      <c r="P504" s="17">
        <v>0</v>
      </c>
      <c r="Q504" s="17"/>
      <c r="R504" s="17">
        <v>1</v>
      </c>
      <c r="S504" s="17">
        <v>0.1</v>
      </c>
      <c r="T504" s="17">
        <v>0.7</v>
      </c>
      <c r="U504" s="17">
        <v>0.16700000000000001</v>
      </c>
      <c r="V504" s="17">
        <v>0.1</v>
      </c>
      <c r="W504" s="17">
        <v>0.4</v>
      </c>
      <c r="X504" s="17">
        <v>0.6</v>
      </c>
      <c r="Y504" s="17">
        <v>0.6</v>
      </c>
      <c r="Z504" s="17">
        <v>0.1</v>
      </c>
      <c r="AA504" s="17">
        <v>0</v>
      </c>
      <c r="AB504" s="17">
        <v>0.1</v>
      </c>
      <c r="AC504" s="17">
        <v>0.3</v>
      </c>
      <c r="AD504" s="17">
        <v>0.8</v>
      </c>
      <c r="AE504" s="17"/>
      <c r="AG504" s="8" t="str">
        <v>Malevy Leons</v>
      </c>
      <c r="AH504" s="8" t="str">
        <v>OKC</v>
      </c>
    </row>
    <row r="505" spans="1:34" ht="17" x14ac:dyDescent="0.2">
      <c r="A505" s="1">
        <v>489</v>
      </c>
      <c r="B505" s="18" t="s">
        <v>586</v>
      </c>
      <c r="C505" s="17">
        <v>24</v>
      </c>
      <c r="D505" s="18" t="s">
        <v>68</v>
      </c>
      <c r="E505" s="17" t="s">
        <v>35</v>
      </c>
      <c r="F505" s="17">
        <v>5</v>
      </c>
      <c r="G505" s="17">
        <v>0</v>
      </c>
      <c r="H505" s="17">
        <v>6.8</v>
      </c>
      <c r="I505" s="17">
        <v>0.2</v>
      </c>
      <c r="J505" s="17">
        <v>2</v>
      </c>
      <c r="K505" s="17">
        <v>0.1</v>
      </c>
      <c r="L505" s="17">
        <v>0</v>
      </c>
      <c r="M505" s="17">
        <v>1.2</v>
      </c>
      <c r="N505" s="17">
        <v>0</v>
      </c>
      <c r="O505" s="17">
        <v>0.2</v>
      </c>
      <c r="P505" s="17">
        <v>0.8</v>
      </c>
      <c r="Q505" s="17">
        <v>0.25</v>
      </c>
      <c r="R505" s="17">
        <v>0.1</v>
      </c>
      <c r="S505" s="17">
        <v>0.4</v>
      </c>
      <c r="T505" s="17">
        <v>0.4</v>
      </c>
      <c r="U505" s="17">
        <v>1</v>
      </c>
      <c r="V505" s="17">
        <v>0.4</v>
      </c>
      <c r="W505" s="17">
        <v>1</v>
      </c>
      <c r="X505" s="17">
        <v>1.4</v>
      </c>
      <c r="Y505" s="17">
        <v>0.4</v>
      </c>
      <c r="Z505" s="17">
        <v>0.2</v>
      </c>
      <c r="AA505" s="17">
        <v>0</v>
      </c>
      <c r="AB505" s="17">
        <v>0</v>
      </c>
      <c r="AC505" s="17">
        <v>0.6</v>
      </c>
      <c r="AD505" s="17">
        <v>0.8</v>
      </c>
      <c r="AE505" s="17"/>
      <c r="AG505" s="8" t="str">
        <v>Daishen Nix</v>
      </c>
      <c r="AH505" s="8" t="str">
        <v>MIN</v>
      </c>
    </row>
    <row r="506" spans="1:34" ht="17" x14ac:dyDescent="0.2">
      <c r="A506" s="1">
        <v>490</v>
      </c>
      <c r="B506" s="18" t="s">
        <v>647</v>
      </c>
      <c r="C506" s="17">
        <v>22</v>
      </c>
      <c r="D506" s="18" t="s">
        <v>93</v>
      </c>
      <c r="E506" s="17" t="s">
        <v>29</v>
      </c>
      <c r="F506" s="17">
        <v>6</v>
      </c>
      <c r="G506" s="17">
        <v>0</v>
      </c>
      <c r="H506" s="17">
        <v>2.2999999999999998</v>
      </c>
      <c r="I506" s="17">
        <v>0.3</v>
      </c>
      <c r="J506" s="17">
        <v>0.8</v>
      </c>
      <c r="K506" s="17">
        <v>0.4</v>
      </c>
      <c r="L506" s="17">
        <v>0</v>
      </c>
      <c r="M506" s="17">
        <v>0.3</v>
      </c>
      <c r="N506" s="17">
        <v>0</v>
      </c>
      <c r="O506" s="17">
        <v>0.3</v>
      </c>
      <c r="P506" s="17">
        <v>0.5</v>
      </c>
      <c r="Q506" s="17">
        <v>0.66700000000000004</v>
      </c>
      <c r="R506" s="17">
        <v>0.4</v>
      </c>
      <c r="S506" s="17">
        <v>0</v>
      </c>
      <c r="T506" s="17">
        <v>0</v>
      </c>
      <c r="U506" s="17"/>
      <c r="V506" s="17">
        <v>0</v>
      </c>
      <c r="W506" s="17">
        <v>0.5</v>
      </c>
      <c r="X506" s="17">
        <v>0.5</v>
      </c>
      <c r="Y506" s="17">
        <v>0</v>
      </c>
      <c r="Z506" s="17">
        <v>0</v>
      </c>
      <c r="AA506" s="17">
        <v>0.2</v>
      </c>
      <c r="AB506" s="17">
        <v>0</v>
      </c>
      <c r="AC506" s="17">
        <v>0.2</v>
      </c>
      <c r="AD506" s="17">
        <v>0.7</v>
      </c>
      <c r="AE506" s="17"/>
      <c r="AG506" s="8" t="str">
        <v>Jacob Toppin</v>
      </c>
      <c r="AH506" s="8" t="str">
        <v>NYK</v>
      </c>
    </row>
    <row r="507" spans="1:34" ht="17" x14ac:dyDescent="0.2">
      <c r="A507" s="1">
        <v>491</v>
      </c>
      <c r="B507" s="18" t="s">
        <v>260</v>
      </c>
      <c r="C507" s="17">
        <v>21</v>
      </c>
      <c r="D507" s="18" t="s">
        <v>50</v>
      </c>
      <c r="E507" s="17" t="s">
        <v>54</v>
      </c>
      <c r="F507" s="17">
        <v>3</v>
      </c>
      <c r="G507" s="17">
        <v>0</v>
      </c>
      <c r="H507" s="17">
        <v>2</v>
      </c>
      <c r="I507" s="17">
        <v>0.3</v>
      </c>
      <c r="J507" s="17">
        <v>0.7</v>
      </c>
      <c r="K507" s="17">
        <v>0.5</v>
      </c>
      <c r="L507" s="17">
        <v>0</v>
      </c>
      <c r="M507" s="17">
        <v>0</v>
      </c>
      <c r="N507" s="17"/>
      <c r="O507" s="17">
        <v>0.3</v>
      </c>
      <c r="P507" s="17">
        <v>0.7</v>
      </c>
      <c r="Q507" s="17">
        <v>0.5</v>
      </c>
      <c r="R507" s="17">
        <v>0.5</v>
      </c>
      <c r="S507" s="17">
        <v>0</v>
      </c>
      <c r="T507" s="17">
        <v>0</v>
      </c>
      <c r="U507" s="17"/>
      <c r="V507" s="17">
        <v>0.3</v>
      </c>
      <c r="W507" s="17">
        <v>0.3</v>
      </c>
      <c r="X507" s="17">
        <v>0.7</v>
      </c>
      <c r="Y507" s="17">
        <v>0.3</v>
      </c>
      <c r="Z507" s="17">
        <v>0.3</v>
      </c>
      <c r="AA507" s="17">
        <v>0</v>
      </c>
      <c r="AB507" s="17">
        <v>0.3</v>
      </c>
      <c r="AC507" s="17">
        <v>0</v>
      </c>
      <c r="AD507" s="17">
        <v>0.7</v>
      </c>
      <c r="AE507" s="17"/>
      <c r="AG507" s="8" t="str">
        <v>Jaylen Clark</v>
      </c>
      <c r="AH507" s="8" t="str">
        <v>MIN</v>
      </c>
    </row>
    <row r="508" spans="1:34" ht="17" x14ac:dyDescent="0.2">
      <c r="A508" s="1">
        <v>492</v>
      </c>
      <c r="B508" s="18" t="s">
        <v>581</v>
      </c>
      <c r="C508" s="17">
        <v>25</v>
      </c>
      <c r="D508" s="18" t="s">
        <v>50</v>
      </c>
      <c r="E508" s="17" t="s">
        <v>29</v>
      </c>
      <c r="F508" s="17">
        <v>9</v>
      </c>
      <c r="G508" s="17">
        <v>0</v>
      </c>
      <c r="H508" s="17">
        <v>4.7</v>
      </c>
      <c r="I508" s="17">
        <v>0.2</v>
      </c>
      <c r="J508" s="17">
        <v>0.7</v>
      </c>
      <c r="K508" s="17">
        <v>0.33300000000000002</v>
      </c>
      <c r="L508" s="17">
        <v>0</v>
      </c>
      <c r="M508" s="17">
        <v>0.1</v>
      </c>
      <c r="N508" s="17">
        <v>0</v>
      </c>
      <c r="O508" s="17">
        <v>0.2</v>
      </c>
      <c r="P508" s="17">
        <v>0.6</v>
      </c>
      <c r="Q508" s="17">
        <v>0.4</v>
      </c>
      <c r="R508" s="17">
        <v>0.33300000000000002</v>
      </c>
      <c r="S508" s="17">
        <v>0.2</v>
      </c>
      <c r="T508" s="17">
        <v>0.7</v>
      </c>
      <c r="U508" s="17">
        <v>0.33300000000000002</v>
      </c>
      <c r="V508" s="17">
        <v>0.6</v>
      </c>
      <c r="W508" s="17">
        <v>0.6</v>
      </c>
      <c r="X508" s="17">
        <v>1.1000000000000001</v>
      </c>
      <c r="Y508" s="17">
        <v>0.2</v>
      </c>
      <c r="Z508" s="17">
        <v>0.1</v>
      </c>
      <c r="AA508" s="17">
        <v>0.1</v>
      </c>
      <c r="AB508" s="17">
        <v>0.3</v>
      </c>
      <c r="AC508" s="17">
        <v>0.6</v>
      </c>
      <c r="AD508" s="17">
        <v>0.7</v>
      </c>
      <c r="AE508" s="17"/>
      <c r="AG508" s="8" t="str">
        <v>Isaiah Crawford</v>
      </c>
      <c r="AH508" s="8" t="str">
        <v>SAC</v>
      </c>
    </row>
    <row r="509" spans="1:34" ht="17" x14ac:dyDescent="0.2">
      <c r="A509" s="1">
        <v>493</v>
      </c>
      <c r="B509" s="18" t="s">
        <v>649</v>
      </c>
      <c r="C509" s="17">
        <v>21</v>
      </c>
      <c r="D509" s="18" t="s">
        <v>56</v>
      </c>
      <c r="E509" s="17" t="s">
        <v>29</v>
      </c>
      <c r="F509" s="17">
        <v>3</v>
      </c>
      <c r="G509" s="17">
        <v>0</v>
      </c>
      <c r="H509" s="17">
        <v>2.2999999999999998</v>
      </c>
      <c r="I509" s="17">
        <v>0.3</v>
      </c>
      <c r="J509" s="17">
        <v>1.3</v>
      </c>
      <c r="K509" s="17">
        <v>0.25</v>
      </c>
      <c r="L509" s="17">
        <v>0</v>
      </c>
      <c r="M509" s="17">
        <v>1</v>
      </c>
      <c r="N509" s="17">
        <v>0</v>
      </c>
      <c r="O509" s="17">
        <v>0.3</v>
      </c>
      <c r="P509" s="17">
        <v>0.3</v>
      </c>
      <c r="Q509" s="17">
        <v>1</v>
      </c>
      <c r="R509" s="17">
        <v>0.25</v>
      </c>
      <c r="S509" s="17">
        <v>0</v>
      </c>
      <c r="T509" s="17">
        <v>0</v>
      </c>
      <c r="U509" s="17"/>
      <c r="V509" s="17">
        <v>0.3</v>
      </c>
      <c r="W509" s="17">
        <v>0</v>
      </c>
      <c r="X509" s="17">
        <v>0.3</v>
      </c>
      <c r="Y509" s="17">
        <v>0</v>
      </c>
      <c r="Z509" s="17">
        <v>0</v>
      </c>
      <c r="AA509" s="17">
        <v>0.3</v>
      </c>
      <c r="AB509" s="17">
        <v>0</v>
      </c>
      <c r="AC509" s="17">
        <v>0.3</v>
      </c>
      <c r="AD509" s="17">
        <v>0.7</v>
      </c>
      <c r="AE509" s="17"/>
      <c r="AG509" s="8" t="str">
        <v>Alex Ducas</v>
      </c>
      <c r="AH509" s="8" t="str">
        <v>OKC</v>
      </c>
    </row>
    <row r="510" spans="1:34" ht="17" x14ac:dyDescent="0.2">
      <c r="A510" s="1">
        <v>494</v>
      </c>
      <c r="B510" s="18" t="s">
        <v>646</v>
      </c>
      <c r="C510" s="17">
        <v>25</v>
      </c>
      <c r="D510" s="18" t="s">
        <v>81</v>
      </c>
      <c r="E510" s="17" t="s">
        <v>29</v>
      </c>
      <c r="F510" s="17">
        <v>7</v>
      </c>
      <c r="G510" s="17">
        <v>0</v>
      </c>
      <c r="H510" s="17">
        <v>3.6</v>
      </c>
      <c r="I510" s="17">
        <v>0.1</v>
      </c>
      <c r="J510" s="17">
        <v>1.1000000000000001</v>
      </c>
      <c r="K510" s="17">
        <v>0.125</v>
      </c>
      <c r="L510" s="17">
        <v>0</v>
      </c>
      <c r="M510" s="17">
        <v>0.9</v>
      </c>
      <c r="N510" s="17">
        <v>0</v>
      </c>
      <c r="O510" s="17">
        <v>0.1</v>
      </c>
      <c r="P510" s="17">
        <v>0.3</v>
      </c>
      <c r="Q510" s="17">
        <v>0.5</v>
      </c>
      <c r="R510" s="17">
        <v>0.125</v>
      </c>
      <c r="S510" s="17">
        <v>0.3</v>
      </c>
      <c r="T510" s="17">
        <v>0.3</v>
      </c>
      <c r="U510" s="17">
        <v>1</v>
      </c>
      <c r="V510" s="17">
        <v>0.4</v>
      </c>
      <c r="W510" s="17">
        <v>0.9</v>
      </c>
      <c r="X510" s="17">
        <v>1.3</v>
      </c>
      <c r="Y510" s="17">
        <v>0.4</v>
      </c>
      <c r="Z510" s="17">
        <v>0.1</v>
      </c>
      <c r="AA510" s="17">
        <v>0.1</v>
      </c>
      <c r="AB510" s="17">
        <v>0.1</v>
      </c>
      <c r="AC510" s="17">
        <v>0.1</v>
      </c>
      <c r="AD510" s="17">
        <v>0.6</v>
      </c>
      <c r="AE510" s="17"/>
      <c r="AG510" s="8" t="str">
        <v>Kessler Edwards</v>
      </c>
      <c r="AH510" s="8" t="str">
        <v>DAL</v>
      </c>
    </row>
    <row r="511" spans="1:34" ht="17" x14ac:dyDescent="0.2">
      <c r="A511" s="1">
        <v>495</v>
      </c>
      <c r="B511" s="18" t="s">
        <v>650</v>
      </c>
      <c r="C511" s="17">
        <v>21</v>
      </c>
      <c r="D511" s="18" t="s">
        <v>95</v>
      </c>
      <c r="E511" s="17" t="s">
        <v>35</v>
      </c>
      <c r="F511" s="17">
        <v>5</v>
      </c>
      <c r="G511" s="17">
        <v>0</v>
      </c>
      <c r="H511" s="17">
        <v>2</v>
      </c>
      <c r="I511" s="17">
        <v>0.2</v>
      </c>
      <c r="J511" s="17">
        <v>1.4</v>
      </c>
      <c r="K511" s="17">
        <v>0.14299999999999999</v>
      </c>
      <c r="L511" s="17">
        <v>0</v>
      </c>
      <c r="M511" s="17">
        <v>0.6</v>
      </c>
      <c r="N511" s="17">
        <v>0</v>
      </c>
      <c r="O511" s="17">
        <v>0.2</v>
      </c>
      <c r="P511" s="17">
        <v>0.8</v>
      </c>
      <c r="Q511" s="17">
        <v>0.25</v>
      </c>
      <c r="R511" s="17">
        <v>0.14299999999999999</v>
      </c>
      <c r="S511" s="17">
        <v>0.2</v>
      </c>
      <c r="T511" s="17">
        <v>0.4</v>
      </c>
      <c r="U511" s="17">
        <v>0.5</v>
      </c>
      <c r="V511" s="17">
        <v>0</v>
      </c>
      <c r="W511" s="17">
        <v>0.4</v>
      </c>
      <c r="X511" s="17">
        <v>0.4</v>
      </c>
      <c r="Y511" s="17">
        <v>0</v>
      </c>
      <c r="Z511" s="17">
        <v>0</v>
      </c>
      <c r="AA511" s="17">
        <v>0</v>
      </c>
      <c r="AB511" s="17">
        <v>0</v>
      </c>
      <c r="AC511" s="17">
        <v>0</v>
      </c>
      <c r="AD511" s="17">
        <v>0.6</v>
      </c>
      <c r="AE511" s="17"/>
      <c r="AG511" s="8" t="str">
        <v>Joe Ingles</v>
      </c>
      <c r="AH511" s="8" t="str">
        <v>MIN</v>
      </c>
    </row>
    <row r="512" spans="1:34" ht="17" x14ac:dyDescent="0.2">
      <c r="A512" s="1">
        <v>496</v>
      </c>
      <c r="B512" s="18" t="s">
        <v>651</v>
      </c>
      <c r="C512" s="17">
        <v>23</v>
      </c>
      <c r="D512" s="18" t="s">
        <v>99</v>
      </c>
      <c r="E512" s="17" t="s">
        <v>35</v>
      </c>
      <c r="F512" s="17">
        <v>5</v>
      </c>
      <c r="G512" s="17">
        <v>0</v>
      </c>
      <c r="H512" s="17">
        <v>1.6</v>
      </c>
      <c r="I512" s="17">
        <v>0.2</v>
      </c>
      <c r="J512" s="17">
        <v>1.2</v>
      </c>
      <c r="K512" s="17">
        <v>0.16700000000000001</v>
      </c>
      <c r="L512" s="17">
        <v>0</v>
      </c>
      <c r="M512" s="17">
        <v>0.6</v>
      </c>
      <c r="N512" s="17">
        <v>0</v>
      </c>
      <c r="O512" s="17">
        <v>0.2</v>
      </c>
      <c r="P512" s="17">
        <v>0.6</v>
      </c>
      <c r="Q512" s="17">
        <v>0.33300000000000002</v>
      </c>
      <c r="R512" s="17">
        <v>0.16700000000000001</v>
      </c>
      <c r="S512" s="17">
        <v>0.2</v>
      </c>
      <c r="T512" s="17">
        <v>0.2</v>
      </c>
      <c r="U512" s="17">
        <v>1</v>
      </c>
      <c r="V512" s="17">
        <v>0</v>
      </c>
      <c r="W512" s="17">
        <v>0</v>
      </c>
      <c r="X512" s="17">
        <v>0</v>
      </c>
      <c r="Y512" s="17">
        <v>0.2</v>
      </c>
      <c r="Z512" s="17">
        <v>0</v>
      </c>
      <c r="AA512" s="17">
        <v>0</v>
      </c>
      <c r="AB512" s="17">
        <v>0.2</v>
      </c>
      <c r="AC512" s="17">
        <v>0.4</v>
      </c>
      <c r="AD512" s="17">
        <v>0.6</v>
      </c>
      <c r="AE512" s="17"/>
      <c r="AG512" s="8" t="str">
        <v>Harrison Ingram</v>
      </c>
      <c r="AH512" s="8" t="str">
        <v>SAS</v>
      </c>
    </row>
    <row r="513" spans="1:34" ht="17" x14ac:dyDescent="0.2">
      <c r="A513" s="1">
        <v>497</v>
      </c>
      <c r="B513" s="18" t="s">
        <v>385</v>
      </c>
      <c r="C513" s="17">
        <v>38</v>
      </c>
      <c r="D513" s="18" t="s">
        <v>30</v>
      </c>
      <c r="E513" s="17" t="s">
        <v>35</v>
      </c>
      <c r="F513" s="17">
        <v>12</v>
      </c>
      <c r="G513" s="17">
        <v>0</v>
      </c>
      <c r="H513" s="17">
        <v>4.3</v>
      </c>
      <c r="I513" s="17">
        <v>0.2</v>
      </c>
      <c r="J513" s="17">
        <v>0.8</v>
      </c>
      <c r="K513" s="17">
        <v>0.2</v>
      </c>
      <c r="L513" s="17">
        <v>0.1</v>
      </c>
      <c r="M513" s="17">
        <v>0.4</v>
      </c>
      <c r="N513" s="17">
        <v>0.2</v>
      </c>
      <c r="O513" s="17">
        <v>0.1</v>
      </c>
      <c r="P513" s="17">
        <v>0.4</v>
      </c>
      <c r="Q513" s="17">
        <v>0.2</v>
      </c>
      <c r="R513" s="17">
        <v>0.25</v>
      </c>
      <c r="S513" s="17">
        <v>0.2</v>
      </c>
      <c r="T513" s="17">
        <v>0.2</v>
      </c>
      <c r="U513" s="17">
        <v>1</v>
      </c>
      <c r="V513" s="17">
        <v>0.1</v>
      </c>
      <c r="W513" s="17">
        <v>0.7</v>
      </c>
      <c r="X513" s="17">
        <v>0.8</v>
      </c>
      <c r="Y513" s="17">
        <v>0.8</v>
      </c>
      <c r="Z513" s="17">
        <v>0.4</v>
      </c>
      <c r="AA513" s="17">
        <v>0.1</v>
      </c>
      <c r="AB513" s="17">
        <v>0.3</v>
      </c>
      <c r="AC513" s="17">
        <v>0.5</v>
      </c>
      <c r="AD513" s="17">
        <v>0.6</v>
      </c>
      <c r="AE513" s="17"/>
      <c r="AG513" s="8" t="str">
        <v>Daniss Jenkins</v>
      </c>
      <c r="AH513" s="8" t="str">
        <v>DET</v>
      </c>
    </row>
    <row r="514" spans="1:34" ht="17" x14ac:dyDescent="0.2">
      <c r="A514" s="1">
        <v>498</v>
      </c>
      <c r="B514" s="18" t="s">
        <v>399</v>
      </c>
      <c r="C514" s="17">
        <v>25</v>
      </c>
      <c r="D514" s="18" t="s">
        <v>50</v>
      </c>
      <c r="E514" s="17" t="s">
        <v>35</v>
      </c>
      <c r="F514" s="17">
        <v>10</v>
      </c>
      <c r="G514" s="17">
        <v>0</v>
      </c>
      <c r="H514" s="17">
        <v>3.4</v>
      </c>
      <c r="I514" s="17">
        <v>0.2</v>
      </c>
      <c r="J514" s="17">
        <v>0.6</v>
      </c>
      <c r="K514" s="17">
        <v>0.33300000000000002</v>
      </c>
      <c r="L514" s="17">
        <v>0.2</v>
      </c>
      <c r="M514" s="17">
        <v>0.5</v>
      </c>
      <c r="N514" s="17">
        <v>0.4</v>
      </c>
      <c r="O514" s="17">
        <v>0</v>
      </c>
      <c r="P514" s="17">
        <v>0.1</v>
      </c>
      <c r="Q514" s="17">
        <v>0</v>
      </c>
      <c r="R514" s="17">
        <v>0.5</v>
      </c>
      <c r="S514" s="17">
        <v>0</v>
      </c>
      <c r="T514" s="17">
        <v>0.2</v>
      </c>
      <c r="U514" s="17">
        <v>0</v>
      </c>
      <c r="V514" s="17">
        <v>0.1</v>
      </c>
      <c r="W514" s="17">
        <v>0.8</v>
      </c>
      <c r="X514" s="17">
        <v>0.9</v>
      </c>
      <c r="Y514" s="17">
        <v>0.2</v>
      </c>
      <c r="Z514" s="17">
        <v>0.2</v>
      </c>
      <c r="AA514" s="17">
        <v>0.1</v>
      </c>
      <c r="AB514" s="17">
        <v>0</v>
      </c>
      <c r="AC514" s="17">
        <v>0.3</v>
      </c>
      <c r="AD514" s="17">
        <v>0.6</v>
      </c>
      <c r="AE514" s="17"/>
      <c r="AG514" s="8" t="str">
        <v>Mason Jones</v>
      </c>
      <c r="AH514" s="8" t="str">
        <v>SAC</v>
      </c>
    </row>
    <row r="515" spans="1:34" ht="17" x14ac:dyDescent="0.2">
      <c r="A515" s="1">
        <v>499</v>
      </c>
      <c r="B515" s="18" t="s">
        <v>598</v>
      </c>
      <c r="C515" s="17">
        <v>20</v>
      </c>
      <c r="D515" s="18" t="s">
        <v>116</v>
      </c>
      <c r="E515" s="17" t="s">
        <v>35</v>
      </c>
      <c r="F515" s="17">
        <v>9</v>
      </c>
      <c r="G515" s="17">
        <v>0</v>
      </c>
      <c r="H515" s="17">
        <v>2.4</v>
      </c>
      <c r="I515" s="17">
        <v>0.1</v>
      </c>
      <c r="J515" s="17">
        <v>1</v>
      </c>
      <c r="K515" s="17">
        <v>0.111</v>
      </c>
      <c r="L515" s="17">
        <v>0</v>
      </c>
      <c r="M515" s="17">
        <v>0.4</v>
      </c>
      <c r="N515" s="17">
        <v>0</v>
      </c>
      <c r="O515" s="17">
        <v>0.1</v>
      </c>
      <c r="P515" s="17">
        <v>0.6</v>
      </c>
      <c r="Q515" s="17">
        <v>0.2</v>
      </c>
      <c r="R515" s="17">
        <v>0.111</v>
      </c>
      <c r="S515" s="17">
        <v>0.2</v>
      </c>
      <c r="T515" s="17">
        <v>0.2</v>
      </c>
      <c r="U515" s="17">
        <v>1</v>
      </c>
      <c r="V515" s="17">
        <v>0.1</v>
      </c>
      <c r="W515" s="17">
        <v>0</v>
      </c>
      <c r="X515" s="17">
        <v>0.1</v>
      </c>
      <c r="Y515" s="17">
        <v>0.3</v>
      </c>
      <c r="Z515" s="17">
        <v>0.1</v>
      </c>
      <c r="AA515" s="17">
        <v>0.1</v>
      </c>
      <c r="AB515" s="17">
        <v>0</v>
      </c>
      <c r="AC515" s="17">
        <v>0.2</v>
      </c>
      <c r="AD515" s="17">
        <v>0.4</v>
      </c>
      <c r="AE515" s="17"/>
      <c r="AG515" s="8" t="str">
        <v>Bobi Klintman</v>
      </c>
      <c r="AH515" s="8" t="str">
        <v>DET</v>
      </c>
    </row>
    <row r="516" spans="1:34" ht="17" x14ac:dyDescent="0.2">
      <c r="A516" s="1">
        <v>500</v>
      </c>
      <c r="B516" s="18" t="s">
        <v>605</v>
      </c>
      <c r="C516" s="17">
        <v>23</v>
      </c>
      <c r="D516" s="18" t="s">
        <v>93</v>
      </c>
      <c r="E516" s="17" t="s">
        <v>54</v>
      </c>
      <c r="F516" s="17">
        <v>5</v>
      </c>
      <c r="G516" s="17">
        <v>0</v>
      </c>
      <c r="H516" s="17">
        <v>2.6</v>
      </c>
      <c r="I516" s="17">
        <v>0.2</v>
      </c>
      <c r="J516" s="17">
        <v>0.8</v>
      </c>
      <c r="K516" s="17">
        <v>0.25</v>
      </c>
      <c r="L516" s="17">
        <v>0</v>
      </c>
      <c r="M516" s="17">
        <v>0.6</v>
      </c>
      <c r="N516" s="17">
        <v>0</v>
      </c>
      <c r="O516" s="17">
        <v>0.2</v>
      </c>
      <c r="P516" s="17">
        <v>0.2</v>
      </c>
      <c r="Q516" s="17">
        <v>1</v>
      </c>
      <c r="R516" s="17">
        <v>0.25</v>
      </c>
      <c r="S516" s="17">
        <v>0</v>
      </c>
      <c r="T516" s="17">
        <v>0</v>
      </c>
      <c r="U516" s="17"/>
      <c r="V516" s="17">
        <v>0</v>
      </c>
      <c r="W516" s="17">
        <v>0.6</v>
      </c>
      <c r="X516" s="17">
        <v>0.6</v>
      </c>
      <c r="Y516" s="17">
        <v>0</v>
      </c>
      <c r="Z516" s="17">
        <v>0.4</v>
      </c>
      <c r="AA516" s="17">
        <v>0</v>
      </c>
      <c r="AB516" s="17">
        <v>0.2</v>
      </c>
      <c r="AC516" s="17">
        <v>0.2</v>
      </c>
      <c r="AD516" s="17">
        <v>0.4</v>
      </c>
      <c r="AE516" s="17"/>
      <c r="AG516" s="8" t="str">
        <v>Mac McClung</v>
      </c>
      <c r="AH516" s="8" t="str">
        <v>ORL</v>
      </c>
    </row>
    <row r="517" spans="1:34" ht="17" x14ac:dyDescent="0.2">
      <c r="A517" s="1">
        <v>501</v>
      </c>
      <c r="B517" s="18" t="s">
        <v>599</v>
      </c>
      <c r="C517" s="17">
        <v>23</v>
      </c>
      <c r="D517" s="18" t="s">
        <v>42</v>
      </c>
      <c r="E517" s="17" t="s">
        <v>54</v>
      </c>
      <c r="F517" s="17">
        <v>4</v>
      </c>
      <c r="G517" s="17">
        <v>0</v>
      </c>
      <c r="H517" s="17">
        <v>4.3</v>
      </c>
      <c r="I517" s="17">
        <v>0</v>
      </c>
      <c r="J517" s="17">
        <v>0.8</v>
      </c>
      <c r="K517" s="17">
        <v>0</v>
      </c>
      <c r="L517" s="17">
        <v>0</v>
      </c>
      <c r="M517" s="17">
        <v>0.8</v>
      </c>
      <c r="N517" s="17">
        <v>0</v>
      </c>
      <c r="O517" s="17">
        <v>0</v>
      </c>
      <c r="P517" s="17">
        <v>0</v>
      </c>
      <c r="Q517" s="17"/>
      <c r="R517" s="17">
        <v>0</v>
      </c>
      <c r="S517" s="17">
        <v>0.3</v>
      </c>
      <c r="T517" s="17">
        <v>0.5</v>
      </c>
      <c r="U517" s="17">
        <v>0.5</v>
      </c>
      <c r="V517" s="17">
        <v>0</v>
      </c>
      <c r="W517" s="17">
        <v>0.8</v>
      </c>
      <c r="X517" s="17">
        <v>0.8</v>
      </c>
      <c r="Y517" s="17">
        <v>0</v>
      </c>
      <c r="Z517" s="17">
        <v>0</v>
      </c>
      <c r="AA517" s="17">
        <v>0</v>
      </c>
      <c r="AB517" s="17">
        <v>0.5</v>
      </c>
      <c r="AC517" s="17">
        <v>0</v>
      </c>
      <c r="AD517" s="17">
        <v>0.3</v>
      </c>
      <c r="AE517" s="17"/>
      <c r="AG517" s="8" t="str">
        <v>Justin Minaya</v>
      </c>
      <c r="AH517" s="8" t="str">
        <v>POR</v>
      </c>
    </row>
    <row r="518" spans="1:34" ht="17" x14ac:dyDescent="0.2">
      <c r="A518" s="1">
        <v>502</v>
      </c>
      <c r="B518" s="18" t="s">
        <v>601</v>
      </c>
      <c r="C518" s="17">
        <v>25</v>
      </c>
      <c r="D518" s="18" t="s">
        <v>81</v>
      </c>
      <c r="E518" s="17" t="s">
        <v>54</v>
      </c>
      <c r="F518" s="17">
        <v>6</v>
      </c>
      <c r="G518" s="17">
        <v>0</v>
      </c>
      <c r="H518" s="17">
        <v>3.5</v>
      </c>
      <c r="I518" s="17">
        <v>0</v>
      </c>
      <c r="J518" s="17">
        <v>0.3</v>
      </c>
      <c r="K518" s="17">
        <v>0</v>
      </c>
      <c r="L518" s="17">
        <v>0</v>
      </c>
      <c r="M518" s="17">
        <v>0.2</v>
      </c>
      <c r="N518" s="17">
        <v>0</v>
      </c>
      <c r="O518" s="17">
        <v>0</v>
      </c>
      <c r="P518" s="17">
        <v>0.2</v>
      </c>
      <c r="Q518" s="17">
        <v>0</v>
      </c>
      <c r="R518" s="17">
        <v>0</v>
      </c>
      <c r="S518" s="17">
        <v>0.3</v>
      </c>
      <c r="T518" s="17">
        <v>0.7</v>
      </c>
      <c r="U518" s="17">
        <v>0.5</v>
      </c>
      <c r="V518" s="17">
        <v>0.2</v>
      </c>
      <c r="W518" s="17">
        <v>0.3</v>
      </c>
      <c r="X518" s="17">
        <v>0.5</v>
      </c>
      <c r="Y518" s="17">
        <v>0.2</v>
      </c>
      <c r="Z518" s="17">
        <v>0</v>
      </c>
      <c r="AA518" s="17">
        <v>0</v>
      </c>
      <c r="AB518" s="17">
        <v>0.2</v>
      </c>
      <c r="AC518" s="17">
        <v>0.7</v>
      </c>
      <c r="AD518" s="17">
        <v>0.3</v>
      </c>
      <c r="AE518" s="17"/>
      <c r="AG518" s="8" t="str">
        <v>Riley Minix</v>
      </c>
      <c r="AH518" s="8" t="str">
        <v>SAS</v>
      </c>
    </row>
    <row r="519" spans="1:34" ht="17" x14ac:dyDescent="0.2">
      <c r="A519" s="1">
        <v>503</v>
      </c>
      <c r="B519" s="18" t="s">
        <v>652</v>
      </c>
      <c r="C519" s="17">
        <v>22</v>
      </c>
      <c r="D519" s="18" t="s">
        <v>40</v>
      </c>
      <c r="E519" s="17" t="s">
        <v>46</v>
      </c>
      <c r="F519" s="17">
        <v>3</v>
      </c>
      <c r="G519" s="17">
        <v>0</v>
      </c>
      <c r="H519" s="17">
        <v>4.3</v>
      </c>
      <c r="I519" s="17">
        <v>0</v>
      </c>
      <c r="J519" s="17">
        <v>0.3</v>
      </c>
      <c r="K519" s="17">
        <v>0</v>
      </c>
      <c r="L519" s="17">
        <v>0</v>
      </c>
      <c r="M519" s="17">
        <v>0.3</v>
      </c>
      <c r="N519" s="17">
        <v>0</v>
      </c>
      <c r="O519" s="17">
        <v>0</v>
      </c>
      <c r="P519" s="17">
        <v>0</v>
      </c>
      <c r="Q519" s="17"/>
      <c r="R519" s="17">
        <v>0</v>
      </c>
      <c r="S519" s="17">
        <v>0.3</v>
      </c>
      <c r="T519" s="17">
        <v>0.7</v>
      </c>
      <c r="U519" s="17">
        <v>0.5</v>
      </c>
      <c r="V519" s="17">
        <v>0</v>
      </c>
      <c r="W519" s="17">
        <v>1.3</v>
      </c>
      <c r="X519" s="17">
        <v>1.3</v>
      </c>
      <c r="Y519" s="17">
        <v>1</v>
      </c>
      <c r="Z519" s="17">
        <v>0</v>
      </c>
      <c r="AA519" s="17">
        <v>0</v>
      </c>
      <c r="AB519" s="17">
        <v>1.3</v>
      </c>
      <c r="AC519" s="17">
        <v>0.3</v>
      </c>
      <c r="AD519" s="17">
        <v>0.3</v>
      </c>
      <c r="AE519" s="17"/>
      <c r="AG519" s="8" t="str">
        <v>Cole Swider</v>
      </c>
      <c r="AH519" s="8" t="str">
        <v>DET</v>
      </c>
    </row>
    <row r="520" spans="1:34" ht="17" x14ac:dyDescent="0.2">
      <c r="A520" s="1">
        <v>504</v>
      </c>
      <c r="B520" s="18" t="s">
        <v>393</v>
      </c>
      <c r="C520" s="17">
        <v>24</v>
      </c>
      <c r="D520" s="18" t="s">
        <v>31</v>
      </c>
      <c r="E520" s="17" t="s">
        <v>54</v>
      </c>
      <c r="F520" s="17">
        <v>11</v>
      </c>
      <c r="G520" s="17">
        <v>0</v>
      </c>
      <c r="H520" s="17">
        <v>2.5</v>
      </c>
      <c r="I520" s="17">
        <v>0.1</v>
      </c>
      <c r="J520" s="17">
        <v>0.5</v>
      </c>
      <c r="K520" s="17">
        <v>0.2</v>
      </c>
      <c r="L520" s="17">
        <v>0</v>
      </c>
      <c r="M520" s="17">
        <v>0.2</v>
      </c>
      <c r="N520" s="17">
        <v>0</v>
      </c>
      <c r="O520" s="17">
        <v>0.1</v>
      </c>
      <c r="P520" s="17">
        <v>0.3</v>
      </c>
      <c r="Q520" s="17">
        <v>0.33300000000000002</v>
      </c>
      <c r="R520" s="17">
        <v>0.2</v>
      </c>
      <c r="S520" s="17">
        <v>0</v>
      </c>
      <c r="T520" s="17">
        <v>0</v>
      </c>
      <c r="U520" s="17"/>
      <c r="V520" s="17">
        <v>0.1</v>
      </c>
      <c r="W520" s="17">
        <v>0.4</v>
      </c>
      <c r="X520" s="17">
        <v>0.5</v>
      </c>
      <c r="Y520" s="17">
        <v>0.4</v>
      </c>
      <c r="Z520" s="17">
        <v>0</v>
      </c>
      <c r="AA520" s="17">
        <v>0</v>
      </c>
      <c r="AB520" s="17">
        <v>0.1</v>
      </c>
      <c r="AC520" s="17">
        <v>0.1</v>
      </c>
      <c r="AD520" s="17">
        <v>0.2</v>
      </c>
      <c r="AE520" s="17"/>
    </row>
    <row r="521" spans="1:34" ht="17" x14ac:dyDescent="0.2">
      <c r="A521" s="1">
        <v>505</v>
      </c>
      <c r="B521" s="18" t="s">
        <v>669</v>
      </c>
      <c r="C521" s="17">
        <v>23</v>
      </c>
      <c r="D521" s="18" t="s">
        <v>40</v>
      </c>
      <c r="E521" s="17" t="s">
        <v>35</v>
      </c>
      <c r="F521" s="17">
        <v>1</v>
      </c>
      <c r="G521" s="17">
        <v>0</v>
      </c>
      <c r="H521" s="17">
        <v>3</v>
      </c>
      <c r="I521" s="17">
        <v>0</v>
      </c>
      <c r="J521" s="17">
        <v>1</v>
      </c>
      <c r="K521" s="17">
        <v>0</v>
      </c>
      <c r="L521" s="17">
        <v>0</v>
      </c>
      <c r="M521" s="17">
        <v>1</v>
      </c>
      <c r="N521" s="17">
        <v>0</v>
      </c>
      <c r="O521" s="17">
        <v>0</v>
      </c>
      <c r="P521" s="17">
        <v>0</v>
      </c>
      <c r="Q521" s="17"/>
      <c r="R521" s="17">
        <v>0</v>
      </c>
      <c r="S521" s="17">
        <v>0</v>
      </c>
      <c r="T521" s="17">
        <v>0</v>
      </c>
      <c r="U521" s="17"/>
      <c r="V521" s="17">
        <v>0</v>
      </c>
      <c r="W521" s="17">
        <v>0</v>
      </c>
      <c r="X521" s="17">
        <v>0</v>
      </c>
      <c r="Y521" s="17">
        <v>0</v>
      </c>
      <c r="Z521" s="17">
        <v>0</v>
      </c>
      <c r="AA521" s="17">
        <v>0</v>
      </c>
      <c r="AB521" s="17">
        <v>0</v>
      </c>
      <c r="AC521" s="17">
        <v>1</v>
      </c>
      <c r="AD521" s="17">
        <v>0</v>
      </c>
      <c r="AE521" s="17"/>
    </row>
    <row r="522" spans="1:34" ht="17" x14ac:dyDescent="0.2">
      <c r="A522" s="1">
        <v>506</v>
      </c>
      <c r="B522" s="18" t="s">
        <v>654</v>
      </c>
      <c r="C522" s="17">
        <v>23</v>
      </c>
      <c r="D522" s="18" t="s">
        <v>72</v>
      </c>
      <c r="E522" s="17" t="s">
        <v>54</v>
      </c>
      <c r="F522" s="17">
        <v>2</v>
      </c>
      <c r="G522" s="17">
        <v>0</v>
      </c>
      <c r="H522" s="17">
        <v>3.5</v>
      </c>
      <c r="I522" s="17">
        <v>0</v>
      </c>
      <c r="J522" s="17">
        <v>0</v>
      </c>
      <c r="K522" s="17"/>
      <c r="L522" s="17">
        <v>0</v>
      </c>
      <c r="M522" s="17">
        <v>0</v>
      </c>
      <c r="N522" s="17"/>
      <c r="O522" s="17">
        <v>0</v>
      </c>
      <c r="P522" s="17">
        <v>0</v>
      </c>
      <c r="Q522" s="17"/>
      <c r="R522" s="17"/>
      <c r="S522" s="17">
        <v>0</v>
      </c>
      <c r="T522" s="17">
        <v>0</v>
      </c>
      <c r="U522" s="17"/>
      <c r="V522" s="17">
        <v>0</v>
      </c>
      <c r="W522" s="17">
        <v>0.5</v>
      </c>
      <c r="X522" s="17">
        <v>0.5</v>
      </c>
      <c r="Y522" s="17">
        <v>0</v>
      </c>
      <c r="Z522" s="17">
        <v>0</v>
      </c>
      <c r="AA522" s="17">
        <v>0</v>
      </c>
      <c r="AB522" s="17">
        <v>0</v>
      </c>
      <c r="AC522" s="17">
        <v>0.5</v>
      </c>
      <c r="AD522" s="17">
        <v>0</v>
      </c>
      <c r="AE522" s="17"/>
    </row>
    <row r="523" spans="1:34" ht="17" x14ac:dyDescent="0.2">
      <c r="A523" s="1">
        <v>507</v>
      </c>
      <c r="B523" s="18" t="s">
        <v>602</v>
      </c>
      <c r="C523" s="17">
        <v>24</v>
      </c>
      <c r="D523" s="18" t="s">
        <v>81</v>
      </c>
      <c r="E523" s="17" t="s">
        <v>35</v>
      </c>
      <c r="F523" s="17">
        <v>4</v>
      </c>
      <c r="G523" s="17">
        <v>0</v>
      </c>
      <c r="H523" s="17">
        <v>1.8</v>
      </c>
      <c r="I523" s="17">
        <v>0</v>
      </c>
      <c r="J523" s="17">
        <v>0.8</v>
      </c>
      <c r="K523" s="17">
        <v>0</v>
      </c>
      <c r="L523" s="17">
        <v>0</v>
      </c>
      <c r="M523" s="17">
        <v>0.5</v>
      </c>
      <c r="N523" s="17">
        <v>0</v>
      </c>
      <c r="O523" s="17">
        <v>0</v>
      </c>
      <c r="P523" s="17">
        <v>0.3</v>
      </c>
      <c r="Q523" s="17">
        <v>0</v>
      </c>
      <c r="R523" s="17">
        <v>0</v>
      </c>
      <c r="S523" s="17">
        <v>0</v>
      </c>
      <c r="T523" s="17">
        <v>0</v>
      </c>
      <c r="U523" s="17"/>
      <c r="V523" s="17">
        <v>0</v>
      </c>
      <c r="W523" s="17">
        <v>0</v>
      </c>
      <c r="X523" s="17">
        <v>0</v>
      </c>
      <c r="Y523" s="17">
        <v>0</v>
      </c>
      <c r="Z523" s="17">
        <v>0</v>
      </c>
      <c r="AA523" s="17">
        <v>0</v>
      </c>
      <c r="AB523" s="17">
        <v>0</v>
      </c>
      <c r="AC523" s="17">
        <v>0</v>
      </c>
      <c r="AD523" s="17">
        <v>0</v>
      </c>
      <c r="AE523" s="17"/>
    </row>
    <row r="524" spans="1:34" ht="17" x14ac:dyDescent="0.2">
      <c r="A524" s="1">
        <v>508</v>
      </c>
      <c r="B524" s="18" t="s">
        <v>155</v>
      </c>
      <c r="C524" s="17">
        <v>24</v>
      </c>
      <c r="D524" s="18" t="s">
        <v>100</v>
      </c>
      <c r="E524" s="17" t="s">
        <v>54</v>
      </c>
      <c r="F524" s="17">
        <v>12</v>
      </c>
      <c r="G524" s="17">
        <v>0</v>
      </c>
      <c r="H524" s="17">
        <v>2.2000000000000002</v>
      </c>
      <c r="I524" s="17">
        <v>0</v>
      </c>
      <c r="J524" s="17">
        <v>0.5</v>
      </c>
      <c r="K524" s="17">
        <v>0</v>
      </c>
      <c r="L524" s="17">
        <v>0</v>
      </c>
      <c r="M524" s="17">
        <v>0.3</v>
      </c>
      <c r="N524" s="17">
        <v>0</v>
      </c>
      <c r="O524" s="17">
        <v>0</v>
      </c>
      <c r="P524" s="17">
        <v>0.2</v>
      </c>
      <c r="Q524" s="17">
        <v>0</v>
      </c>
      <c r="R524" s="17">
        <v>0</v>
      </c>
      <c r="S524" s="17">
        <v>0</v>
      </c>
      <c r="T524" s="17">
        <v>0</v>
      </c>
      <c r="U524" s="17"/>
      <c r="V524" s="17">
        <v>0</v>
      </c>
      <c r="W524" s="17">
        <v>0.2</v>
      </c>
      <c r="X524" s="17">
        <v>0.2</v>
      </c>
      <c r="Y524" s="17">
        <v>0.1</v>
      </c>
      <c r="Z524" s="17">
        <v>0</v>
      </c>
      <c r="AA524" s="17">
        <v>0.1</v>
      </c>
      <c r="AB524" s="17">
        <v>0.1</v>
      </c>
      <c r="AC524" s="17">
        <v>0.3</v>
      </c>
      <c r="AD524" s="17">
        <v>0</v>
      </c>
      <c r="AE524" s="17"/>
    </row>
    <row r="525" spans="1:34" ht="17" x14ac:dyDescent="0.2">
      <c r="A525" s="1">
        <v>509</v>
      </c>
      <c r="B525" s="18" t="s">
        <v>213</v>
      </c>
      <c r="C525" s="17">
        <v>37</v>
      </c>
      <c r="D525" s="18" t="s">
        <v>40</v>
      </c>
      <c r="E525" s="17" t="s">
        <v>54</v>
      </c>
      <c r="F525" s="17">
        <v>8</v>
      </c>
      <c r="G525" s="17">
        <v>0</v>
      </c>
      <c r="H525" s="17">
        <v>3.3</v>
      </c>
      <c r="I525" s="17">
        <v>0</v>
      </c>
      <c r="J525" s="17">
        <v>0.3</v>
      </c>
      <c r="K525" s="17">
        <v>0</v>
      </c>
      <c r="L525" s="17">
        <v>0</v>
      </c>
      <c r="M525" s="17">
        <v>0.3</v>
      </c>
      <c r="N525" s="17">
        <v>0</v>
      </c>
      <c r="O525" s="17">
        <v>0</v>
      </c>
      <c r="P525" s="17">
        <v>0</v>
      </c>
      <c r="Q525" s="17"/>
      <c r="R525" s="17">
        <v>0</v>
      </c>
      <c r="S525" s="17">
        <v>0</v>
      </c>
      <c r="T525" s="17">
        <v>0</v>
      </c>
      <c r="U525" s="17"/>
      <c r="V525" s="17">
        <v>0.3</v>
      </c>
      <c r="W525" s="17">
        <v>0</v>
      </c>
      <c r="X525" s="17">
        <v>0.3</v>
      </c>
      <c r="Y525" s="17">
        <v>1.1000000000000001</v>
      </c>
      <c r="Z525" s="17">
        <v>0</v>
      </c>
      <c r="AA525" s="17">
        <v>0</v>
      </c>
      <c r="AB525" s="17">
        <v>0.1</v>
      </c>
      <c r="AC525" s="17">
        <v>0.6</v>
      </c>
      <c r="AD525" s="17">
        <v>0</v>
      </c>
      <c r="AE525" s="17"/>
    </row>
    <row r="526" spans="1:34" ht="17" x14ac:dyDescent="0.2">
      <c r="A526" s="1">
        <v>510</v>
      </c>
      <c r="B526" s="18" t="s">
        <v>603</v>
      </c>
      <c r="C526" s="17">
        <v>22</v>
      </c>
      <c r="D526" s="18" t="s">
        <v>70</v>
      </c>
      <c r="E526" s="17" t="s">
        <v>54</v>
      </c>
      <c r="F526" s="17">
        <v>1</v>
      </c>
      <c r="G526" s="17">
        <v>0</v>
      </c>
      <c r="H526" s="17">
        <v>7</v>
      </c>
      <c r="I526" s="17">
        <v>0</v>
      </c>
      <c r="J526" s="17">
        <v>1</v>
      </c>
      <c r="K526" s="17">
        <v>0</v>
      </c>
      <c r="L526" s="17">
        <v>0</v>
      </c>
      <c r="M526" s="17">
        <v>0</v>
      </c>
      <c r="N526" s="17"/>
      <c r="O526" s="17">
        <v>0</v>
      </c>
      <c r="P526" s="17">
        <v>1</v>
      </c>
      <c r="Q526" s="17">
        <v>0</v>
      </c>
      <c r="R526" s="17">
        <v>0</v>
      </c>
      <c r="S526" s="17">
        <v>0</v>
      </c>
      <c r="T526" s="17">
        <v>0</v>
      </c>
      <c r="U526" s="17"/>
      <c r="V526" s="17">
        <v>0</v>
      </c>
      <c r="W526" s="17">
        <v>1</v>
      </c>
      <c r="X526" s="17">
        <v>1</v>
      </c>
      <c r="Y526" s="17">
        <v>0</v>
      </c>
      <c r="Z526" s="17">
        <v>0</v>
      </c>
      <c r="AA526" s="17">
        <v>0</v>
      </c>
      <c r="AB526" s="17">
        <v>0</v>
      </c>
      <c r="AC526" s="17">
        <v>1</v>
      </c>
      <c r="AD526" s="17">
        <v>0</v>
      </c>
      <c r="AE526" s="17"/>
    </row>
    <row r="527" spans="1:34" ht="17" x14ac:dyDescent="0.2">
      <c r="A527" s="1">
        <v>511</v>
      </c>
      <c r="B527" s="18" t="s">
        <v>604</v>
      </c>
      <c r="C527" s="17">
        <v>23</v>
      </c>
      <c r="D527" s="18" t="s">
        <v>60</v>
      </c>
      <c r="E527" s="17" t="s">
        <v>46</v>
      </c>
      <c r="F527" s="17">
        <v>3</v>
      </c>
      <c r="G527" s="17">
        <v>0</v>
      </c>
      <c r="H527" s="17">
        <v>2.7</v>
      </c>
      <c r="I527" s="17">
        <v>0</v>
      </c>
      <c r="J527" s="17">
        <v>1.3</v>
      </c>
      <c r="K527" s="17">
        <v>0</v>
      </c>
      <c r="L527" s="17">
        <v>0</v>
      </c>
      <c r="M527" s="17">
        <v>1.3</v>
      </c>
      <c r="N527" s="17">
        <v>0</v>
      </c>
      <c r="O527" s="17">
        <v>0</v>
      </c>
      <c r="P527" s="17">
        <v>0</v>
      </c>
      <c r="Q527" s="17"/>
      <c r="R527" s="17">
        <v>0</v>
      </c>
      <c r="S527" s="17">
        <v>0</v>
      </c>
      <c r="T527" s="17">
        <v>0</v>
      </c>
      <c r="U527" s="17"/>
      <c r="V527" s="17">
        <v>0</v>
      </c>
      <c r="W527" s="17">
        <v>0</v>
      </c>
      <c r="X527" s="17">
        <v>0</v>
      </c>
      <c r="Y527" s="17">
        <v>0</v>
      </c>
      <c r="Z527" s="17">
        <v>0</v>
      </c>
      <c r="AA527" s="17">
        <v>0</v>
      </c>
      <c r="AB527" s="17">
        <v>0.3</v>
      </c>
      <c r="AC527" s="17">
        <v>0.3</v>
      </c>
      <c r="AD527" s="17">
        <v>0</v>
      </c>
      <c r="AE527" s="17"/>
    </row>
    <row r="528" spans="1:34" ht="17" x14ac:dyDescent="0.2">
      <c r="A528" s="1">
        <v>512</v>
      </c>
      <c r="B528" s="18" t="s">
        <v>529</v>
      </c>
      <c r="C528" s="17">
        <v>26</v>
      </c>
      <c r="D528" s="18" t="s">
        <v>72</v>
      </c>
      <c r="E528" s="17" t="s">
        <v>35</v>
      </c>
      <c r="F528" s="17">
        <v>3</v>
      </c>
      <c r="G528" s="17">
        <v>0</v>
      </c>
      <c r="H528" s="17">
        <v>4.3</v>
      </c>
      <c r="I528" s="17">
        <v>0</v>
      </c>
      <c r="J528" s="17">
        <v>0.7</v>
      </c>
      <c r="K528" s="17">
        <v>0</v>
      </c>
      <c r="L528" s="17">
        <v>0</v>
      </c>
      <c r="M528" s="17">
        <v>0.7</v>
      </c>
      <c r="N528" s="17">
        <v>0</v>
      </c>
      <c r="O528" s="17">
        <v>0</v>
      </c>
      <c r="P528" s="17">
        <v>0</v>
      </c>
      <c r="Q528" s="17"/>
      <c r="R528" s="17">
        <v>0</v>
      </c>
      <c r="S528" s="17">
        <v>0</v>
      </c>
      <c r="T528" s="17">
        <v>0</v>
      </c>
      <c r="U528" s="17"/>
      <c r="V528" s="17">
        <v>0.3</v>
      </c>
      <c r="W528" s="17">
        <v>1</v>
      </c>
      <c r="X528" s="17">
        <v>1.3</v>
      </c>
      <c r="Y528" s="17">
        <v>2.2999999999999998</v>
      </c>
      <c r="Z528" s="17">
        <v>0</v>
      </c>
      <c r="AA528" s="17">
        <v>0</v>
      </c>
      <c r="AB528" s="17">
        <v>0</v>
      </c>
      <c r="AC528" s="17">
        <v>0.3</v>
      </c>
      <c r="AD528" s="17">
        <v>0</v>
      </c>
      <c r="AE528" s="17"/>
    </row>
    <row r="529" spans="1:31" ht="17" x14ac:dyDescent="0.2">
      <c r="A529" s="1">
        <v>513</v>
      </c>
      <c r="B529" s="18" t="s">
        <v>670</v>
      </c>
      <c r="C529" s="17">
        <v>21</v>
      </c>
      <c r="D529" s="18" t="s">
        <v>60</v>
      </c>
      <c r="E529" s="17" t="s">
        <v>54</v>
      </c>
      <c r="F529" s="17">
        <v>1</v>
      </c>
      <c r="G529" s="17">
        <v>0</v>
      </c>
      <c r="H529" s="17">
        <v>4</v>
      </c>
      <c r="I529" s="17">
        <v>0</v>
      </c>
      <c r="J529" s="17">
        <v>0</v>
      </c>
      <c r="K529" s="17"/>
      <c r="L529" s="17">
        <v>0</v>
      </c>
      <c r="M529" s="17">
        <v>0</v>
      </c>
      <c r="N529" s="17"/>
      <c r="O529" s="17">
        <v>0</v>
      </c>
      <c r="P529" s="17">
        <v>0</v>
      </c>
      <c r="Q529" s="17"/>
      <c r="R529" s="17"/>
      <c r="S529" s="17">
        <v>0</v>
      </c>
      <c r="T529" s="17">
        <v>0</v>
      </c>
      <c r="U529" s="17"/>
      <c r="V529" s="17">
        <v>0</v>
      </c>
      <c r="W529" s="17">
        <v>2</v>
      </c>
      <c r="X529" s="17">
        <v>2</v>
      </c>
      <c r="Y529" s="17">
        <v>0</v>
      </c>
      <c r="Z529" s="17">
        <v>0</v>
      </c>
      <c r="AA529" s="17">
        <v>0</v>
      </c>
      <c r="AB529" s="17">
        <v>0</v>
      </c>
      <c r="AC529" s="17">
        <v>2</v>
      </c>
      <c r="AD529" s="17">
        <v>0</v>
      </c>
      <c r="AE529" s="17"/>
    </row>
    <row r="530" spans="1:31" ht="17" x14ac:dyDescent="0.2">
      <c r="A530" s="1">
        <v>514</v>
      </c>
      <c r="B530" s="18" t="s">
        <v>606</v>
      </c>
      <c r="C530" s="17">
        <v>26</v>
      </c>
      <c r="D530" s="18" t="s">
        <v>52</v>
      </c>
      <c r="E530" s="17" t="s">
        <v>35</v>
      </c>
      <c r="F530" s="17">
        <v>1</v>
      </c>
      <c r="G530" s="17">
        <v>0</v>
      </c>
      <c r="H530" s="17">
        <v>5</v>
      </c>
      <c r="I530" s="17">
        <v>0</v>
      </c>
      <c r="J530" s="17">
        <v>0</v>
      </c>
      <c r="K530" s="17"/>
      <c r="L530" s="17">
        <v>0</v>
      </c>
      <c r="M530" s="17">
        <v>0</v>
      </c>
      <c r="N530" s="17"/>
      <c r="O530" s="17">
        <v>0</v>
      </c>
      <c r="P530" s="17">
        <v>0</v>
      </c>
      <c r="Q530" s="17"/>
      <c r="R530" s="17"/>
      <c r="S530" s="17">
        <v>0</v>
      </c>
      <c r="T530" s="17">
        <v>0</v>
      </c>
      <c r="U530" s="17"/>
      <c r="V530" s="17">
        <v>0</v>
      </c>
      <c r="W530" s="17">
        <v>1</v>
      </c>
      <c r="X530" s="17">
        <v>1</v>
      </c>
      <c r="Y530" s="17">
        <v>2</v>
      </c>
      <c r="Z530" s="17">
        <v>0</v>
      </c>
      <c r="AA530" s="17">
        <v>0</v>
      </c>
      <c r="AB530" s="17">
        <v>0</v>
      </c>
      <c r="AC530" s="17">
        <v>0</v>
      </c>
      <c r="AD530" s="17">
        <v>0</v>
      </c>
      <c r="AE530" s="17"/>
    </row>
    <row r="531" spans="1:31" ht="17" x14ac:dyDescent="0.2">
      <c r="A531" s="1">
        <v>515</v>
      </c>
      <c r="B531" s="18" t="s">
        <v>655</v>
      </c>
      <c r="C531" s="17">
        <v>25</v>
      </c>
      <c r="D531" s="18" t="s">
        <v>58</v>
      </c>
      <c r="E531" s="17" t="s">
        <v>54</v>
      </c>
      <c r="F531" s="17">
        <v>1</v>
      </c>
      <c r="G531" s="17">
        <v>0</v>
      </c>
      <c r="H531" s="17">
        <v>6</v>
      </c>
      <c r="I531" s="17">
        <v>0</v>
      </c>
      <c r="J531" s="17">
        <v>0</v>
      </c>
      <c r="K531" s="17"/>
      <c r="L531" s="17">
        <v>0</v>
      </c>
      <c r="M531" s="17">
        <v>0</v>
      </c>
      <c r="N531" s="17"/>
      <c r="O531" s="17">
        <v>0</v>
      </c>
      <c r="P531" s="17">
        <v>0</v>
      </c>
      <c r="Q531" s="17"/>
      <c r="R531" s="17"/>
      <c r="S531" s="17">
        <v>0</v>
      </c>
      <c r="T531" s="17">
        <v>0</v>
      </c>
      <c r="U531" s="17"/>
      <c r="V531" s="17">
        <v>0</v>
      </c>
      <c r="W531" s="17">
        <v>1</v>
      </c>
      <c r="X531" s="17">
        <v>1</v>
      </c>
      <c r="Y531" s="17">
        <v>0</v>
      </c>
      <c r="Z531" s="17">
        <v>0</v>
      </c>
      <c r="AA531" s="17">
        <v>0</v>
      </c>
      <c r="AB531" s="17">
        <v>0</v>
      </c>
      <c r="AC531" s="17">
        <v>1</v>
      </c>
      <c r="AD531" s="17">
        <v>0</v>
      </c>
      <c r="AE531" s="17"/>
    </row>
    <row r="532" spans="1:31" ht="17" x14ac:dyDescent="0.2">
      <c r="A532" s="1">
        <v>516</v>
      </c>
      <c r="B532" s="18" t="s">
        <v>607</v>
      </c>
      <c r="C532" s="17">
        <v>24</v>
      </c>
      <c r="D532" s="18" t="s">
        <v>70</v>
      </c>
      <c r="E532" s="17" t="s">
        <v>54</v>
      </c>
      <c r="F532" s="17">
        <v>1</v>
      </c>
      <c r="G532" s="17">
        <v>0</v>
      </c>
      <c r="H532" s="17">
        <v>7</v>
      </c>
      <c r="I532" s="17">
        <v>0</v>
      </c>
      <c r="J532" s="17">
        <v>1</v>
      </c>
      <c r="K532" s="17">
        <v>0</v>
      </c>
      <c r="L532" s="17">
        <v>0</v>
      </c>
      <c r="M532" s="17">
        <v>1</v>
      </c>
      <c r="N532" s="17">
        <v>0</v>
      </c>
      <c r="O532" s="17">
        <v>0</v>
      </c>
      <c r="P532" s="17">
        <v>0</v>
      </c>
      <c r="Q532" s="17"/>
      <c r="R532" s="17">
        <v>0</v>
      </c>
      <c r="S532" s="17">
        <v>0</v>
      </c>
      <c r="T532" s="17">
        <v>0</v>
      </c>
      <c r="U532" s="17"/>
      <c r="V532" s="17">
        <v>0</v>
      </c>
      <c r="W532" s="17">
        <v>2</v>
      </c>
      <c r="X532" s="17">
        <v>2</v>
      </c>
      <c r="Y532" s="17">
        <v>0</v>
      </c>
      <c r="Z532" s="17">
        <v>0</v>
      </c>
      <c r="AA532" s="17">
        <v>0</v>
      </c>
      <c r="AB532" s="17">
        <v>0</v>
      </c>
      <c r="AC532" s="17">
        <v>0</v>
      </c>
      <c r="AD532" s="17">
        <v>0</v>
      </c>
      <c r="AE532" s="17"/>
    </row>
    <row r="533" spans="1:31" ht="17" x14ac:dyDescent="0.2">
      <c r="A533" s="1">
        <v>517</v>
      </c>
      <c r="B533" s="18" t="s">
        <v>656</v>
      </c>
      <c r="C533" s="17">
        <v>25</v>
      </c>
      <c r="D533" s="18" t="s">
        <v>60</v>
      </c>
      <c r="E533" s="17" t="s">
        <v>54</v>
      </c>
      <c r="F533" s="17">
        <v>2</v>
      </c>
      <c r="G533" s="17">
        <v>0</v>
      </c>
      <c r="H533" s="17">
        <v>6.5</v>
      </c>
      <c r="I533" s="17">
        <v>0</v>
      </c>
      <c r="J533" s="17">
        <v>2.5</v>
      </c>
      <c r="K533" s="17">
        <v>0</v>
      </c>
      <c r="L533" s="17">
        <v>0</v>
      </c>
      <c r="M533" s="17">
        <v>2.5</v>
      </c>
      <c r="N533" s="17">
        <v>0</v>
      </c>
      <c r="O533" s="17">
        <v>0</v>
      </c>
      <c r="P533" s="17">
        <v>0</v>
      </c>
      <c r="Q533" s="17"/>
      <c r="R533" s="17">
        <v>0</v>
      </c>
      <c r="S533" s="17">
        <v>0</v>
      </c>
      <c r="T533" s="17">
        <v>0</v>
      </c>
      <c r="U533" s="17"/>
      <c r="V533" s="17">
        <v>0</v>
      </c>
      <c r="W533" s="17">
        <v>1</v>
      </c>
      <c r="X533" s="17">
        <v>1</v>
      </c>
      <c r="Y533" s="17">
        <v>0.5</v>
      </c>
      <c r="Z533" s="17">
        <v>0</v>
      </c>
      <c r="AA533" s="17">
        <v>0</v>
      </c>
      <c r="AB533" s="17">
        <v>0</v>
      </c>
      <c r="AC533" s="17">
        <v>0.5</v>
      </c>
      <c r="AD533" s="17">
        <v>0</v>
      </c>
      <c r="AE533" s="17"/>
    </row>
    <row r="534" spans="1:31" ht="17" x14ac:dyDescent="0.2">
      <c r="A534" s="1"/>
      <c r="B534" s="17" t="s">
        <v>532</v>
      </c>
      <c r="C534" s="17"/>
      <c r="D534" s="17"/>
      <c r="E534" s="17"/>
      <c r="F534" s="17"/>
      <c r="G534" s="17"/>
      <c r="H534" s="17"/>
      <c r="I534" s="17"/>
      <c r="J534" s="17"/>
      <c r="K534" s="17">
        <v>0.46400000000000002</v>
      </c>
      <c r="L534" s="17"/>
      <c r="M534" s="17"/>
      <c r="N534" s="17">
        <v>0.35899999999999999</v>
      </c>
      <c r="O534" s="17"/>
      <c r="P534" s="17"/>
      <c r="Q534" s="17">
        <v>0.54100000000000004</v>
      </c>
      <c r="R534" s="17">
        <v>0.54</v>
      </c>
      <c r="S534" s="17"/>
      <c r="T534" s="17"/>
      <c r="U534" s="17">
        <v>0.77900000000000003</v>
      </c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</row>
  </sheetData>
  <mergeCells count="1">
    <mergeCell ref="A1:AE1"/>
  </mergeCells>
  <hyperlinks>
    <hyperlink ref="B3" r:id="rId1" display="file:///players/j/jokicni01.html" xr:uid="{F7B7ED5A-CA6C-EA42-AE25-B48ED4520CAD}"/>
    <hyperlink ref="D3" r:id="rId2" display="file:///teams/DEN/2025.html" xr:uid="{4F143452-40F0-6E4C-B881-FF96D3D8F1E1}"/>
    <hyperlink ref="B4" r:id="rId3" display="file:///players/a/antetgi01.html" xr:uid="{C49C6012-1DA2-7948-80C1-68C6A2DBE75F}"/>
    <hyperlink ref="D4" r:id="rId4" display="file:///teams/MIL/2025.html" xr:uid="{D8B468D5-8698-E74D-83F0-DCA9F226E202}"/>
    <hyperlink ref="B5" r:id="rId5" display="file:///players/g/gilgesh01.html" xr:uid="{0C79610C-9D4B-A748-A958-5EB96134EB91}"/>
    <hyperlink ref="D5" r:id="rId6" display="file:///teams/OKC/2025.html" xr:uid="{701CC501-E79A-B145-A4E6-6453B8326174}"/>
    <hyperlink ref="B6" r:id="rId7" display="file:///players/b/ballla01.html" xr:uid="{B2242300-1CB8-5649-B070-008A0F180FC9}"/>
    <hyperlink ref="D6" r:id="rId8" display="file:///teams/CHO/2025.html" xr:uid="{CD796EEF-47CB-C943-A67E-AE7BAC147CD6}"/>
    <hyperlink ref="B7" r:id="rId9" display="file:///players/b/banchpa01.html" xr:uid="{B7D168AB-262B-324A-95B3-A48152118197}"/>
    <hyperlink ref="D7" r:id="rId10" display="file:///teams/ORL/2025.html" xr:uid="{0A79FC2E-9917-6E40-9092-20D86353B851}"/>
    <hyperlink ref="B8" r:id="rId11" display="file:///players/d/doncilu01.html" xr:uid="{468273D3-7812-E640-A91A-4F2B47713554}"/>
    <hyperlink ref="D8" r:id="rId12" display="file:///teams/DAL/2025.html" xr:uid="{EDF7FA7C-2FA4-2547-BDD6-987CA8D78BB7}"/>
    <hyperlink ref="B9" r:id="rId13" display="file:///players/t/tatumja01.html" xr:uid="{3921DD4E-C62E-E643-B79F-B9B7EC561171}"/>
    <hyperlink ref="D9" r:id="rId14" display="file:///teams/BOS/2025.html" xr:uid="{A41A2560-F989-8B4A-BAD1-1C7657D7E11C}"/>
    <hyperlink ref="B10" r:id="rId15" display="file:///players/d/duranke01.html" xr:uid="{E905A996-72CA-1F47-A170-11A62CAF7E6E}"/>
    <hyperlink ref="D10" r:id="rId16" display="file:///teams/PHO/2025.html" xr:uid="{086E0460-E097-3D42-842C-CBBF6B136602}"/>
    <hyperlink ref="B11" r:id="rId17" display="file:///players/f/foxde01.html" xr:uid="{77A4D32E-F92E-E243-913F-2DB9F261B3F4}"/>
    <hyperlink ref="D11" r:id="rId18" display="file:///teams/SAC/2025.html" xr:uid="{A628B7A8-5760-8C4E-B651-4B6E171452B4}"/>
    <hyperlink ref="B12" r:id="rId19" display="file:///players/d/davisan02.html" xr:uid="{F3BEED8D-0A78-7241-BEFA-1E1AC502C025}"/>
    <hyperlink ref="D12" r:id="rId20" display="file:///teams/LAL/2025.html" xr:uid="{257046D7-D297-4B44-B89A-7A5307E4D171}"/>
    <hyperlink ref="B13" r:id="rId21" display="file:///players/e/edwaran01.html" xr:uid="{3D2BF984-C53A-1946-B33E-8F001F702CF3}"/>
    <hyperlink ref="D13" r:id="rId22" display="file:///teams/MIN/2025.html" xr:uid="{1365F99D-6859-BC42-84E6-DB39229BB166}"/>
    <hyperlink ref="B14" r:id="rId23" display="file:///players/m/maxeyty01.html" xr:uid="{59779EAA-CA0E-8B4E-9DA9-724222212756}"/>
    <hyperlink ref="D14" r:id="rId24" display="file:///teams/PHI/2025.html" xr:uid="{C4A61599-6ADD-EF4A-A275-DC07DD754AF8}"/>
    <hyperlink ref="B15" r:id="rId25" display="file:///players/t/townska01.html" xr:uid="{F760F065-3FEA-E940-88D2-BB6BC4ECA6B4}"/>
    <hyperlink ref="D15" r:id="rId26" display="file:///teams/NYK/2025.html" xr:uid="{D3CA2AFB-8086-8F43-85B0-524F11154166}"/>
    <hyperlink ref="B16" r:id="rId27" display="file:///players/w/wembavi01.html" xr:uid="{DDD5E5E6-D2C8-294F-BCDF-A6D918A6C03A}"/>
    <hyperlink ref="D16" r:id="rId28" display="file:///teams/SAS/2025.html" xr:uid="{7D127897-7C19-E74F-B328-A446E326174F}"/>
    <hyperlink ref="B17" r:id="rId29" display="file:///players/b/brunsja01.html" xr:uid="{9391389C-0386-D343-8019-2279E53C1B13}"/>
    <hyperlink ref="D17" r:id="rId30" display="file:///teams/NYK/2025.html" xr:uid="{CCB12409-FA67-044F-99B4-F07478880521}"/>
    <hyperlink ref="B18" r:id="rId31" display="file:///players/l/lillada01.html" xr:uid="{CC155748-AA95-FB4C-860F-417A9159EC53}"/>
    <hyperlink ref="D18" r:id="rId32" display="file:///teams/MIL/2025.html" xr:uid="{F5986BBE-2AFA-4248-8ADA-D69863A00204}"/>
    <hyperlink ref="B19" r:id="rId33" display="file:///players/t/thomaca02.html" xr:uid="{33C59E1C-096C-224B-9F01-EA1FBE745745}"/>
    <hyperlink ref="D19" r:id="rId34" display="file:///teams/BRK/2025.html" xr:uid="{7F2AEFE1-A738-3D4C-B8D1-63544FBED885}"/>
    <hyperlink ref="B20" r:id="rId35" display="file:///players/b/bookede01.html" xr:uid="{2664679A-C483-904E-9F64-A71BFE01377A}"/>
    <hyperlink ref="D20" r:id="rId36" display="file:///teams/PHO/2025.html" xr:uid="{41F528C6-B7D9-4D4B-9F34-9C0B4AF9C099}"/>
    <hyperlink ref="B21" r:id="rId37" display="file:///players/e/embiijo01.html" xr:uid="{0A4C3DC4-7AB2-A54B-9A0C-28A16F6A8587}"/>
    <hyperlink ref="D21" r:id="rId38" display="file:///teams/PHI/2025.html" xr:uid="{8C3FDD9C-772D-BE4F-9F14-19289B8D125A}"/>
    <hyperlink ref="B22" r:id="rId39" display="file:///players/w/wagnefr01.html" xr:uid="{69A8394C-F6B9-364A-A88F-4159B16B165E}"/>
    <hyperlink ref="D22" r:id="rId40" display="file:///teams/ORL/2025.html" xr:uid="{804B66CE-4798-CE4A-A582-6673873FC873}"/>
    <hyperlink ref="B23" r:id="rId41" display="file:///players/c/cunnica01.html" xr:uid="{AE721151-26CA-DA4E-9B30-AFF8E51B57D7}"/>
    <hyperlink ref="D23" r:id="rId42" display="file:///teams/DET/2025.html" xr:uid="{84FB6435-614B-5542-BCCC-9E417E3308FC}"/>
    <hyperlink ref="B24" r:id="rId43" display="file:///players/i/irvinky01.html" xr:uid="{D08CD8F2-D8CA-6045-80C1-EFD07B56946B}"/>
    <hyperlink ref="D24" r:id="rId44" display="file:///teams/DAL/2025.html" xr:uid="{E41B242E-42CD-8B44-977E-F85F56AA8263}"/>
    <hyperlink ref="B25" r:id="rId45" display="file:///players/b/brownja02.html" xr:uid="{3630D5B5-3A75-6A47-A5A1-7437620C9107}"/>
    <hyperlink ref="D25" r:id="rId46" display="file:///teams/BOS/2025.html" xr:uid="{E187E920-93CE-C448-93AF-AF20D9DF572E}"/>
    <hyperlink ref="B26" r:id="rId47" display="file:///players/j/jamesle01.html" xr:uid="{1719E04C-8895-1842-A339-DCA6838E54A9}"/>
    <hyperlink ref="D26" r:id="rId48" display="file:///teams/LAL/2025.html" xr:uid="{A93945DE-EDFA-BF44-87DB-30DB173C6232}"/>
    <hyperlink ref="B27" r:id="rId49" display="file:///players/p/powelno01.html" xr:uid="{45F4D3B7-57C4-6E4A-B214-65537F771522}"/>
    <hyperlink ref="D27" r:id="rId50" display="file:///teams/LAC/2025.html" xr:uid="{BE40CD52-5C10-654D-9BD1-6A06FF226B2E}"/>
    <hyperlink ref="B28" r:id="rId51" display="file:///players/h/herroty01.html" xr:uid="{D58A2861-F2A3-F34D-945D-63F39606A3B4}"/>
    <hyperlink ref="D28" r:id="rId52" display="file:///teams/MIA/2025.html" xr:uid="{B22C451A-515C-C142-845E-804E6F694C9B}"/>
    <hyperlink ref="B29" r:id="rId53" display="file:///players/l/lavinza01.html" xr:uid="{41D41617-44FE-C74B-BEAF-3DFCE2E78A8B}"/>
    <hyperlink ref="D29" r:id="rId54" display="file:///teams/CHI/2025.html" xr:uid="{21A4C778-05C3-A44E-A096-FE5BAC6A0966}"/>
    <hyperlink ref="B30" r:id="rId55" display="file:///players/b/barrerj01.html" xr:uid="{82667CD8-0284-454D-9722-29C9D6722EAC}"/>
    <hyperlink ref="D30" r:id="rId56" display="file:///teams/TOR/2025.html" xr:uid="{3826B9AF-E2E0-8C45-B07D-2604318D5D98}"/>
    <hyperlink ref="B31" r:id="rId57" display="file:///players/m/mitchdo01.html" xr:uid="{8027DC43-AC62-E540-B85A-70F5BFA9ABB1}"/>
    <hyperlink ref="D31" r:id="rId58" display="file:///teams/CLE/2025.html" xr:uid="{D84B68A4-8916-804F-954C-C07B1572D8E1}"/>
    <hyperlink ref="B32" r:id="rId59" display="file:///players/c/curryst01.html" xr:uid="{B921FB4A-5F8D-C54E-80C1-F481A589AB8A}"/>
    <hyperlink ref="D32" r:id="rId60" display="file:///teams/GSW/2025.html" xr:uid="{30A2E452-3CA9-CD48-9984-C70E6CBDC26B}"/>
    <hyperlink ref="B33" r:id="rId61" display="file:///players/j/jacksja02.html" xr:uid="{622AF112-E942-024E-A8AB-ADB6A041F519}"/>
    <hyperlink ref="D33" r:id="rId62" display="file:///teams/MEM/2025.html" xr:uid="{2C375A2B-DDDC-BC43-8E4B-C861A245E9B9}"/>
    <hyperlink ref="B34" r:id="rId63" display="file:///players/w/willizi01.html" xr:uid="{9811840C-FB9E-1442-A933-804518211833}"/>
    <hyperlink ref="D34" r:id="rId64" display="file:///teams/NOP/2025.html" xr:uid="{35115426-7896-3E4C-B8BD-7F36C5629095}"/>
    <hyperlink ref="B35" r:id="rId65" display="file:///players/y/youngtr01.html" xr:uid="{A9F0A23B-8FB9-504C-BBA5-E1629E6A9D5A}"/>
    <hyperlink ref="D35" r:id="rId66" display="file:///teams/ATL/2025.html" xr:uid="{2A8AD0DD-1863-5645-A8DD-398FED420F57}"/>
    <hyperlink ref="B36" r:id="rId67" display="file:///players/i/ingrabr01.html" xr:uid="{F241A267-859F-5F4C-99DC-530A77CEC214}"/>
    <hyperlink ref="D36" r:id="rId68" display="file:///teams/NOP/2025.html" xr:uid="{58546DB6-0284-9E48-A8B6-9B6F6809D959}"/>
    <hyperlink ref="B37" r:id="rId69" display="file:///players/m/mccolcj01.html" xr:uid="{3614C901-955B-4F44-9A26-5EEDA5373F4C}"/>
    <hyperlink ref="D37" r:id="rId70" display="file:///teams/NOP/2025.html" xr:uid="{E79AEBEF-FE01-6B4F-8A0D-F5A84552E47C}"/>
    <hyperlink ref="B38" r:id="rId71" display="file:///players/p/poolejo01.html" xr:uid="{09373434-E2EA-F44C-A85B-EDF1471B0D45}"/>
    <hyperlink ref="D38" r:id="rId72" display="file:///teams/WAS/2025.html" xr:uid="{C999C4D5-0CE9-6940-921D-1F97558AEE75}"/>
    <hyperlink ref="B39" r:id="rId73" display="file:///players/m/moranja01.html" xr:uid="{F55A9F2E-331E-854D-BB41-2DCB4AA95556}"/>
    <hyperlink ref="D39" r:id="rId74" display="file:///teams/MEM/2025.html" xr:uid="{04EC8504-CC8D-FE45-B6AE-9463C35B13AD}"/>
    <hyperlink ref="B40" r:id="rId75" display="file:///players/h/hardeja01.html" xr:uid="{AAC3AEAA-4760-C04C-AB3F-2220D91A3055}"/>
    <hyperlink ref="D40" r:id="rId76" display="file:///teams/LAC/2025.html" xr:uid="{5BA1415F-97DD-8F43-82A5-25DA7EF67022}"/>
    <hyperlink ref="B41" r:id="rId77" display="file:///players/m/millebr02.html" xr:uid="{49F4CE5C-C9D9-F34E-8C29-243C0B8ACCAE}"/>
    <hyperlink ref="D41" r:id="rId78" display="file:///teams/CHO/2025.html" xr:uid="{1F7B0C68-0659-3A40-82AF-BB57E53A02E8}"/>
    <hyperlink ref="B42" r:id="rId79" display="file:///players/g/garlada01.html" xr:uid="{C29B8020-4D16-F74F-A8E7-19E25017D26C}"/>
    <hyperlink ref="D42" r:id="rId80" display="file:///teams/CLE/2025.html" xr:uid="{715E3BFD-E416-8C49-A26F-5ED783C5D2F0}"/>
    <hyperlink ref="B43" r:id="rId81" display="file:///players/d/derozde01.html" xr:uid="{6C997ED3-B42D-4549-8765-D72FE97C7116}"/>
    <hyperlink ref="D43" r:id="rId82" display="file:///teams/SAC/2025.html" xr:uid="{1C329814-9AD6-F844-8544-FE905C8A443B}"/>
    <hyperlink ref="B44" r:id="rId83" display="file:///players/m/murphtr02.html" xr:uid="{584BFAA3-516D-3242-84BC-097CC4C07B4A}"/>
    <hyperlink ref="D44" r:id="rId84" display="file:///teams/NOP/2025.html" xr:uid="{892FAEC2-2C83-EA44-B49B-A57125597E85}"/>
    <hyperlink ref="B45" r:id="rId85" display="file:///players/w/willija06.html" xr:uid="{7743C53C-B229-2A4F-90AC-FDA93F7B97F4}"/>
    <hyperlink ref="D45" r:id="rId86" display="file:///teams/OKC/2025.html" xr:uid="{EB9B4DB9-25A1-654E-B0C3-E4AC3FFAA014}"/>
    <hyperlink ref="B46" r:id="rId87" display="file:///players/s/sabondo01.html" xr:uid="{00170F16-09B4-5842-9D38-0B087DEC5FB1}"/>
    <hyperlink ref="D46" r:id="rId88" display="file:///teams/SAC/2025.html" xr:uid="{11217BF4-8438-C44A-98A6-5368DD4FB9B4}"/>
    <hyperlink ref="B47" r:id="rId89" display="file:///players/b/barnesc01.html" xr:uid="{482FE99E-27A3-854B-9FAB-E6CEA6278C55}"/>
    <hyperlink ref="D47" r:id="rId90" display="file:///teams/TOR/2025.html" xr:uid="{60D96F9A-3FF1-774B-BA38-347C616AD229}"/>
    <hyperlink ref="B48" r:id="rId91" display="file:///players/g/greenja05.html" xr:uid="{56C2C967-550D-DE47-9488-BB7A2D076BC3}"/>
    <hyperlink ref="D48" r:id="rId92" display="file:///teams/HOU/2025.html" xr:uid="{A48AEBB6-B789-2347-A35C-627D08106E1E}"/>
    <hyperlink ref="B49" r:id="rId93" display="file:///players/v/vucevni01.html" xr:uid="{50744545-1671-A449-AF58-C2611D37FDE7}"/>
    <hyperlink ref="D49" r:id="rId94" display="file:///teams/CHI/2025.html" xr:uid="{20575259-5C4B-7E4F-AE8B-D1D726F0C0D5}"/>
    <hyperlink ref="B50" r:id="rId95" display="file:///players/m/markkla01.html" xr:uid="{FF77663B-B318-8B4A-A79D-EE90FE486A4C}"/>
    <hyperlink ref="D50" r:id="rId96" display="file:///teams/UTA/2025.html" xr:uid="{CADDD641-4B13-B14F-98C6-882200BBE757}"/>
    <hyperlink ref="B51" r:id="rId97" display="file:///players/j/johnsja05.html" xr:uid="{FCBB043F-55B0-1343-9EC6-48E83E50751D}"/>
    <hyperlink ref="D51" r:id="rId98" display="file:///teams/ATL/2025.html" xr:uid="{9C61970C-FD2A-6F41-8DA2-BB674AFFA29E}"/>
    <hyperlink ref="B52" r:id="rId99" display="file:///players/s/siakapa01.html" xr:uid="{F62C64E9-94D4-744B-A8C4-DB74CB71CC7B}"/>
    <hyperlink ref="D52" r:id="rId100" display="file:///teams/IND/2025.html" xr:uid="{2D145686-6139-944B-8F10-2F41FED60F37}"/>
    <hyperlink ref="B53" r:id="rId101" display="file:///players/r/randlju01.html" xr:uid="{7118C50A-9006-9842-AB71-A91E2740E42A}"/>
    <hyperlink ref="D53" r:id="rId102" display="file:///teams/MIN/2025.html" xr:uid="{16ADFD78-0941-7C48-8272-AE170F60D148}"/>
    <hyperlink ref="B54" r:id="rId103" display="file:///players/j/johnsca02.html" xr:uid="{2875D25E-E4C2-F645-880D-A50567EEFA51}"/>
    <hyperlink ref="D54" r:id="rId104" display="file:///teams/BRK/2025.html" xr:uid="{E7945821-C95B-6A4D-B00E-03FB606420D3}"/>
    <hyperlink ref="B55" r:id="rId105" display="file:///players/h/huntede01.html" xr:uid="{6318308C-B8C0-F349-9CD3-38D8DBD19210}"/>
    <hyperlink ref="D55" r:id="rId106" display="file:///teams/ATL/2025.html" xr:uid="{C3B05B6B-2C81-6548-9F50-0B16B5EE617A}"/>
    <hyperlink ref="B56" r:id="rId107" display="file:///players/m/murraja01.html" xr:uid="{0154E902-2932-C049-92D3-F13BEA47B62B}"/>
    <hyperlink ref="D56" r:id="rId108" display="file:///teams/DEN/2025.html" xr:uid="{EBFEA205-82CE-9B49-AAD8-DC719317611C}"/>
    <hyperlink ref="B57" r:id="rId109" display="file:///players/s/sengual01.html" xr:uid="{53DD6240-8C43-FD48-A795-B3E51607C4D2}"/>
    <hyperlink ref="D57" r:id="rId110" display="file:///teams/HOU/2025.html" xr:uid="{F8C8F642-5953-5B4F-9006-8E26BED55DA3}"/>
    <hyperlink ref="B58" r:id="rId111" display="file:///players/m/mobleev01.html" xr:uid="{CEE53A31-6A77-E744-951B-91999AC0A217}"/>
    <hyperlink ref="D58" r:id="rId112" display="file:///teams/CLE/2025.html" xr:uid="{66D637BA-BAF4-124F-8E80-DB93DB8C88E8}"/>
    <hyperlink ref="B59" r:id="rId113" display="file:///players/p/portemi01.html" xr:uid="{17ED0302-0EF9-424F-9021-01C0C84DB77E}"/>
    <hyperlink ref="D59" r:id="rId114" display="file:///teams/DEN/2025.html" xr:uid="{46B78CB2-1FD2-CA41-9491-F3C5C521182C}"/>
    <hyperlink ref="B60" r:id="rId115" display="file:///players/s/simonan01.html" xr:uid="{F4D78CA6-5848-634F-AC19-17E6C2A60969}"/>
    <hyperlink ref="D60" r:id="rId116" display="file:///teams/POR/2025.html" xr:uid="{7543F409-F8BA-D943-8787-E74BA885C9DB}"/>
    <hyperlink ref="B61" r:id="rId117" display="file:///players/w/whiteco01.html" xr:uid="{610A01AB-74FA-8046-BA3C-94FA33FEA804}"/>
    <hyperlink ref="D61" r:id="rId118" display="file:///teams/CHI/2025.html" xr:uid="{9A7F2053-EBE3-1B4D-A63C-8D20E2A1DB0A}"/>
    <hyperlink ref="B62" r:id="rId119" display="file:///players/b/bridgmi01.html" xr:uid="{4B00C925-6A9D-BB42-8515-F95E4E1FE825}"/>
    <hyperlink ref="D62" r:id="rId120" display="file:///teams/NYK/2025.html" xr:uid="{01965C3B-895C-494E-B908-F24D127E4C25}"/>
    <hyperlink ref="B63" r:id="rId121" display="file:///players/h/halibty01.html" xr:uid="{E49BBE99-3436-C248-BA0A-B7AD54506F68}"/>
    <hyperlink ref="D63" r:id="rId122" display="file:///teams/IND/2025.html" xr:uid="{2D6D25BD-D888-A445-B15B-02D6A7C9B1B8}"/>
    <hyperlink ref="B64" r:id="rId123" display="file:///players/p/porzikr01.html" xr:uid="{A3144D4F-5D68-2A45-A40F-128EF89235F1}"/>
    <hyperlink ref="D64" r:id="rId124" display="file:///teams/BOS/2025.html" xr:uid="{501E865D-12B7-8246-AB01-0E8D6CF43E29}"/>
    <hyperlink ref="B65" r:id="rId125" display="file:///players/r/reaveau01.html" xr:uid="{38155168-E7B3-6846-BB72-7CFB413933CE}"/>
    <hyperlink ref="D65" r:id="rId126" display="file:///teams/LAL/2025.html" xr:uid="{3C4C4DF2-5B2D-8841-952A-DD0834FEDF12}"/>
    <hyperlink ref="B66" r:id="rId127" display="file:///players/s/sharpsh01.html" xr:uid="{66470D0E-8C92-9040-8037-D59D09B76126}"/>
    <hyperlink ref="D66" r:id="rId128" display="file:///teams/POR/2025.html" xr:uid="{E7F5AA8E-7F9F-444C-A27B-B128634B43D5}"/>
    <hyperlink ref="B67" r:id="rId129" display="file:///players/b/bealbr01.html" xr:uid="{E1991743-E70B-954B-BF92-C476795BCD26}"/>
    <hyperlink ref="D67" r:id="rId130" display="file:///teams/PHO/2025.html" xr:uid="{464A3AE9-5FC3-9C42-AC96-9D724D8F067E}"/>
    <hyperlink ref="B68" r:id="rId131" display="file:///players/s/sextoco01.html" xr:uid="{AF9F64F9-6BEF-CC49-9F36-8C83A5E3AD0B}"/>
    <hyperlink ref="D68" r:id="rId132" display="file:///teams/UTA/2025.html" xr:uid="{B31F104C-7A1A-D64E-9F4F-939F1850B076}"/>
    <hyperlink ref="B69" r:id="rId133" display="file:///players/b/bridgmi02.html" xr:uid="{16064484-37A6-8343-BFC1-CD625BE55B27}"/>
    <hyperlink ref="D69" r:id="rId134" display="file:///teams/CHO/2025.html" xr:uid="{DA756D20-F0CA-9B4E-823A-A32F2C85E851}"/>
    <hyperlink ref="B70" r:id="rId135" display="file:///players/c/collijo01.html" xr:uid="{92AE445B-A82F-E748-8C3D-A2BD6EBC459A}"/>
    <hyperlink ref="D70" r:id="rId136" display="file:///teams/UTA/2025.html" xr:uid="{73327C39-E1A8-234D-A832-A55B7D12227C}"/>
    <hyperlink ref="B71" r:id="rId137" display="file:///players/b/butleji01.html" xr:uid="{B94C64C3-CEBF-0F48-918C-55E13FD0A1D1}"/>
    <hyperlink ref="D71" r:id="rId138" display="file:///teams/MIA/2025.html" xr:uid="{0175E57F-9325-7240-8E29-4DDCCA2FF7E8}"/>
    <hyperlink ref="B72" r:id="rId139" display="file:///players/i/iveyja01.html" xr:uid="{BCFEC707-241E-9340-B118-C52F75635B6C}"/>
    <hyperlink ref="D72" r:id="rId140" display="file:///teams/DET/2025.html" xr:uid="{0545F2A3-651D-0F4E-9F28-56812D97669B}"/>
    <hyperlink ref="B73" r:id="rId141" display="file:///players/w/whitede01.html" xr:uid="{F9F71735-0CFD-0845-87D6-0D9156D1042B}"/>
    <hyperlink ref="D73" r:id="rId142" display="file:///teams/BOS/2025.html" xr:uid="{5CCD6E47-09E2-1549-885D-2618E00DECED}"/>
    <hyperlink ref="B74" r:id="rId143" display="file:///players/m/monkma01.html" xr:uid="{6387A865-415D-A845-BE4C-96F8F3BA1159}"/>
    <hyperlink ref="D74" r:id="rId144" display="file:///teams/SAC/2025.html" xr:uid="{F95A14AF-F06C-B84E-BE8C-6B4B4244608E}"/>
    <hyperlink ref="B75" r:id="rId145" display="file:///players/k/kuminjo01.html" xr:uid="{7093C8CF-2164-434C-8081-573F7AD1E896}"/>
    <hyperlink ref="D75" r:id="rId146" display="file:///teams/GSW/2025.html" xr:uid="{D7CB73C4-3A3E-F349-B5E3-6F24B95E2422}"/>
    <hyperlink ref="B76" r:id="rId147" display="file:///players/b/banede01.html" xr:uid="{09115D3A-8535-D545-A083-B0CB212BF0D3}"/>
    <hyperlink ref="D76" r:id="rId148" display="file:///teams/MEM/2025.html" xr:uid="{4CBBE9CF-84DA-144D-AB3E-C725342C3225}"/>
    <hyperlink ref="B77" r:id="rId149" display="file:///players/a/anunoog01.html" xr:uid="{3B929B0B-00FE-0C44-902C-6AC698598119}"/>
    <hyperlink ref="D77" r:id="rId150" display="file:///teams/NYK/2025.html" xr:uid="{4FE97B47-0581-BB44-AF20-594EB9C6C0A7}"/>
    <hyperlink ref="B78" r:id="rId151" display="file:///players/d/dickgr01.html" xr:uid="{1A9AAE74-26A1-B94F-9057-64026C6A9E5C}"/>
    <hyperlink ref="D78" r:id="rId152" display="file:///teams/TOR/2025.html" xr:uid="{1658E217-79EB-EF48-B011-34409F09E020}"/>
    <hyperlink ref="B79" r:id="rId153" display="file:///players/h/holmgch01.html" xr:uid="{5BADED65-0470-BE47-92FE-A6B8FF50CEFA}"/>
    <hyperlink ref="D79" r:id="rId154" display="file:///teams/OKC/2025.html" xr:uid="{55381DD9-9A66-5A48-88A6-CB2A6A9E2836}"/>
    <hyperlink ref="B80" r:id="rId155" display="file:///players/m/mathube01.html" xr:uid="{D29C1D6A-3765-7A4A-A9A0-7DDC84165DB0}"/>
    <hyperlink ref="D80" r:id="rId156" display="file:///teams/IND/2025.html" xr:uid="{11D1AFFF-FEE5-7347-BBE1-8EFA23EC5FA3}"/>
    <hyperlink ref="B81" r:id="rId157" display="file:///players/s/suggsja01.html" xr:uid="{04941353-903E-3143-AD5C-55E9F8FEC9F2}"/>
    <hyperlink ref="D81" r:id="rId158" display="file:///teams/ORL/2025.html" xr:uid="{21EF520F-A955-8A43-BF5E-5F139C7F0BA8}"/>
    <hyperlink ref="B82" r:id="rId159" display="file:///players/w/wiggian01.html" xr:uid="{7C3577D2-960B-3741-B3F1-F53D01EA36A6}"/>
    <hyperlink ref="D82" r:id="rId160" display="file:///teams/GSW/2025.html" xr:uid="{FB31C94E-9BE1-4648-A9E0-C68F85EA9540}"/>
    <hyperlink ref="B83" r:id="rId161" display="file:///players/b/beaslma01.html" xr:uid="{016AED08-B3E2-3949-8304-59DE6A8BE231}"/>
    <hyperlink ref="D83" r:id="rId162" display="file:///teams/DET/2025.html" xr:uid="{18273C03-002B-0247-B3C9-C3A8495730AC}"/>
    <hyperlink ref="B84" r:id="rId163" display="file:///players/m/murrade01.html" xr:uid="{27C39186-69DF-A645-80F5-442E89F26D44}"/>
    <hyperlink ref="D84" r:id="rId164" display="file:///teams/NOP/2025.html" xr:uid="{6FE131B8-6194-C64A-B677-29C57FEA344E}"/>
    <hyperlink ref="B85" r:id="rId165" display="file:///players/a/adebaba01.html" xr:uid="{44F3E553-9F1D-0149-84E4-479582B2C734}"/>
    <hyperlink ref="D85" r:id="rId166" display="file:///teams/MIA/2025.html" xr:uid="{5B47B102-78EF-EF42-9F39-C75B28316FDD}"/>
    <hyperlink ref="B86" r:id="rId167" display="file:///players/g/georgpa01.html" xr:uid="{7F572BF1-E81A-144F-A0DA-63E452921ACB}"/>
    <hyperlink ref="D86" r:id="rId168" display="file:///teams/PHI/2025.html" xr:uid="{15D84B97-6DD9-9145-A2BF-B474A3C7F15B}"/>
    <hyperlink ref="B87" r:id="rId169" display="file:///players/c/clarkjo01.html" xr:uid="{761E1B26-EB2E-A14B-B664-C527F12FD1ED}"/>
    <hyperlink ref="D87" r:id="rId170" display="file:///teams/UTA/2025.html" xr:uid="{F9139026-1454-2046-94C0-F1A9CD4DA41E}"/>
    <hyperlink ref="B88" r:id="rId171" display="file:///players/g/georgke01.html" xr:uid="{5C667066-E8F6-8C4A-ADCE-DA3C9D542D81}"/>
    <hyperlink ref="D88" r:id="rId172" display="file:///teams/UTA/2025.html" xr:uid="{C0E9BC98-92A5-E749-81EC-ECF3916D5CB8}"/>
    <hyperlink ref="B89" r:id="rId173" display="file:///players/s/schrode01.html" xr:uid="{7FE08DA5-3128-C742-B984-0FADC311B969}"/>
    <hyperlink ref="B90" r:id="rId174" display="file:///players/s/schrode01.html" xr:uid="{62272032-2A96-DE4F-8C79-831E233C5787}"/>
    <hyperlink ref="D90" r:id="rId175" display="file:///teams/BRK/2025.html" xr:uid="{D9A47974-89FB-A444-A2C8-E4BC63544E8E}"/>
    <hyperlink ref="B91" r:id="rId176" display="file:///players/s/schrode01.html" xr:uid="{6028F55E-E7E4-6A41-B8BD-9600F491EC4E}"/>
    <hyperlink ref="D91" r:id="rId177" display="file:///teams/GSW/2025.html" xr:uid="{E1A0DC70-E4EB-6746-8D5F-A71F8F3CBCC4}"/>
    <hyperlink ref="B92" r:id="rId178" display="file:///players/m/mccaija01.html" xr:uid="{33F6534E-0CFC-B24B-B145-76E87E5DD9ED}"/>
    <hyperlink ref="D92" r:id="rId179" display="file:///teams/PHI/2025.html" xr:uid="{A8D2C42C-3976-634E-82D2-EDD65D404EB2}"/>
    <hyperlink ref="B93" r:id="rId180" display="file:///players/v/vassede01.html" xr:uid="{9E9FF331-17E1-2245-A03F-0B39283F6AB3}"/>
    <hyperlink ref="D93" r:id="rId181" display="file:///teams/SAS/2025.html" xr:uid="{AAEE3E3A-70E3-FC44-AB5B-D40C95129A79}"/>
    <hyperlink ref="B94" r:id="rId182" display="file:///players/k/kuzmaky01.html" xr:uid="{DF980664-00D5-A845-BA66-2B5B19D63578}"/>
    <hyperlink ref="D94" r:id="rId183" display="file:///teams/WAS/2025.html" xr:uid="{ACD50415-23BB-6F40-BB2A-AF98008741DB}"/>
    <hyperlink ref="B95" r:id="rId184" display="file:///players/p/poeltja01.html" xr:uid="{6BE49A43-73D4-9B48-94D6-CB6B8553AF41}"/>
    <hyperlink ref="D95" r:id="rId185" display="file:///teams/TOR/2025.html" xr:uid="{5D0C6E4F-3D1F-8040-9302-BFB6ACC87550}"/>
    <hyperlink ref="B96" r:id="rId186" display="file:///players/q/quickim01.html" xr:uid="{85AC9557-BEAD-D244-9B9F-52994A099268}"/>
    <hyperlink ref="D96" r:id="rId187" display="file:///teams/TOR/2025.html" xr:uid="{02EFB2C3-0229-DB42-B3C4-16D0D8C41C20}"/>
    <hyperlink ref="B97" r:id="rId188" display="file:///players/t/turnemy01.html" xr:uid="{D75449F2-D8CF-0048-826D-0AE102A58119}"/>
    <hyperlink ref="D97" r:id="rId189" display="file:///teams/IND/2025.html" xr:uid="{4B9E2965-2DC3-474B-A7CD-12F41BE3093E}"/>
    <hyperlink ref="B98" r:id="rId190" display="file:///players/v/vanvlfr01.html" xr:uid="{BFA4F157-290E-E546-94D8-A4C9CE2AA3D7}"/>
    <hyperlink ref="D98" r:id="rId191" display="file:///teams/HOU/2025.html" xr:uid="{AE1040B8-40C4-334A-8BE9-3A591DA99AF8}"/>
    <hyperlink ref="B99" r:id="rId192" display="file:///players/g/grantje01.html" xr:uid="{A90A01DE-5D47-7141-AC52-E0700689F432}"/>
    <hyperlink ref="D99" r:id="rId193" display="file:///teams/POR/2025.html" xr:uid="{6679E8A7-770F-854C-8293-BCDB0F6DB168}"/>
    <hyperlink ref="B100" r:id="rId194" display="file:///players/z/zubaciv01.html" xr:uid="{4845FA0D-AEEE-2741-A0B4-289B350B1E76}"/>
    <hyperlink ref="D100" r:id="rId195" display="file:///teams/LAC/2025.html" xr:uid="{FE24C1E4-922D-7043-9BD3-2DE25098AA8C}"/>
    <hyperlink ref="B101" r:id="rId196" display="file:///players/p/pritcpa01.html" xr:uid="{A577F426-07CB-9641-A1CD-F94C4FF49159}"/>
    <hyperlink ref="D101" r:id="rId197" display="file:///teams/BOS/2025.html" xr:uid="{BDD71C07-DDF2-9E47-8F4F-BE026CCDC47D}"/>
    <hyperlink ref="B102" r:id="rId198" display="file:///players/h/hartjo01.html" xr:uid="{41473EB9-7A00-ED48-86E1-E999C7CACE93}"/>
    <hyperlink ref="D102" r:id="rId199" display="file:///teams/NYK/2025.html" xr:uid="{C0E4C1D2-984D-3549-96D3-F42CAA068D04}"/>
    <hyperlink ref="B103" r:id="rId200" display="file:///players/a/allenja01.html" xr:uid="{80D0D1ED-5F48-5946-A643-FA0654AF5941}"/>
    <hyperlink ref="D103" r:id="rId201" display="file:///teams/CLE/2025.html" xr:uid="{47DAFB68-5E31-4C4F-9DE2-FE87E18ADD3E}"/>
    <hyperlink ref="B104" r:id="rId202" display="file:///players/m/manntr01.html" xr:uid="{9BE8F88D-7AF9-4B42-9E87-7350B79972A4}"/>
    <hyperlink ref="D104" r:id="rId203" display="file:///teams/CHO/2025.html" xr:uid="{F31E29CC-C904-D145-B223-B26A9CACC5AF}"/>
    <hyperlink ref="B105" r:id="rId204" display="file:///players/a/avdijde01.html" xr:uid="{6B2B9DCE-ACDF-114D-BBB1-F53A3BEEBCF2}"/>
    <hyperlink ref="D105" r:id="rId205" display="file:///teams/POR/2025.html" xr:uid="{6D27674B-57B7-D74E-B2D4-2C9F437205C3}"/>
    <hyperlink ref="B106" r:id="rId206" display="file:///players/a/aytonde01.html" xr:uid="{A9ECDD78-E997-074B-ACB9-99F490AA1870}"/>
    <hyperlink ref="D106" r:id="rId207" display="file:///teams/POR/2025.html" xr:uid="{A7608161-1D38-A242-AF3F-91D51473D5C8}"/>
    <hyperlink ref="B107" r:id="rId208" display="file:///players/b/braunch01.html" xr:uid="{1CD27840-EEDA-5643-8F0F-53039040D45E}"/>
    <hyperlink ref="D107" r:id="rId209" display="file:///teams/DEN/2025.html" xr:uid="{AACA1E50-1D36-A542-A72E-3981F77CCADD}"/>
    <hyperlink ref="B108" r:id="rId210" display="file:///players/p/portibo01.html" xr:uid="{D2FB3CA2-DC1C-F241-A9A9-ACAB1D4434D8}"/>
    <hyperlink ref="D108" r:id="rId211" display="file:///teams/MIL/2025.html" xr:uid="{E3D21C57-59AA-D944-8699-737B109C31F4}"/>
    <hyperlink ref="B109" r:id="rId212" display="file:///players/b/brogdma01.html" xr:uid="{9B5D6D3C-98D1-8F42-B931-83EB4102F8A0}"/>
    <hyperlink ref="D109" r:id="rId213" display="file:///teams/WAS/2025.html" xr:uid="{6F600FAC-27BC-9045-8B21-BAB7A514FACB}"/>
    <hyperlink ref="B110" r:id="rId214" display="file:///players/t/thompkl01.html" xr:uid="{13AD7B91-1D49-AA49-9F42-F01C7E9F64F8}"/>
    <hyperlink ref="D110" r:id="rId215" display="file:///teams/DAL/2025.html" xr:uid="{DD20BDF5-707C-E443-B379-D87C029365E0}"/>
    <hyperlink ref="B111" r:id="rId216" display="file:///players/g/gordoaa01.html" xr:uid="{07887274-18A8-7640-A7B7-F60D1B287E53}"/>
    <hyperlink ref="D111" r:id="rId217" display="file:///teams/DEN/2025.html" xr:uid="{881DCD79-BE3E-5144-BF21-1B6518D868E6}"/>
    <hyperlink ref="B112" r:id="rId218" display="file:///players/b/brookdi01.html" xr:uid="{BD6C7D73-9738-5E4A-A77D-5E3E079EAE3A}"/>
    <hyperlink ref="D112" r:id="rId219" display="file:///teams/HOU/2025.html" xr:uid="{DF2C5365-3E82-8B4C-A77C-7E3D56DF5A55}"/>
    <hyperlink ref="B113" r:id="rId220" display="file:///players/s/sochaje01.html" xr:uid="{9B429B30-26A1-C249-89BB-2C96CC4C399E}"/>
    <hyperlink ref="D113" r:id="rId221" display="file:///teams/SAS/2025.html" xr:uid="{DB801E0D-0B2E-234D-863E-14C52B893660}"/>
    <hyperlink ref="B114" r:id="rId222" display="file:///players/w/washipj01.html" xr:uid="{0283D614-2325-6D4C-805E-CC5CDA03042B}"/>
    <hyperlink ref="D114" r:id="rId223" display="file:///teams/DAL/2025.html" xr:uid="{76CB157B-C3E0-2B41-96DE-6C5AEFC3DC54}"/>
    <hyperlink ref="B115" r:id="rId224" display="file:///players/h/harrito02.html" xr:uid="{148ACB36-9670-4F4C-965A-B73E873F03EA}"/>
    <hyperlink ref="D115" r:id="rId225" display="file:///teams/DET/2025.html" xr:uid="{487ADA56-5093-584F-816F-7B9877641B21}"/>
    <hyperlink ref="B116" r:id="rId226" display="file:///players/o/oubreke01.html" xr:uid="{BBE2BDF0-D08F-0349-A348-56EAB267F1DF}"/>
    <hyperlink ref="D116" r:id="rId227" display="file:///teams/PHI/2025.html" xr:uid="{2A75AABE-E43B-2E41-8E0F-88E7A66013D4}"/>
    <hyperlink ref="B117" r:id="rId228" display="file:///players/a/aldamsa01.html" xr:uid="{961D35F8-E5E5-BB44-BB4C-B8EDCA546F59}"/>
    <hyperlink ref="D117" r:id="rId229" display="file:///teams/MEM/2025.html" xr:uid="{8B17AB7E-9553-DD43-AD6E-F469FB2D3BF7}"/>
    <hyperlink ref="B118" r:id="rId230" display="file:///players/d/daniedy01.html" xr:uid="{8DA6B3B6-DBDB-4F41-A4A2-D5E9457C5B90}"/>
    <hyperlink ref="D118" r:id="rId231" display="file:///teams/ATL/2025.html" xr:uid="{C730EB7D-2628-EB40-ACF6-26A27E0C3C89}"/>
    <hyperlink ref="B119" r:id="rId232" display="file:///players/w/wagnemo01.html" xr:uid="{AEB14B11-0695-F04F-B20C-8151119F23DF}"/>
    <hyperlink ref="D119" r:id="rId233" display="file:///teams/ORL/2025.html" xr:uid="{FD279B8B-A777-1341-9665-AADEB4799AFC}"/>
    <hyperlink ref="B120" r:id="rId234" display="file:///players/r/reidna01.html" xr:uid="{957ADF9D-FA2B-E742-9A35-9FD49A0F29B8}"/>
    <hyperlink ref="D120" r:id="rId235" display="file:///teams/MIN/2025.html" xr:uid="{07ECF978-A388-C545-B884-3F575B990C8C}"/>
    <hyperlink ref="B121" r:id="rId236" display="file:///players/d/dosunay01.html" xr:uid="{3383FE93-8CCC-FB44-87F4-F1C057B5D403}"/>
    <hyperlink ref="D121" r:id="rId237" display="file:///teams/CHI/2025.html" xr:uid="{E676391D-ACEF-F946-B1E9-DA0BB6A50C85}"/>
    <hyperlink ref="B122" r:id="rId238" display="file:///players/w/westbru01.html" xr:uid="{5AE694F1-A895-B64D-AF89-3B235169055B}"/>
    <hyperlink ref="D122" r:id="rId239" display="file:///teams/DEN/2025.html" xr:uid="{A5955049-B330-EF4A-B073-C16829E5123A}"/>
    <hyperlink ref="B123" r:id="rId240" display="file:///players/c/coulibi01.html" xr:uid="{A090B609-F297-184B-8FEE-B75AAA776740}"/>
    <hyperlink ref="D123" r:id="rId241" display="file:///teams/WAS/2025.html" xr:uid="{0ECE33D3-F204-D246-9515-05C3B7CC6E58}"/>
    <hyperlink ref="B124" r:id="rId242" display="file:///players/j/johnske04.html" xr:uid="{04343E84-E7C4-8547-84F2-0E14EFB6C3C6}"/>
    <hyperlink ref="D124" r:id="rId243" display="file:///teams/SAS/2025.html" xr:uid="{1E1F1BDC-F5CE-EE49-8D53-19DC954FF284}"/>
    <hyperlink ref="B125" r:id="rId244" display="file:///players/r/russeda01.html" xr:uid="{591D592E-8B1A-EE40-938C-0E43FBEF270D}"/>
    <hyperlink ref="B126" r:id="rId245" display="file:///players/r/russeda01.html" xr:uid="{E9EA22B4-E656-3B4D-80DA-BA2D49F98AF1}"/>
    <hyperlink ref="D126" r:id="rId246" display="file:///teams/LAL/2025.html" xr:uid="{E712CE7C-B984-AB40-92F6-77B9D55A47D6}"/>
    <hyperlink ref="B127" r:id="rId247" display="file:///players/r/russeda01.html" xr:uid="{6AEAC3BE-C650-8548-A8CD-3FCC508592C8}"/>
    <hyperlink ref="D127" r:id="rId248" display="file:///teams/BRK/2025.html" xr:uid="{2F165A67-64ED-264E-B857-1532EF06C2D8}"/>
    <hyperlink ref="B128" r:id="rId249" display="file:///players/l/lopezbr01.html" xr:uid="{1FA32293-8AD0-8E48-8FC3-21E108CB1B58}"/>
    <hyperlink ref="D128" r:id="rId250" display="file:///teams/MIL/2025.html" xr:uid="{82DBFBB4-E0EB-7046-BB53-B51813BB1127}"/>
    <hyperlink ref="B129" r:id="rId251" display="file:///players/t/thompam01.html" xr:uid="{E74AE6C6-F4DB-924A-A988-F500C17137F1}"/>
    <hyperlink ref="D129" r:id="rId252" display="file:///teams/HOU/2025.html" xr:uid="{243FE158-EE56-DC49-AC4F-A52A3F7864FD}"/>
    <hyperlink ref="B130" r:id="rId253" display="file:///players/h/hieldbu01.html" xr:uid="{D0E17EDE-CAAB-9747-B4FE-1286457F37D8}"/>
    <hyperlink ref="D130" r:id="rId254" display="file:///teams/GSW/2025.html" xr:uid="{6359B014-5A96-0C4F-825A-B3E0651EC540}"/>
    <hyperlink ref="B131" r:id="rId255" display="file:///players/m/middlkh01.html" xr:uid="{F57FC594-7CB1-4941-8DBC-0D0ED0295441}"/>
    <hyperlink ref="D131" r:id="rId256" display="file:///teams/MIL/2025.html" xr:uid="{DAE7286A-8CD6-CE44-9FC9-9A63F88BD97C}"/>
    <hyperlink ref="B132" r:id="rId257" display="file:///players/h/harteis01.html" xr:uid="{12E2E460-9708-9341-BD98-A9828FF60B50}"/>
    <hyperlink ref="D132" r:id="rId258" display="file:///teams/OKC/2025.html" xr:uid="{37B738AC-53F1-4942-822B-4F2E4F6C3610}"/>
    <hyperlink ref="B133" r:id="rId259" display="file:///players/h/holidjr01.html" xr:uid="{A188C463-334F-DE45-AB62-BB8E5618567D}"/>
    <hyperlink ref="D133" r:id="rId260" display="file:///teams/BOS/2025.html" xr:uid="{860387FD-ECF5-F341-80B1-DEBB4DEFB110}"/>
    <hyperlink ref="B134" r:id="rId261" display="file:///players/j/jonesty01.html" xr:uid="{6A7FA8B7-0F33-D249-9A52-C6549B29898F}"/>
    <hyperlink ref="D134" r:id="rId262" display="file:///teams/PHO/2025.html" xr:uid="{C52BB1F1-21CF-5F40-9CD1-D4BDA6160C86}"/>
    <hyperlink ref="B135" r:id="rId263" display="file:///players/w/willima07.html" xr:uid="{A180B3D8-EC31-B644-AE5A-966DBF052156}"/>
    <hyperlink ref="D135" r:id="rId264" display="file:///teams/CHO/2025.html" xr:uid="{6380F3A2-BB83-884F-A1C7-C5E057A92570}"/>
    <hyperlink ref="B136" r:id="rId265" display="file:///players/c/champju02.html" xr:uid="{928C52CD-3005-3C4E-8EEE-39758E9C6BC0}"/>
    <hyperlink ref="D136" r:id="rId266" display="file:///teams/SAS/2025.html" xr:uid="{93D0C0C5-020E-BD4C-BDFC-07EFEE3832F3}"/>
    <hyperlink ref="B137" r:id="rId267" display="file:///players/r/roziete01.html" xr:uid="{0F3AD78C-D0AE-794B-B9DC-6ECAFEF59F08}"/>
    <hyperlink ref="D137" r:id="rId268" display="file:///teams/MIA/2025.html" xr:uid="{3A5659B9-D1BE-F141-980D-394A377D38B4}"/>
    <hyperlink ref="B138" r:id="rId269" display="file:///players/g/giddejo01.html" xr:uid="{E5087C5C-F846-7146-93EB-DE53E2F21E3E}"/>
    <hyperlink ref="D138" r:id="rId270" display="file:///teams/CHI/2025.html" xr:uid="{7BC7B567-DB3A-AA46-A5C0-28569EAECF1C}"/>
    <hyperlink ref="B139" r:id="rId271" display="file:///players/h/hachiru01.html" xr:uid="{8E86AC63-9B08-554B-9EC7-B8AC2381874F}"/>
    <hyperlink ref="D139" r:id="rId272" display="file:///teams/LAL/2025.html" xr:uid="{8F46FF96-252B-4847-8E14-81E9B578EDDA}"/>
    <hyperlink ref="B140" r:id="rId273" display="file:///players/k/kispeco01.html" xr:uid="{A7FA3B60-333F-9D47-AAD2-D88AF4FA723D}"/>
    <hyperlink ref="D140" r:id="rId274" display="file:///teams/WAS/2025.html" xr:uid="{650E3E2F-A631-9A4D-AD05-0A5F81098FFC}"/>
    <hyperlink ref="B141" r:id="rId275" display="file:///players/s/smithja05.html" xr:uid="{5E3CEB27-E1C4-2041-A8DE-FD2082639AAF}"/>
    <hyperlink ref="D141" r:id="rId276" display="file:///teams/HOU/2025.html" xr:uid="{F945FB0B-55C8-5F48-8E4F-D859B2BAAB6B}"/>
    <hyperlink ref="B142" r:id="rId277" display="file:///players/v/valanjo01.html" xr:uid="{7C1D4084-F293-CE4A-945D-017F4A6C3BE7}"/>
    <hyperlink ref="D142" r:id="rId278" display="file:///teams/WAS/2025.html" xr:uid="{53B650A0-4F39-974F-8AAE-DC99AC0C4D68}"/>
    <hyperlink ref="B143" r:id="rId279" display="file:///players/m/murrake02.html" xr:uid="{7EAACDE7-79D6-744C-B99E-7E94320AF2A9}"/>
    <hyperlink ref="D143" r:id="rId280" display="file:///teams/SAC/2025.html" xr:uid="{05F9E2A8-BB05-4A4A-9FD1-970C1F8E9CD1}"/>
    <hyperlink ref="B144" r:id="rId281" display="file:///players/s/sarral01.html" xr:uid="{F447D301-059A-6548-A899-DE9EC78811B3}"/>
    <hyperlink ref="D144" r:id="rId282" display="file:///teams/WAS/2025.html" xr:uid="{A37686DC-034F-8246-8D38-1FA6E698C576}"/>
    <hyperlink ref="B145" r:id="rId283" display="file:///players/w/wellsja01.html" xr:uid="{FFB794E9-2D4C-0547-A6EA-A3385D96D48A}"/>
    <hyperlink ref="D145" r:id="rId284" display="file:///teams/MEM/2025.html" xr:uid="{A7DE1F20-06BB-D347-8EA3-C5A7A8028E0E}"/>
    <hyperlink ref="B146" r:id="rId285" display="file:///players/l/leverca01.html" xr:uid="{0ABB9179-E9A6-FC42-AC5D-0D132A2EEC64}"/>
    <hyperlink ref="D146" r:id="rId286" display="file:///teams/CLE/2025.html" xr:uid="{909ACF47-2525-CD47-9BA8-C13D7D02BD95}"/>
    <hyperlink ref="B147" r:id="rId287" display="file:///players/g/gaffoda01.html" xr:uid="{08EDBCC7-3A77-0A46-BC83-93B6E8710ED6}"/>
    <hyperlink ref="D147" r:id="rId288" display="file:///teams/DAL/2025.html" xr:uid="{9D4981C8-21F6-3E4D-BEC1-4E0F110B25E5}"/>
    <hyperlink ref="B148" r:id="rId289" display="file:///players/e/easonta01.html" xr:uid="{71A948B0-4986-A34C-B8A8-DBC4E597D57C}"/>
    <hyperlink ref="D148" r:id="rId290" display="file:///teams/HOU/2025.html" xr:uid="{B925B2FA-C2EA-2F4E-B550-5E2930325F59}"/>
    <hyperlink ref="B149" r:id="rId291" display="file:///players/b/bogdabo01.html" xr:uid="{984BEE17-00AD-2E44-9EAE-B68BA1935D5F}"/>
    <hyperlink ref="D149" r:id="rId292" display="file:///teams/ATL/2025.html" xr:uid="{E2BA9A89-B297-E54B-93EE-53C09AFF85B3}"/>
    <hyperlink ref="B150" r:id="rId293" display="file:///players/h/hendesc01.html" xr:uid="{49341BA9-8015-7B4F-8DFE-10CD262FE6B2}"/>
    <hyperlink ref="D150" r:id="rId294" display="file:///teams/POR/2025.html" xr:uid="{53D745C1-E297-E440-B439-10497F2CC7B3}"/>
    <hyperlink ref="B151" r:id="rId295" display="file:///players/b/bostobr01.html" xr:uid="{EBC7CF91-F7F2-E44E-A593-CC32A49D0095}"/>
    <hyperlink ref="D151" r:id="rId296" display="file:///teams/NOP/2025.html" xr:uid="{AD3850E9-3DA3-9149-B108-727928AB21A4}"/>
    <hyperlink ref="B152" r:id="rId297" display="file:///players/b/barneha02.html" xr:uid="{66EBF3C9-578E-3342-8549-910BF8479BC2}"/>
    <hyperlink ref="D152" r:id="rId298" display="file:///teams/SAS/2025.html" xr:uid="{D43885F6-F7DA-2F48-A8EB-06F25878EC3F}"/>
    <hyperlink ref="B153" r:id="rId299" display="file:///players/m/marshna01.html" xr:uid="{60508FD2-6665-3A40-8E48-4D2B98FD4BAB}"/>
    <hyperlink ref="D153" r:id="rId300" display="file:///teams/DAL/2025.html" xr:uid="{B6C75A6E-D286-D846-BC21-029719AF4519}"/>
    <hyperlink ref="B154" r:id="rId301" display="file:///players/r/robindu01.html" xr:uid="{855AC547-D988-274A-A4BF-B44F3500B3F5}"/>
    <hyperlink ref="D154" r:id="rId302" display="file:///teams/MIA/2025.html" xr:uid="{CD132EBF-736C-AF4B-AA3E-FFF9C24714F9}"/>
    <hyperlink ref="B155" r:id="rId303" display="file:///players/a/agbajoc01.html" xr:uid="{06204E80-6179-1F45-B8E3-B68A5DDD5761}"/>
    <hyperlink ref="D155" r:id="rId304" display="file:///teams/TOR/2025.html" xr:uid="{7B39905C-48CD-DF4B-98B0-FAA940E09DFF}"/>
    <hyperlink ref="B156" r:id="rId305" display="file:///players/a/allengr01.html" xr:uid="{264B4DB7-489D-2543-8510-2C05E66B70F5}"/>
    <hyperlink ref="D156" r:id="rId306" display="file:///teams/PHO/2025.html" xr:uid="{9907F082-66B8-7C43-90CC-8C5E6B88E5FD}"/>
    <hyperlink ref="B157" r:id="rId307" display="file:///players/o/okongon01.html" xr:uid="{91601046-8E71-A64A-93BD-867A9052709C}"/>
    <hyperlink ref="D157" r:id="rId308" display="file:///teams/ATL/2025.html" xr:uid="{A980BA97-FD1E-084C-80D3-D81B56A1797E}"/>
    <hyperlink ref="B158" r:id="rId309" display="file:///players/c/castlst01.html" xr:uid="{2E84C45E-DB08-2444-B143-4B1E69714C25}"/>
    <hyperlink ref="D158" r:id="rId310" display="file:///teams/SAS/2025.html" xr:uid="{FE3A70DD-054B-DC49-8BAB-3B1DC473E18A}"/>
    <hyperlink ref="B159" r:id="rId311" display="file:///players/k/kesslwa01.html" xr:uid="{F3BAEC47-FCE1-704D-82BE-1BE5FFBBABA2}"/>
    <hyperlink ref="D159" r:id="rId312" display="file:///teams/UTA/2025.html" xr:uid="{12681E95-A52C-3742-874F-E1A72ED8A2A5}"/>
    <hyperlink ref="B160" r:id="rId313" display="file:///players/p/pippesc02.html" xr:uid="{0DB7EBC9-D15F-7A40-950A-4FF81A0B8CD8}"/>
    <hyperlink ref="D160" r:id="rId314" display="file:///teams/MEM/2025.html" xr:uid="{9715B01E-A4DF-4946-9B89-DD8C4A78CAB3}"/>
    <hyperlink ref="B161" r:id="rId315" display="file:///players/r/risacza01.html" xr:uid="{F147FBD3-AB71-4140-96D4-581F07A69CCE}"/>
    <hyperlink ref="D161" r:id="rId316" display="file:///teams/ATL/2025.html" xr:uid="{9FCB0842-4CFF-E348-8A56-472882250EE7}"/>
    <hyperlink ref="B162" r:id="rId317" display="file:///players/n/nembhan01.html" xr:uid="{BC6FA162-6220-274A-9144-B15EA9B4EBC4}"/>
    <hyperlink ref="D162" r:id="rId318" display="file:///teams/IND/2025.html" xr:uid="{00129571-21BE-B341-AE7A-A667EB1B2032}"/>
    <hyperlink ref="B163" r:id="rId319" display="file:///players/c/coffeam01.html" xr:uid="{0C389DCD-4991-794D-90C4-B282ABAEF0D2}"/>
    <hyperlink ref="D163" r:id="rId320" display="file:///teams/LAC/2025.html" xr:uid="{E8B0427B-0953-7C40-A618-B6CA49202DC3}"/>
    <hyperlink ref="B164" r:id="rId321" display="file:///players/g/grimequ01.html" xr:uid="{DD30F3D1-F551-1243-9CBA-53CF4AA7B2B8}"/>
    <hyperlink ref="D164" r:id="rId322" display="file:///teams/DAL/2025.html" xr:uid="{CAFE1874-1CF6-C34D-BD6F-E76891ED165B}"/>
    <hyperlink ref="B165" r:id="rId323" display="file:///players/h/hardati02.html" xr:uid="{E279A088-1F6C-894E-B25A-5FF63C74BD68}"/>
    <hyperlink ref="D165" r:id="rId324" display="file:///teams/DET/2025.html" xr:uid="{6EE7DBE2-9D39-654D-928D-4443CBFD982C}"/>
    <hyperlink ref="B166" r:id="rId325" display="file:///players/h/hawkijo01.html" xr:uid="{BAF3EFB9-FAFB-7541-9949-FEBF8D34F798}"/>
    <hyperlink ref="D166" r:id="rId326" display="file:///teams/NOP/2025.html" xr:uid="{0F43BCD8-5491-3C47-8447-697439C25A93}"/>
    <hyperlink ref="B167" r:id="rId327" display="file:///players/m/mccontj01.html" xr:uid="{AFE12102-01FB-434E-9C17-A8305287F490}"/>
    <hyperlink ref="D167" r:id="rId328" display="file:///teams/IND/2025.html" xr:uid="{9D7CBA6A-5EE2-A048-8C93-4BDD1F889ED6}"/>
    <hyperlink ref="B168" r:id="rId329" display="file:///players/o/onealro01.html" xr:uid="{F026BE31-D8C3-E546-9ED7-B992C6F11295}"/>
    <hyperlink ref="D168" r:id="rId330" display="file:///teams/PHO/2025.html" xr:uid="{401B0686-2A65-BB47-B725-6A9D5BD560D4}"/>
    <hyperlink ref="B169" r:id="rId331" display="file:///players/t/toppiob01.html" xr:uid="{45DB2C1B-AF6E-814B-95FC-8A48FA9520C2}"/>
    <hyperlink ref="D169" r:id="rId332" display="file:///teams/IND/2025.html" xr:uid="{F56EEEDA-588B-194E-8DA5-A1432D1DE07B}"/>
    <hyperlink ref="B170" r:id="rId333" display="file:///players/w/willigr01.html" xr:uid="{6AF50FDD-2CFA-A747-9772-5AA17A925779}"/>
    <hyperlink ref="D170" r:id="rId334" display="file:///teams/CHO/2025.html" xr:uid="{28916DCA-2D1C-C24E-8CB1-9DEBF1CCEB9D}"/>
    <hyperlink ref="B171" r:id="rId335" display="file:///players/b/bouchch01.html" xr:uid="{91D755DE-F07D-624B-9182-A6A8233D9316}"/>
    <hyperlink ref="D171" r:id="rId336" display="file:///teams/TOR/2025.html" xr:uid="{7ADAC0B6-9D13-AC4B-A3BA-E6AC3548FD17}"/>
    <hyperlink ref="B172" r:id="rId337" display="file:///players/e/edeyza01.html" xr:uid="{D4413366-0EB7-8846-AB77-7AE696C721F2}"/>
    <hyperlink ref="D172" r:id="rId338" display="file:///teams/MEM/2025.html" xr:uid="{FDF99C40-9EE5-DF4A-A469-95E9022BCDD1}"/>
    <hyperlink ref="B173" r:id="rId339" display="file:///players/j/joneshe01.html" xr:uid="{2B0B13AF-50F2-394C-AAEE-B24CD9014614}"/>
    <hyperlink ref="D173" r:id="rId340" display="file:///teams/NOP/2025.html" xr:uid="{FEFDD9B8-56AC-5D47-82A2-19DEBAA5A272}"/>
    <hyperlink ref="B174" r:id="rId341" display="file:///players/m/meltode01.html" xr:uid="{BE50BE02-E0B6-8B46-B076-F360C27E24B1}"/>
    <hyperlink ref="D174" r:id="rId342" display="file:///teams/GSW/2025.html" xr:uid="{B61BE954-46B1-F146-8580-CB39587DFB51}"/>
    <hyperlink ref="B175" r:id="rId343" display="file:///players/d/divindo01.html" xr:uid="{D19A7A3E-94D4-8F45-9A77-77E7178C14F1}"/>
    <hyperlink ref="D175" r:id="rId344" display="file:///teams/MIN/2025.html" xr:uid="{69E7D4CF-9625-0D4E-8252-593B534D80F3}"/>
    <hyperlink ref="B176" r:id="rId345" display="file:///players/j/jeromty01.html" xr:uid="{FC492359-121D-144D-B8A7-2DBABA68C45F}"/>
    <hyperlink ref="D176" r:id="rId346" display="file:///teams/CLE/2025.html" xr:uid="{9FB70641-823E-4E4B-BC27-70CBAB53BB8D}"/>
    <hyperlink ref="B177" r:id="rId347" display="file:///players/y/yabusgu01.html" xr:uid="{54A91DB9-7627-AB4A-A923-2DB242956A86}"/>
    <hyperlink ref="D177" r:id="rId348" display="file:///teams/PHI/2025.html" xr:uid="{EBD4FF1C-31B3-E849-9207-423A21C356BB}"/>
    <hyperlink ref="B178" r:id="rId349" display="file:///players/g/goberru01.html" xr:uid="{40CA9850-9245-4247-8766-8A321CA4D86C}"/>
    <hyperlink ref="D178" r:id="rId350" display="file:///teams/MIN/2025.html" xr:uid="{E293CF3F-35E6-C343-9BB6-90759A363EBD}"/>
    <hyperlink ref="B179" r:id="rId351" display="file:///players/l/leonaka01.html" xr:uid="{CA127D56-FF2B-994D-BBC7-A11D8EF4D671}"/>
    <hyperlink ref="D179" r:id="rId352" display="file:///teams/LAC/2025.html" xr:uid="{1D4CD060-C3EA-D04D-983A-DECB698F95AA}"/>
    <hyperlink ref="B180" r:id="rId353" display="file:///players/a/alvarjo01.html" xr:uid="{18FC4E9D-8C7D-1747-9088-92864B16E093}"/>
    <hyperlink ref="D180" r:id="rId354" display="file:///teams/NOP/2025.html" xr:uid="{8F98397C-720E-8540-9F7B-C507B9EED676}"/>
    <hyperlink ref="B181" r:id="rId355" display="file:///players/b/bitadgo01.html" xr:uid="{A04A2447-BE4C-804F-9E03-39AFED305ECE}"/>
    <hyperlink ref="D181" r:id="rId356" display="file:///teams/ORL/2025.html" xr:uid="{1452E486-C89B-624A-8C76-D9DE056B32CE}"/>
    <hyperlink ref="B182" r:id="rId357" display="file:///players/c/champju01.html" xr:uid="{22FDE3A2-113B-7046-A022-16EDA1D4677A}"/>
    <hyperlink ref="D182" r:id="rId358" display="file:///teams/WAS/2025.html" xr:uid="{9CF03138-FCEB-2345-8AED-8210C2233617}"/>
    <hyperlink ref="B183" r:id="rId359" display="file:///players/f/finnedo01.html" xr:uid="{03CDAC4A-F928-634E-9C2D-CE58B1A91DE8}"/>
    <hyperlink ref="B184" r:id="rId360" display="file:///players/f/finnedo01.html" xr:uid="{FAC3BE79-59DD-3040-8ABA-15A70E87DD7F}"/>
    <hyperlink ref="D184" r:id="rId361" display="file:///teams/BRK/2025.html" xr:uid="{5682DD59-05DE-8147-9255-8C191234A032}"/>
    <hyperlink ref="B185" r:id="rId362" display="file:///players/f/finnedo01.html" xr:uid="{93D084B7-E9DE-C24E-992A-12541E8AC84F}"/>
    <hyperlink ref="D185" r:id="rId363" display="file:///teams/LAL/2025.html" xr:uid="{38F0E2D6-62F4-8547-8F44-49308E935A32}"/>
    <hyperlink ref="B186" r:id="rId364" display="file:///players/c/claxtni01.html" xr:uid="{94D1F440-4362-5745-A9B0-65FBA1A16681}"/>
    <hyperlink ref="D186" r:id="rId365" display="file:///teams/BRK/2025.html" xr:uid="{8575CED7-1964-8E43-8F58-19D202E7796D}"/>
    <hyperlink ref="B187" r:id="rId366" display="file:///players/d/dortlu01.html" xr:uid="{93625122-67BF-4C43-8B54-D00AB30F64F6}"/>
    <hyperlink ref="D187" r:id="rId367" display="file:///teams/OKC/2025.html" xr:uid="{81037C30-264D-294F-9B90-64E44BFA6B6E}"/>
    <hyperlink ref="B188" r:id="rId368" display="file:///players/k/knechda01.html" xr:uid="{67B1CC04-E058-D542-BAE7-35E4C08C0126}"/>
    <hyperlink ref="D188" r:id="rId369" display="file:///teams/LAL/2025.html" xr:uid="{2049F6D4-9419-4C4E-81F6-C5D1C776B2BB}"/>
    <hyperlink ref="B189" r:id="rId370" display="file:///players/m/mcbrimi01.html" xr:uid="{646000D9-B8D3-E34B-95CD-FA8A522DD4E2}"/>
    <hyperlink ref="D189" r:id="rId371" display="file:///teams/NYK/2025.html" xr:uid="{5D15FCCA-E95E-EB48-B65C-EAB3AF926AC2}"/>
    <hyperlink ref="B190" r:id="rId372" display="file:///players/t/trentga02.html" xr:uid="{FCE0CBEC-17DE-9E49-A321-6062AF9500F8}"/>
    <hyperlink ref="D190" r:id="rId373" display="file:///teams/MIL/2025.html" xr:uid="{513DD12F-D19D-C544-ACD5-A63470D44D3E}"/>
    <hyperlink ref="B191" r:id="rId374" display="file:///players/j/jonesde02.html" xr:uid="{0A026126-5C8A-D34F-A649-562C853944E1}"/>
    <hyperlink ref="D191" r:id="rId375" display="file:///teams/LAC/2025.html" xr:uid="{2BEA0830-78E4-D242-8165-FE3E10D142F7}"/>
    <hyperlink ref="B192" r:id="rId376" display="file:///players/p/porteke02.html" xr:uid="{95B6882D-BB38-454D-9C4A-113C2F1AD9A4}"/>
    <hyperlink ref="D192" r:id="rId377" display="file:///teams/LAC/2025.html" xr:uid="{8BA0A84B-63C3-3345-87E4-E625D33C911C}"/>
    <hyperlink ref="B193" r:id="rId378" display="file:///players/w/willipa01.html" xr:uid="{96D944F7-BC06-584A-9B23-C48104E63DD3}"/>
    <hyperlink ref="D193" r:id="rId379" display="file:///teams/CHI/2025.html" xr:uid="{F2EF89A6-2818-5D4B-88A7-0357D4812F5B}"/>
    <hyperlink ref="B194" r:id="rId380" display="file:///players/c/camarto01.html" xr:uid="{55397490-7D14-2145-81D5-5A2F4BA5BBDC}"/>
    <hyperlink ref="D194" r:id="rId381" display="file:///teams/POR/2025.html" xr:uid="{11B7DA68-E03C-264F-81C3-BF650ADFDF2C}"/>
    <hyperlink ref="B195" r:id="rId382" display="file:///players/c/capelca01.html" xr:uid="{F9D3CDAC-34F6-1C42-ADC6-89EDEE798909}"/>
    <hyperlink ref="D195" r:id="rId383" display="file:///teams/ATL/2025.html" xr:uid="{6539C52A-5487-BD45-B6B8-B34767C85A88}"/>
    <hyperlink ref="B196" r:id="rId384" display="file:///players/m/mcdanja02.html" xr:uid="{B7B7AF8A-0A94-7148-8D4A-F43152A6D14D}"/>
    <hyperlink ref="D196" r:id="rId385" display="file:///teams/MIN/2025.html" xr:uid="{2B401097-9EBD-DA40-BA46-4714018DCFED}"/>
    <hyperlink ref="B197" r:id="rId386" display="file:///players/p/paulch01.html" xr:uid="{AC07B915-B595-1742-B86B-415E41764573}"/>
    <hyperlink ref="D197" r:id="rId387" display="file:///teams/SAS/2025.html" xr:uid="{BFC07380-9322-A342-B877-F81156F0DF86}"/>
    <hyperlink ref="B198" r:id="rId388" display="file:///players/d/dinwisp01.html" xr:uid="{1278C6D0-4B38-F641-9312-43A63846592E}"/>
    <hyperlink ref="D198" r:id="rId389" display="file:///teams/DAL/2025.html" xr:uid="{AC00EDD5-DBAD-D642-87A2-1EC8B2C3BEA9}"/>
    <hyperlink ref="B199" r:id="rId390" display="file:///players/d/durenja01.html" xr:uid="{5AA389F5-1A6F-A04B-A758-51981A9F4B7F}"/>
    <hyperlink ref="D199" r:id="rId391" display="file:///teams/DET/2025.html" xr:uid="{49D78E9E-6CE7-D04C-BA2A-03159456F0A6}"/>
    <hyperlink ref="B200" r:id="rId392" display="file:///players/j/jaqueja01.html" xr:uid="{52EE415C-30CF-9045-8C11-266FFEAFB910}"/>
    <hyperlink ref="D200" r:id="rId393" display="file:///teams/MIA/2025.html" xr:uid="{1622BF87-32FD-A247-8A05-C8E4FD150CD5}"/>
    <hyperlink ref="B201" r:id="rId394" display="file:///players/j/jovicni01.html" xr:uid="{BAC6931A-9407-C949-8A5C-C2809A95DC41}"/>
    <hyperlink ref="D201" r:id="rId395" display="file:///teams/MIA/2025.html" xr:uid="{6A470E7F-B3D6-E346-83C9-F7F76C33D5DA}"/>
    <hyperlink ref="B202" r:id="rId396" display="file:///players/n/nancela02.html" xr:uid="{BE056355-852D-3741-AF8A-A59620FF8853}"/>
    <hyperlink ref="D202" r:id="rId397" display="file:///teams/ATL/2025.html" xr:uid="{4BEF66BE-C76B-534F-B40E-D01764B11E72}"/>
    <hyperlink ref="B203" r:id="rId398" display="file:///players/s/strawju01.html" xr:uid="{14FDCB1C-6502-CA4B-93CE-C9FE49C8240E}"/>
    <hyperlink ref="D203" r:id="rId399" display="file:///teams/DEN/2025.html" xr:uid="{554208E0-8F65-124C-8DA6-C3DA1C80FD03}"/>
    <hyperlink ref="B204" r:id="rId400" display="file:///players/w/whitmca01.html" xr:uid="{87853315-2E12-6243-891F-923FFDA6C50F}"/>
    <hyperlink ref="D204" r:id="rId401" display="file:///teams/HOU/2025.html" xr:uid="{4268B4C3-8003-164A-B4C2-51F37DB46E65}"/>
    <hyperlink ref="B205" r:id="rId402" display="file:///players/c/clownno01.html" xr:uid="{BCC0E28E-05E7-1F4B-81B3-03501F9F140A}"/>
    <hyperlink ref="D205" r:id="rId403" display="file:///teams/BRK/2025.html" xr:uid="{F88C095C-B362-3942-AE1A-717E5F57407C}"/>
    <hyperlink ref="B206" r:id="rId404" display="file:///players/s/sensabr01.html" xr:uid="{DDDAAF42-593E-BD49-B814-3A941174D3B8}"/>
    <hyperlink ref="D206" r:id="rId405" display="file:///teams/UTA/2025.html" xr:uid="{ED4FE8F7-C8A5-3349-9A01-59798C0F0711}"/>
    <hyperlink ref="B207" r:id="rId406" display="file:///players/w/wiggiaa01.html" xr:uid="{353C5366-BCA5-2849-9BB3-0F93D2CCA3DA}"/>
    <hyperlink ref="D207" r:id="rId407" display="file:///teams/OKC/2025.html" xr:uid="{894ACEDC-FF59-674D-8CFE-79CA1E0E9BBD}"/>
    <hyperlink ref="B208" r:id="rId408" display="file:///players/c/caldwke01.html" xr:uid="{23BA0290-8DAA-984A-872E-060C78D0A13C}"/>
    <hyperlink ref="D208" r:id="rId409" display="file:///teams/ORL/2025.html" xr:uid="{7147F04C-626E-8543-AA56-FE5D0A5D645D}"/>
    <hyperlink ref="B209" r:id="rId410" display="file:///players/c/carrica01.html" xr:uid="{E73C32EE-0BF6-8B45-AADD-757A6B637C59}"/>
    <hyperlink ref="D209" r:id="rId411" display="file:///teams/WAS/2025.html" xr:uid="{B2C57899-EEA3-5F45-BFEE-6A12B7AD1CCB}"/>
    <hyperlink ref="B210" r:id="rId412" display="file:///players/h/huertke01.html" xr:uid="{EEA3C709-3134-5248-8B59-78EE163DCA2A}"/>
    <hyperlink ref="D210" r:id="rId413" display="file:///teams/SAC/2025.html" xr:uid="{6F53BA96-D4FC-F545-B00F-69645BEC74F7}"/>
    <hyperlink ref="B211" r:id="rId414" display="file:///players/m/martica02.html" xr:uid="{33878888-3FE7-FF43-AECB-43CFEB5DFBCB}"/>
    <hyperlink ref="D211" r:id="rId415" display="file:///teams/PHI/2025.html" xr:uid="{08A2B6D6-082F-334C-BC33-1AFA8080599B}"/>
    <hyperlink ref="B212" r:id="rId416" display="file:///players/m/missiyv01.html" xr:uid="{CF3AFE3D-EA2E-1D4D-8F73-7FA500E71C60}"/>
    <hyperlink ref="D212" r:id="rId417" display="file:///teams/NOP/2025.html" xr:uid="{CD6D9821-877F-784B-91D0-7193C3D0546C}"/>
    <hyperlink ref="B213" r:id="rId418" display="file:///players/n/nesmiaa01.html" xr:uid="{5E6B25A2-A1BD-B247-9C17-32A13FB6F7FF}"/>
    <hyperlink ref="D213" r:id="rId419" display="file:///teams/IND/2025.html" xr:uid="{11A52B93-510F-5A49-8E20-FB7401093CDE}"/>
    <hyperlink ref="B214" r:id="rId420" display="file:///players/r/richani01.html" xr:uid="{864F8FEB-EADC-064E-8E32-F493BE9FF6C8}"/>
    <hyperlink ref="D214" r:id="rId421" display="file:///teams/CHO/2025.html" xr:uid="{5087C173-F9CA-D045-92EC-AC25713CAC52}"/>
    <hyperlink ref="B215" r:id="rId422" display="file:///players/s/smartma01.html" xr:uid="{30F8B9A6-D8B7-0047-B364-27AC5D1A6B7D}"/>
    <hyperlink ref="D215" r:id="rId423" display="file:///teams/MEM/2025.html" xr:uid="{5A0C19E0-D029-2442-87D3-3A08A2DCA5A1}"/>
    <hyperlink ref="B216" r:id="rId424" display="file:///players/w/willizi02.html" xr:uid="{60A8E1EF-8876-D84A-A019-D863820B1F72}"/>
    <hyperlink ref="D216" r:id="rId425" display="file:///teams/BRK/2025.html" xr:uid="{4FD5B132-8677-2842-94CB-B923826077C3}"/>
    <hyperlink ref="B217" r:id="rId426" display="file:///players/w/wilsoja03.html" xr:uid="{3A1A2065-3CEA-8B45-BF4D-91EB65F280A7}"/>
    <hyperlink ref="D217" r:id="rId427" display="file:///teams/BRK/2025.html" xr:uid="{ADC8E153-E972-F749-B6EF-28F9B52CCC4E}"/>
    <hyperlink ref="B218" r:id="rId428" display="file:///players/l/livelde01.html" xr:uid="{29572990-C2AF-E64A-8588-BAC0BCE043FE}"/>
    <hyperlink ref="D218" r:id="rId429" display="file:///teams/DAL/2025.html" xr:uid="{5CBF7601-5E82-6543-9A59-ACB6F27614E1}"/>
    <hyperlink ref="B219" r:id="rId430" display="file:///players/f/flowetr01.html" xr:uid="{427FC123-B047-0949-B209-050B7C9412CA}"/>
    <hyperlink ref="D219" r:id="rId431" display="file:///teams/LAC/2025.html" xr:uid="{2715EB1F-87DD-C548-9F9F-54FE435457FF}"/>
    <hyperlink ref="B220" r:id="rId432" display="file:///players/h/huffja01.html" xr:uid="{91F32B46-A9CD-E644-9ECB-DCD5E9546E70}"/>
    <hyperlink ref="D220" r:id="rId433" display="file:///teams/MEM/2025.html" xr:uid="{74CDA599-A0DF-DD40-B700-E5C8C901C1D1}"/>
    <hyperlink ref="B221" r:id="rId434" display="file:///players/b/bantoda01.html" xr:uid="{9555C512-4777-EC45-B8E5-0F7BCD49089B}"/>
    <hyperlink ref="D221" r:id="rId435" display="file:///teams/POR/2025.html" xr:uid="{9E8CC3C4-EC6E-D146-8593-7960B12653AD}"/>
    <hyperlink ref="B222" r:id="rId436" display="file:///players/a/alexani01.html" xr:uid="{6AFFFCF7-624C-B149-A6D4-0ECB7CCB737F}"/>
    <hyperlink ref="D222" r:id="rId437" display="file:///teams/MIN/2025.html" xr:uid="{E8E9D042-BC3C-624D-9014-47A48D940FCB}"/>
    <hyperlink ref="B223" r:id="rId438" display="file:///players/d/dasiltr01.html" xr:uid="{0E90BD35-8318-034D-BD4B-E93520CE8571}"/>
    <hyperlink ref="D223" r:id="rId439" display="file:///teams/ORL/2025.html" xr:uid="{BDDF683C-4B89-794F-8C0F-713A8E45D239}"/>
    <hyperlink ref="B224" r:id="rId440" display="file:///players/j/jackstr02.html" xr:uid="{32003860-863E-284D-9012-13E28EB7B934}"/>
    <hyperlink ref="D224" r:id="rId441" display="file:///teams/GSW/2025.html" xr:uid="{0851013F-3F2A-BC4A-A0FF-63EDE9B22BD9}"/>
    <hyperlink ref="B225" r:id="rId442" display="file:///players/w/watsope01.html" xr:uid="{1467723E-F4F0-F448-8EA4-C8DE8CB7D338}"/>
    <hyperlink ref="D225" r:id="rId443" display="file:///teams/DEN/2025.html" xr:uid="{8196AAC3-2BDD-7244-AFA9-47E63D51624E}"/>
    <hyperlink ref="B226" r:id="rId444" display="file:///players/g/greendr01.html" xr:uid="{9562327B-82C3-7C48-9AB0-19745DB00658}"/>
    <hyperlink ref="D226" r:id="rId445" display="file:///teams/GSW/2025.html" xr:uid="{210C92C8-1407-8145-B129-295A025F7419}"/>
    <hyperlink ref="B227" r:id="rId446" display="file:///players/h/horfoal01.html" xr:uid="{9975227C-F24B-4E41-B428-519BBABA5689}"/>
    <hyperlink ref="D227" r:id="rId447" display="file:///teams/BOS/2025.html" xr:uid="{5BA18C46-BF9F-F04C-A738-D98E48C30E27}"/>
    <hyperlink ref="B228" r:id="rId448" display="file:///players/k/kennalu01.html" xr:uid="{129A170C-DA99-024C-A2D9-87692D805F93}"/>
    <hyperlink ref="D228" r:id="rId449" display="file:///teams/MEM/2025.html" xr:uid="{3DF8DE8F-A7FA-134E-8EBE-AF0B01A9A121}"/>
    <hyperlink ref="B229" r:id="rId450" display="file:///players/m/mathega01.html" xr:uid="{BD8E980A-F1C6-6F47-9E8A-3DBCEB29D638}"/>
    <hyperlink ref="D229" r:id="rId451" display="file:///teams/ATL/2025.html" xr:uid="{1C15461F-57AE-804A-8E14-A3531D3E2179}"/>
    <hyperlink ref="B230" r:id="rId452" display="file:///players/n/nurkiju01.html" xr:uid="{19A8EE3C-4D1F-A64B-A99F-4BD15BAF4724}"/>
    <hyperlink ref="D230" r:id="rId453" display="file:///teams/PHO/2025.html" xr:uid="{C58C8F9F-D1E0-974F-893E-F8B2DF010F07}"/>
    <hyperlink ref="B231" r:id="rId454" display="file:///players/n/niangge01.html" xr:uid="{D0B78D4B-FAEC-F74D-B621-79240E30C976}"/>
    <hyperlink ref="D231" r:id="rId455" display="file:///teams/CLE/2025.html" xr:uid="{DE6FA0B4-DB34-C340-9CF7-FE0CF483BB75}"/>
    <hyperlink ref="B232" r:id="rId456" display="file:///players/b/blackan01.html" xr:uid="{FB746AAE-E18D-A94A-9E86-EFAFFC212DAB}"/>
    <hyperlink ref="D232" r:id="rId457" display="file:///teams/ORL/2025.html" xr:uid="{C62A7A0D-334D-C949-8B1E-10669BA8943D}"/>
    <hyperlink ref="B233" r:id="rId458" display="file:///players/n/nowelja01.html" xr:uid="{68275CCE-BAFF-5249-B88B-5E06574BA28B}"/>
    <hyperlink ref="D233" r:id="rId459" display="file:///teams/NOP/2025.html" xr:uid="{DBAD91DA-46B9-FF4C-A7F0-B6690DF43D3A}"/>
    <hyperlink ref="B234" r:id="rId460" display="file:///players/c/cartewe01.html" xr:uid="{338B2FBF-7090-024D-8ECB-6774B12002A4}"/>
    <hyperlink ref="D234" r:id="rId461" display="file:///teams/ORL/2025.html" xr:uid="{FF03DA08-1934-0044-AC92-5DE273F80195}"/>
    <hyperlink ref="B235" r:id="rId462" display="file:///players/w/watfotr01.html" xr:uid="{FFFCFBC2-9823-A548-AB3D-549F0A50C528}"/>
    <hyperlink ref="D235" r:id="rId463" display="file:///teams/BRK/2025.html" xr:uid="{C865A40F-01A5-B24B-A1DB-AD7A82201B55}"/>
    <hyperlink ref="B236" r:id="rId464" display="file:///players/g/greenaj01.html" xr:uid="{2106EC4A-1290-D249-8D24-83C0955B458A}"/>
    <hyperlink ref="D236" r:id="rId465" display="file:///teams/MIL/2025.html" xr:uid="{644C9AF0-5B0B-3B46-B4AA-09E72FBF9DDE}"/>
    <hyperlink ref="B237" r:id="rId466" display="file:///players/h/hardyja02.html" xr:uid="{AB07BBBF-0F42-FE40-AEBA-28BA4924FD42}"/>
    <hyperlink ref="D237" r:id="rId467" display="file:///teams/DAL/2025.html" xr:uid="{37B46C0D-F7F0-E946-B0BC-4655E4BB2D39}"/>
    <hyperlink ref="B238" r:id="rId468" display="file:///players/l/laravja01.html" xr:uid="{74D7D4E4-5F23-1B4E-ACAD-22DAD1A530FA}"/>
    <hyperlink ref="D238" r:id="rId469" display="file:///teams/MEM/2025.html" xr:uid="{54E955B1-4C37-4541-933D-2850C0B17268}"/>
    <hyperlink ref="B239" r:id="rId470" display="file:///players/m/martico01.html" xr:uid="{D92D4C09-E922-664B-9A25-E8F8A4D86934}"/>
    <hyperlink ref="D239" r:id="rId471" display="file:///teams/CHO/2025.html" xr:uid="{A2BAB899-8322-094C-A9AB-350E13B32912}"/>
    <hyperlink ref="B240" r:id="rId472" display="file:///players/s/strusma01.html" xr:uid="{C5BE8D51-B629-A94A-9D9E-CFCFD5E11A9F}"/>
    <hyperlink ref="D240" r:id="rId473" display="file:///teams/CLE/2025.html" xr:uid="{1B23EE91-3D9E-1749-97B1-C0C0EE3CD94F}"/>
    <hyperlink ref="B241" r:id="rId474" display="file:///players/c/chrisma02.html" xr:uid="{CA1DC1CE-CF72-6642-865B-AB27C1D65117}"/>
    <hyperlink ref="D241" r:id="rId475" display="file:///teams/LAL/2025.html" xr:uid="{C5BCC1E5-FD44-784A-963D-3B50C7810FC7}"/>
    <hyperlink ref="B242" r:id="rId476" display="file:///players/c/conlemi01.html" xr:uid="{27F187DD-969F-EC49-A4D1-8C30088669C9}"/>
    <hyperlink ref="D242" r:id="rId477" display="file:///teams/MIN/2025.html" xr:uid="{0835E263-C55D-744B-81E2-62D8ACDB6687}"/>
    <hyperlink ref="B243" r:id="rId478" display="file:///players/j/joeis01.html" xr:uid="{611F5EA8-3A7E-E042-952C-4C89E81BEEB1}"/>
    <hyperlink ref="D243" r:id="rId479" display="file:///teams/OKC/2025.html" xr:uid="{49A25A60-E035-5048-958A-0FA378232C1A}"/>
    <hyperlink ref="B244" r:id="rId480" display="file:///players/m/mykhasv01.html" xr:uid="{7A75F001-CC49-4944-B24B-88A2674BBFC5}"/>
    <hyperlink ref="D244" r:id="rId481" display="file:///teams/UTA/2025.html" xr:uid="{80FAD77D-55D3-C64A-A1CD-BD1E200C5DF3}"/>
    <hyperlink ref="B245" r:id="rId482" display="file:///players/s/smithja04.html" xr:uid="{A4FEEA8E-760B-5340-8C22-E96CE17964F0}"/>
    <hyperlink ref="D245" r:id="rId483" display="file:///teams/CHI/2025.html" xr:uid="{24C47AF9-0CAD-3E4B-BECD-AC16EE90797F}"/>
    <hyperlink ref="B246" r:id="rId484" display="file:///players/e/evbuoto01.html" xr:uid="{7DC6E72B-0206-8C46-9A17-709D39D7A549}"/>
    <hyperlink ref="D246" r:id="rId485" display="file:///teams/BRK/2025.html" xr:uid="{ED77E2B7-D771-9640-A85F-B051666C4457}"/>
    <hyperlink ref="B247" r:id="rId486" display="file:///players/j/johnske07.html" xr:uid="{1AD14645-DADE-C74F-B862-C19187736C86}"/>
    <hyperlink ref="D247" r:id="rId487" display="file:///teams/BRK/2025.html" xr:uid="{5F0A32F5-6C9F-D643-96C9-D073D7F2C5D1}"/>
    <hyperlink ref="B248" r:id="rId488" display="file:///players/m/moodymo01.html" xr:uid="{9367A52E-1A2D-984E-8439-BD653BE57AAF}"/>
    <hyperlink ref="D248" r:id="rId489" display="file:///teams/GSW/2025.html" xr:uid="{9F030FF7-5050-834F-9C88-573B71A600B6}"/>
    <hyperlink ref="B249" r:id="rId490" display="file:///players/p/podzibr01.html" xr:uid="{3093E6E5-37E6-F94C-B325-62B2D69E9ABB}"/>
    <hyperlink ref="D249" r:id="rId491" display="file:///teams/GSW/2025.html" xr:uid="{8E622EF3-1CC0-B14D-AB44-91A3771554AC}"/>
    <hyperlink ref="B250" r:id="rId492" display="file:///players/h/hausesa01.html" xr:uid="{4E631A33-F94D-B644-A69A-44F78CDE1ACF}"/>
    <hyperlink ref="D250" r:id="rId493" display="file:///teams/BOS/2025.html" xr:uid="{6DDB80E5-C75C-9A48-8B55-5591A29BB8DB}"/>
    <hyperlink ref="B251" r:id="rId494" display="file:///players/m/martity01.html" xr:uid="{712E6BA6-6C8A-3D4D-B5FD-5FC0A526394D}"/>
    <hyperlink ref="D251" r:id="rId495" display="file:///teams/BRK/2025.html" xr:uid="{3F1F90D2-ACCA-4F46-9C99-5CE52A53C8D8}"/>
    <hyperlink ref="B252" r:id="rId496" display="file:///players/w/walteja01.html" xr:uid="{413C857D-FD02-3343-9374-B36FD3484F6B}"/>
    <hyperlink ref="D252" r:id="rId497" display="file:///teams/TOR/2025.html" xr:uid="{9AF00692-76DA-6345-8B5F-5AFB4DF74D7D}"/>
    <hyperlink ref="B253" r:id="rId498" display="file:///players/c/clarkbr01.html" xr:uid="{E87899FE-04ED-704B-A442-C7C2147EE01D}"/>
    <hyperlink ref="D253" r:id="rId499" display="file:///teams/MEM/2025.html" xr:uid="{15E61F0D-C55A-AD48-B04E-47554B9C84D5}"/>
    <hyperlink ref="B254" r:id="rId500" display="file:///players/j/jeffrda01.html" xr:uid="{3BB9C663-DC61-4942-A14B-D7B61B5DC90C}"/>
    <hyperlink ref="D254" r:id="rId501" display="file:///teams/CHO/2025.html" xr:uid="{9424DA48-8566-1844-A86D-B3A8E7664DB5}"/>
    <hyperlink ref="B255" r:id="rId502" display="file:///players/t/thompau01.html" xr:uid="{9FC992B4-549D-B845-B9D1-00E39797E6A5}"/>
    <hyperlink ref="D255" r:id="rId503" display="file:///teams/DET/2025.html" xr:uid="{3885732F-A3A3-E74B-A74B-6C57B29DDB7B}"/>
    <hyperlink ref="B256" r:id="rId504" display="file:///players/j/juzanjo01.html" xr:uid="{4112E5FF-CC58-2E46-ACB3-ABEC218AB625}"/>
    <hyperlink ref="D256" r:id="rId505" display="file:///teams/UTA/2025.html" xr:uid="{0AA8A48F-2A71-844D-9C33-17B11991444D}"/>
    <hyperlink ref="B257" r:id="rId506" display="file:///players/p/princta02.html" xr:uid="{612DF423-7211-BF49-AAE3-15F39BC04CDF}"/>
    <hyperlink ref="D257" r:id="rId507" display="file:///teams/MIL/2025.html" xr:uid="{B6DC7E5C-5468-0D48-8021-DC34758283DA}"/>
    <hyperlink ref="B258" r:id="rId508" display="file:///players/s/sharpda01.html" xr:uid="{4E426299-76A5-2545-BEED-4D56DC2BE054}"/>
    <hyperlink ref="D258" r:id="rId509" display="file:///teams/BRK/2025.html" xr:uid="{28F0BBAE-D384-AF47-BDAC-CFFB03FC7BD6}"/>
    <hyperlink ref="B259" r:id="rId510" display="file:///players/g/greenjo02.html" xr:uid="{41F32FE1-869C-2D49-924F-315B25469855}"/>
    <hyperlink ref="D259" r:id="rId511" display="file:///teams/CHO/2025.html" xr:uid="{C2F4615D-C40D-2041-9264-802D55322D1B}"/>
    <hyperlink ref="B260" r:id="rId512" display="file:///players/a/anthoco01.html" xr:uid="{CAE50727-F531-7045-A569-F18D275B5108}"/>
    <hyperlink ref="D260" r:id="rId513" display="file:///teams/ORL/2025.html" xr:uid="{81CCD549-D1E0-0F4F-887E-C1A888B80E78}"/>
    <hyperlink ref="B261" r:id="rId514" display="file:///players/e/elliske01.html" xr:uid="{02E2C0E1-0BF1-6044-B4DF-EE67F8D6B022}"/>
    <hyperlink ref="D261" r:id="rId515" display="file:///teams/SAC/2025.html" xr:uid="{D05451AA-A7D9-1D44-8944-5CDE3B0D4A94}"/>
    <hyperlink ref="B262" r:id="rId516" display="file:///players/m/micicva01.html" xr:uid="{0F68351E-FF79-924F-98B7-DE59327BF267}"/>
    <hyperlink ref="D262" r:id="rId517" display="file:///teams/CHO/2025.html" xr:uid="{559D0A02-4C75-2944-97BD-CC3293F3701E}"/>
    <hyperlink ref="B263" r:id="rId518" display="file:///players/d/drumman01.html" xr:uid="{365887BB-3E96-0B47-A66E-91B23B176813}"/>
    <hyperlink ref="D263" r:id="rId519" display="file:///teams/PHI/2025.html" xr:uid="{005ABB46-8B38-0E4C-9015-EA3E6B9B0934}"/>
    <hyperlink ref="B264" r:id="rId520" display="file:///players/h/hylanbo01.html" xr:uid="{EAC1547D-7BF6-804A-8EE9-B08D4FC5772B}"/>
    <hyperlink ref="D264" r:id="rId521" display="file:///teams/LAC/2025.html" xr:uid="{741DF98C-91A7-C14A-AE91-6B254ECBA5D6}"/>
    <hyperlink ref="B265" r:id="rId522" display="file:///players/j/jacksis01.html" xr:uid="{BCD383CD-D7EC-BE40-8DE5-2E24089CD274}"/>
    <hyperlink ref="D265" r:id="rId523" display="file:///teams/IND/2025.html" xr:uid="{522EDBAA-DFBB-8042-A201-E2562484743D}"/>
    <hyperlink ref="B266" r:id="rId524" display="file:///players/l/lylestr01.html" xr:uid="{3F9E870C-2C15-FB41-9D5A-F05BD89DB811}"/>
    <hyperlink ref="D266" r:id="rId525" display="file:///teams/SAC/2025.html" xr:uid="{1C737566-BDC0-4F45-AC98-5D97E30B8A43}"/>
    <hyperlink ref="B267" r:id="rId526" display="file:///players/c/craigto01.html" xr:uid="{7D46B9E0-8887-8840-A0DD-6E29A9843465}"/>
    <hyperlink ref="D267" r:id="rId527" display="file:///teams/CHI/2025.html" xr:uid="{A693E5BF-2C24-7947-A34B-95E793D943E4}"/>
    <hyperlink ref="B268" r:id="rId528" display="file:///players/g/georgky01.html" xr:uid="{A3A94FE7-6B6E-914B-B99D-69B320928C11}"/>
    <hyperlink ref="D268" r:id="rId529" display="file:///teams/WAS/2025.html" xr:uid="{4ABE48C0-6AA0-D745-8254-BEC5777D11E6}"/>
    <hyperlink ref="B269" r:id="rId530" display="file:///players/h/highsha01.html" xr:uid="{5203667A-DD07-3B4B-BCED-2D5CD7FE2969}"/>
    <hyperlink ref="D269" r:id="rId531" display="file:///teams/MIA/2025.html" xr:uid="{DA7AE212-EB6F-2143-B149-F2C02FA77F9D}"/>
    <hyperlink ref="B270" r:id="rId532" display="file:///players/m/merrisa01.html" xr:uid="{9C7ED27B-5C07-0941-9B5A-2E6388852926}"/>
    <hyperlink ref="D270" r:id="rId533" display="file:///teams/CLE/2025.html" xr:uid="{574ABF1B-E5BC-EA42-9625-2E21D9859042}"/>
    <hyperlink ref="B271" r:id="rId534" display="file:///players/w/wallaca01.html" xr:uid="{F0952693-0866-5E4A-B859-369BA7D92941}"/>
    <hyperlink ref="D271" r:id="rId535" display="file:///teams/OKC/2025.html" xr:uid="{3C624FDB-637B-1042-B110-1D8D4554BB85}"/>
    <hyperlink ref="B272" r:id="rId536" display="file:///players/m/miltosh01.html" xr:uid="{93D27440-64E3-5B43-9DF4-29AB9D956939}"/>
    <hyperlink ref="B273" r:id="rId537" display="file:///players/m/miltosh01.html" xr:uid="{9BB5216B-47D4-B649-8673-AF96B44BD785}"/>
    <hyperlink ref="D273" r:id="rId538" display="file:///teams/BRK/2025.html" xr:uid="{345BD543-5192-F040-AB91-F59B3C9A8940}"/>
    <hyperlink ref="B274" r:id="rId539" display="file:///players/m/miltosh01.html" xr:uid="{EB3A787C-D50B-6D44-8449-EBF9DD5FD33F}"/>
    <hyperlink ref="D274" r:id="rId540" display="file:///teams/LAL/2025.html" xr:uid="{65001166-967A-734A-9D8B-39F5CCF11228}"/>
    <hyperlink ref="B275" r:id="rId541" display="file:///players/d/dunnry01.html" xr:uid="{2D93F826-4D49-714F-A26B-28BFC181843E}"/>
    <hyperlink ref="D275" r:id="rId542" display="file:///teams/PHO/2025.html" xr:uid="{C15F91E4-BE22-6A40-811E-60631660D885}"/>
    <hyperlink ref="B276" r:id="rId543" display="file:///players/f/fontesi01.html" xr:uid="{6F78372D-8836-EE45-88A1-6CFA25A95B2A}"/>
    <hyperlink ref="D276" r:id="rId544" display="file:///teams/DET/2025.html" xr:uid="{8D1123F9-37B2-414A-B7AB-AA2756551000}"/>
    <hyperlink ref="B277" r:id="rId545" display="file:///players/b/butleja02.html" xr:uid="{A10D1D88-8C0B-7948-BE92-C399A0FE9327}"/>
    <hyperlink ref="D277" r:id="rId546" display="file:///teams/WAS/2025.html" xr:uid="{17121F8A-89A7-3547-A2C1-B1D53BEEB1F7}"/>
    <hyperlink ref="B278" r:id="rId547" display="file:///players/p/payneca01.html" xr:uid="{CE8D3C8A-EE61-4F45-8C8E-A773B8932ABA}"/>
    <hyperlink ref="D278" r:id="rId548" display="file:///teams/NYK/2025.html" xr:uid="{E9EFC14C-2CB1-0D41-92A9-D5B24C5467E5}"/>
    <hyperlink ref="B279" r:id="rId549" display="file:///players/p/paytoel01.html" xr:uid="{8AAA3BFE-402C-2C4B-8CF3-5C2FDCEE33F8}"/>
    <hyperlink ref="D279" r:id="rId550" display="file:///teams/NOP/2025.html" xr:uid="{3217471A-A833-B44E-A4DD-4CE64DF96BFE}"/>
    <hyperlink ref="B280" r:id="rId551" display="file:///players/h/hollaro01.html" xr:uid="{D7C08772-FCE4-7842-ADDD-683201006715}"/>
    <hyperlink ref="D280" r:id="rId552" display="file:///teams/DET/2025.html" xr:uid="{ABEA249B-2105-F046-9FCE-25C2A74D5542}"/>
    <hyperlink ref="B281" r:id="rId553" display="file:///players/w/walkeja02.html" xr:uid="{F4CED2F2-441C-8C4A-AECD-964CCA023073}"/>
    <hyperlink ref="D281" r:id="rId554" display="file:///teams/IND/2025.html" xr:uid="{1DB1101C-2344-3247-AB5C-B3B62EB8A2A4}"/>
    <hyperlink ref="B282" r:id="rId555" display="file:///players/w/williro04.html" xr:uid="{2F8C50D6-D751-E44F-9677-EBDFC8C7ECA2}"/>
    <hyperlink ref="D282" r:id="rId556" display="file:///teams/POR/2025.html" xr:uid="{FE1F84BB-DE9E-5C45-9988-CA60AF436AF2}"/>
    <hyperlink ref="B283" r:id="rId557" display="file:///players/d/dunnkr01.html" xr:uid="{1852D500-3330-EA4D-A1E1-02669770D4A7}"/>
    <hyperlink ref="D283" r:id="rId558" display="file:///teams/LAC/2025.html" xr:uid="{DDA39744-CEA0-314D-8343-7C4EA116AFC7}"/>
    <hyperlink ref="B284" r:id="rId559" display="file:///players/m/martike04.html" xr:uid="{871CAB37-9616-A64E-9B7D-062132B84446}"/>
    <hyperlink ref="D284" r:id="rId560" display="file:///teams/PHI/2025.html" xr:uid="{EE195FB2-AD14-C44F-AA14-BF43FA6CEC4C}"/>
    <hyperlink ref="B285" r:id="rId561" display="file:///players/m/mitchaj01.html" xr:uid="{4E287D40-D356-E644-9880-827A4530F103}"/>
    <hyperlink ref="D285" r:id="rId562" display="file:///teams/OKC/2025.html" xr:uid="{B2705D0C-58F8-174D-A09F-FF68552B6694}"/>
    <hyperlink ref="B286" r:id="rId563" display="file:///players/o/olynyke01.html" xr:uid="{52A7ACA4-3EE0-8540-8809-EFEAB149DF01}"/>
    <hyperlink ref="D286" r:id="rId564" display="file:///teams/TOR/2025.html" xr:uid="{10A07425-EDB5-F147-829B-302B3F52CC57}"/>
    <hyperlink ref="B287" r:id="rId565" display="file:///players/b/burksal01.html" xr:uid="{321E5475-5EFA-3D49-9161-FF97B37A2EC5}"/>
    <hyperlink ref="D287" r:id="rId566" display="file:///teams/MIA/2025.html" xr:uid="{5134A70F-59B7-1C4A-8101-269D03D7B306}"/>
    <hyperlink ref="B288" r:id="rId567" display="file:///players/h/hortota01.html" xr:uid="{2C5FE5AE-EAB9-8346-BA42-2E575D83F57C}"/>
    <hyperlink ref="D288" r:id="rId568" display="file:///teams/CHI/2025.html" xr:uid="{1B05BEC5-7B5B-014D-9531-C61DE2BE80DD}"/>
    <hyperlink ref="B289" r:id="rId569" display="file:///players/r/robinje02.html" xr:uid="{51771248-7C18-C642-A066-054E00F833D7}"/>
    <hyperlink ref="D289" r:id="rId570" display="file:///teams/NOP/2025.html" xr:uid="{03C93A21-23E0-0E47-8A32-7597E74D4765}"/>
    <hyperlink ref="B290" r:id="rId571" display="file:///players/s/smithdr01.html" xr:uid="{E390ED4B-62E1-CE4D-A3A0-26BE74E8281A}"/>
    <hyperlink ref="D290" r:id="rId572" display="file:///teams/MIA/2025.html" xr:uid="{6B69AAFC-E4C1-6548-B18B-681DBCF34438}"/>
    <hyperlink ref="B291" r:id="rId573" display="file:///players/w/wadede01.html" xr:uid="{1719E22A-BB77-2642-B030-3893BB7AB71F}"/>
    <hyperlink ref="D291" r:id="rId574" display="file:///teams/CLE/2025.html" xr:uid="{E524F262-0504-5F4D-9EFC-D99565083790}"/>
    <hyperlink ref="B292" r:id="rId575" display="file:///players/m/mannte01.html" xr:uid="{8BB9C27A-F748-5B43-8861-6498D7748127}"/>
    <hyperlink ref="D292" r:id="rId576" display="file:///teams/LAC/2025.html" xr:uid="{61CCC3AC-3467-034E-8939-97B9C0EACB74}"/>
    <hyperlink ref="B293" r:id="rId577" display="file:///players/o/okogijo01.html" xr:uid="{77DF5D72-1ABB-0949-B021-6DE58D2315DE}"/>
    <hyperlink ref="D293" r:id="rId578" display="file:///teams/PHO/2025.html" xr:uid="{D1570EE4-A481-D647-94D1-8A405A50BCC8}"/>
    <hyperlink ref="B294" r:id="rId579" display="file:///players/m/mitchda01.html" xr:uid="{C7CD5859-16C6-2F44-852B-1A596F2EB111}"/>
    <hyperlink ref="D294" r:id="rId580" display="file:///teams/TOR/2025.html" xr:uid="{D9125F1D-AF17-CB4A-91E3-087F138D0190}"/>
    <hyperlink ref="B295" r:id="rId581" display="file:///players/w/waterli01.html" xr:uid="{1940D4F0-BCCB-C642-989E-0DC1542B9A67}"/>
    <hyperlink ref="D295" r:id="rId582" display="file:///teams/GSW/2025.html" xr:uid="{739BB6C8-F7B4-5247-81AC-EFCE29A1C5C9}"/>
    <hyperlink ref="B296" r:id="rId583" display="file:///players/w/willike04.html" xr:uid="{86B42E34-5B89-6140-AFCC-2C0086ADF84C}"/>
    <hyperlink ref="D296" r:id="rId584" display="file:///teams/OKC/2025.html" xr:uid="{C85F8870-66CA-3545-862F-00B467C35CD5}"/>
    <hyperlink ref="B297" r:id="rId585" display="file:///players/w/wongis01.html" xr:uid="{8CD95386-7250-CD4F-8A57-CDCEEA173347}"/>
    <hyperlink ref="D297" r:id="rId586" display="file:///teams/CHO/2025.html" xr:uid="{8390CBDB-17A6-9247-BDA6-55AF6616AB0C}"/>
    <hyperlink ref="B298" r:id="rId587" display="file:///players/b/battlja01.html" xr:uid="{3AC4DB21-F5C8-A54E-8455-0C823D6CFE60}"/>
    <hyperlink ref="D298" r:id="rId588" display="file:///teams/TOR/2025.html" xr:uid="{2D44BED1-4649-4647-97DD-D46342D78240}"/>
    <hyperlink ref="B299" r:id="rId589" display="file:///players/c/cartede02.html" xr:uid="{A99AF6FA-E045-8C4F-85EE-181B7D9CE925}"/>
    <hyperlink ref="D299" r:id="rId590" display="file:///teams/SAC/2025.html" xr:uid="{8AAFC180-5CDC-9846-9D3D-D55C3B7E0735}"/>
    <hyperlink ref="B300" r:id="rId591" display="file:///players/g/greenja02.html" xr:uid="{6399CC7B-7BA6-2141-96EB-1F48E2B65597}"/>
    <hyperlink ref="D300" r:id="rId592" display="file:///teams/NOP/2025.html" xr:uid="{345D240B-06BA-A74C-97B3-90D7C2227D9E}"/>
    <hyperlink ref="B301" r:id="rId593" display="file:///players/o/okorois01.html" xr:uid="{4266E063-75DA-2843-8EB5-44FD27E6ECD9}"/>
    <hyperlink ref="D301" r:id="rId594" display="file:///teams/CLE/2025.html" xr:uid="{C369C9FD-0C92-3C43-9B2A-9012C2F8FBA7}"/>
    <hyperlink ref="B302" r:id="rId595" display="file:///players/w/wisemja01.html" xr:uid="{16BA23E8-A05E-E348-A4EB-5384450C3549}"/>
    <hyperlink ref="D302" r:id="rId596" display="file:///teams/IND/2025.html" xr:uid="{9A5005DF-729B-0941-BA7C-09BD55A2E600}"/>
    <hyperlink ref="B303" r:id="rId597" display="file:///players/l/loveke01.html" xr:uid="{AD16D6E8-7185-0C41-A4BD-A027A5354F6A}"/>
    <hyperlink ref="D303" r:id="rId598" display="file:///teams/MIA/2025.html" xr:uid="{A5DB176C-C8C4-5045-A737-6C3074D28989}"/>
    <hyperlink ref="B304" r:id="rId599" display="file:///players/s/simmobe01.html" xr:uid="{932535B3-C93A-5640-9B01-EE82869D6286}"/>
    <hyperlink ref="D304" r:id="rId600" display="file:///teams/BRK/2025.html" xr:uid="{560CC82F-B9E3-8046-977B-4AC382FC24B6}"/>
    <hyperlink ref="B305" r:id="rId601" display="file:///players/f/filipky01.html" xr:uid="{EF0FAC24-49AB-5949-B404-487244C25B71}"/>
    <hyperlink ref="D305" r:id="rId602" display="file:///teams/UTA/2025.html" xr:uid="{38A26C4D-E599-A347-8C2E-12C0F656D2F5}"/>
    <hyperlink ref="B306" r:id="rId603" display="file:///players/i/isaacjo01.html" xr:uid="{AA34BDDF-5C53-674B-8DAB-1012ADBD664B}"/>
    <hyperlink ref="D306" r:id="rId604" display="file:///teams/ORL/2025.html" xr:uid="{73331AE4-5F16-B541-AFC2-7DAAB6FA2BB7}"/>
    <hyperlink ref="B307" r:id="rId605" display="file:///players/s/sassema01.html" xr:uid="{DF34E435-7A31-D84C-A161-C0F3CC6D335D}"/>
    <hyperlink ref="D307" r:id="rId606" display="file:///teams/DET/2025.html" xr:uid="{10D6589A-10F6-4E4B-B828-58AA0307E5E4}"/>
    <hyperlink ref="B308" r:id="rId607" display="file:///players/s/stewais01.html" xr:uid="{4BA49BA2-B35B-2E48-B9F0-C0F9DD4B07BF}"/>
    <hyperlink ref="D308" r:id="rId608" display="file:///teams/DET/2025.html" xr:uid="{0CF6F887-0AFB-E04C-AB55-0C63DF41E1FC}"/>
    <hyperlink ref="B309" r:id="rId609" display="file:///players/w/wareke01.html" xr:uid="{F5A2D9E6-4E88-B14D-A002-E3B87E228385}"/>
    <hyperlink ref="D309" r:id="rId610" display="file:///teams/MIA/2025.html" xr:uid="{8EF4FFC5-DA20-D049-B198-D66FA8F2B901}"/>
    <hyperlink ref="B310" r:id="rId611" display="file:///players/j/jacksqu01.html" xr:uid="{C99484E3-0717-B849-8ECB-2E5086427545}"/>
    <hyperlink ref="D310" r:id="rId612" display="file:///teams/IND/2025.html" xr:uid="{EAA3C9BF-D11A-C845-87FF-CFC414B1541B}"/>
    <hyperlink ref="B311" r:id="rId613" display="file:///players/m/millejo02.html" xr:uid="{F474FFED-D96B-184D-9007-883F23C2F84D}"/>
    <hyperlink ref="D311" r:id="rId614" display="file:///teams/LAC/2025.html" xr:uid="{18D150E6-5836-964D-ABC5-DB25A7F42A32}"/>
    <hyperlink ref="B312" r:id="rId615" display="file:///players/a/achiupr01.html" xr:uid="{2D3B7B51-DF43-D340-8FE4-F208300804A4}"/>
    <hyperlink ref="D312" r:id="rId616" display="file:///teams/NYK/2025.html" xr:uid="{6135B0D1-08A5-1D40-A112-C868D6ADD5BB}"/>
    <hyperlink ref="B313" r:id="rId617" display="file:///players/c/clingdo01.html" xr:uid="{3029B5CA-A7B9-7D46-BE22-5C36E7F93680}"/>
    <hyperlink ref="D313" r:id="rId618" display="file:///teams/POR/2025.html" xr:uid="{6B403E74-3DEF-D847-BBCD-BD4342A2AB5C}"/>
    <hyperlink ref="B314" r:id="rId619" display="file:///players/q/quetane01.html" xr:uid="{30C45781-BB1D-C14F-96DF-FE90711216FA}"/>
    <hyperlink ref="D314" r:id="rId620" display="file:///teams/BOS/2025.html" xr:uid="{DF31C081-825A-B044-9A97-B853FA150C44}"/>
    <hyperlink ref="B315" r:id="rId621" display="file:///players/b/branhma01.html" xr:uid="{45646E8A-B1A1-1A42-B0D8-7745466380E5}"/>
    <hyperlink ref="D315" r:id="rId622" display="file:///teams/SAS/2025.html" xr:uid="{35E3AF15-B0A0-F141-9A7E-30374FA142EC}"/>
    <hyperlink ref="B316" r:id="rId623" display="file:///players/c/carusal01.html" xr:uid="{E058F0F5-CD85-8149-B017-721325658E91}"/>
    <hyperlink ref="D316" r:id="rId624" display="file:///teams/OKC/2025.html" xr:uid="{F4F57E05-7C82-8A45-B9F6-B498C8640140}"/>
    <hyperlink ref="B317" r:id="rId625" display="file:///players/c/councri01.html" xr:uid="{F19775F0-0C6B-FE40-AE06-FD247810DE35}"/>
    <hyperlink ref="D317" r:id="rId626" display="file:///teams/PHI/2025.html" xr:uid="{09E04E62-70C0-774F-B0E2-4DF74EEE043A}"/>
    <hyperlink ref="B318" r:id="rId627" display="file:///players/m/morrimo01.html" xr:uid="{FDFAD3CC-3772-A94F-AAB9-B89CAB9506C3}"/>
    <hyperlink ref="D318" r:id="rId628" display="file:///teams/PHO/2025.html" xr:uid="{1C5D1980-0166-CB4B-8136-D149BE58217B}"/>
    <hyperlink ref="B319" r:id="rId629" display="file:///players/s/sheppbe01.html" xr:uid="{32C863D5-1BC1-1546-91F6-22EF6B7AFF30}"/>
    <hyperlink ref="D319" r:id="rId630" display="file:///teams/IND/2025.html" xr:uid="{EA5C761E-6AFB-604E-97E7-F5F373D218DF}"/>
    <hyperlink ref="B320" r:id="rId631" display="file:///players/b/bryanth01.html" xr:uid="{249F61FD-21B9-9348-8FAC-C3971E1871EF}"/>
    <hyperlink ref="B321" r:id="rId632" display="file:///players/b/bryanth01.html" xr:uid="{6036F2CC-7612-6B4E-94FA-BD1D59D824DC}"/>
    <hyperlink ref="D321" r:id="rId633" display="file:///teams/MIA/2025.html" xr:uid="{30764FFC-1E4D-F940-B4F9-E0DCC2258CAA}"/>
    <hyperlink ref="B322" r:id="rId634" display="file:///players/b/bryanth01.html" xr:uid="{D350E15D-76B1-1E42-AA1F-60998040DFC3}"/>
    <hyperlink ref="D322" r:id="rId635" display="file:///teams/IND/2025.html" xr:uid="{07A7491C-CC01-0F42-8B8A-B4D5EA1786B4}"/>
    <hyperlink ref="B323" r:id="rId636" display="file:///players/b/balllo01.html" xr:uid="{A1B76DA9-E6D3-5646-BC56-3F1491FCCB78}"/>
    <hyperlink ref="D323" r:id="rId637" display="file:///teams/CHI/2025.html" xr:uid="{6745FEF7-1FF8-AB46-AEBE-0FC9CDF39DBB}"/>
    <hyperlink ref="B324" r:id="rId638" display="file:///players/b/brownbr01.html" xr:uid="{7426347A-D9CD-DC48-BD10-CFA0A1CF4929}"/>
    <hyperlink ref="D324" r:id="rId639" display="file:///teams/TOR/2025.html" xr:uid="{3D1C4183-3844-7949-A74A-E1B1B4A12C03}"/>
    <hyperlink ref="B325" r:id="rId640" display="file:///players/b/bufkiko01.html" xr:uid="{2898B82C-EFF1-0D42-BC65-A87DCDAE2103}"/>
    <hyperlink ref="D325" r:id="rId641" display="file:///teams/ATL/2025.html" xr:uid="{D777CBF0-2BC5-C24A-AF35-00FE4F877350}"/>
    <hyperlink ref="B326" r:id="rId642" display="file:///players/c/colliza01.html" xr:uid="{E71333D8-0F18-704B-904B-7C706C1B4F50}"/>
    <hyperlink ref="D326" r:id="rId643" display="file:///teams/SAS/2025.html" xr:uid="{307A2B79-AD31-104B-96BD-8BB2A2B16B91}"/>
    <hyperlink ref="B327" r:id="rId644" display="file:///players/g/gordoer01.html" xr:uid="{3AD58F9D-9501-2745-B574-220110CF9093}"/>
    <hyperlink ref="D327" r:id="rId645" display="file:///teams/PHI/2025.html" xr:uid="{ACB62725-801D-9E41-85F6-4A2E4687AD41}"/>
    <hyperlink ref="B328" r:id="rId646" display="file:///players/h/hayesja02.html" xr:uid="{07F21FD8-8AC7-2244-8A53-8D01069AB31E}"/>
    <hyperlink ref="D328" r:id="rId647" display="file:///teams/LAL/2025.html" xr:uid="{7337EF75-6950-9342-A410-41ECF7D7E136}"/>
    <hyperlink ref="B329" r:id="rId648" display="file:///players/q/queentr01.html" xr:uid="{D062907C-5CA5-BD4D-86F8-B5F83D674414}"/>
    <hyperlink ref="D329" r:id="rId649" display="file:///teams/ORL/2025.html" xr:uid="{F682D1A7-DA60-1A45-9E84-70DEF453B13A}"/>
    <hyperlink ref="B330" r:id="rId650" display="file:///players/w/willivi01.html" xr:uid="{2E1718B9-C67B-564C-B5A6-A61D1B05E8A4}"/>
    <hyperlink ref="D330" r:id="rId651" display="file:///teams/MEM/2025.html" xr:uid="{B5FEE6F7-640B-A046-B8DA-A594C2BDADF9}"/>
    <hyperlink ref="B331" r:id="rId652" display="file:///players/c/curryse01.html" xr:uid="{231B0A1C-536E-014C-9B58-C247532C147C}"/>
    <hyperlink ref="D331" r:id="rId653" display="file:///teams/CHO/2025.html" xr:uid="{8D9C6A86-7AD7-F74E-A7AC-816F62997E73}"/>
    <hyperlink ref="B332" r:id="rId654" display="file:///players/r/roddyda01.html" xr:uid="{179F1FF7-507B-E049-A4AB-68C9042682E9}"/>
    <hyperlink ref="D332" r:id="rId655" display="file:///teams/ATL/2025.html" xr:uid="{192D56A4-D16A-D643-B0DF-7AB4E4BE8CD7}"/>
    <hyperlink ref="B333" r:id="rId656" display="file:///players/s/sheadja01.html" xr:uid="{36C42D9B-DA50-A84B-9C49-37525E9256C6}"/>
    <hyperlink ref="D333" r:id="rId657" display="file:///teams/TOR/2025.html" xr:uid="{F0B88F43-181D-6245-8138-7AC4B84EA952}"/>
    <hyperlink ref="B334" r:id="rId658" display="file:///players/l/looneke01.html" xr:uid="{A7BF5323-BFC1-BA47-9E2B-10D03274D396}"/>
    <hyperlink ref="D334" r:id="rId659" display="file:///teams/GSW/2025.html" xr:uid="{D62E4634-E828-B443-A528-934FAE077CFB}"/>
    <hyperlink ref="B335" r:id="rId660" display="file:///players/m/mogbojo01.html" xr:uid="{BFD6332D-EC19-714F-8054-7CE065341FBF}"/>
    <hyperlink ref="D335" r:id="rId661" display="file:///teams/TOR/2025.html" xr:uid="{A501FF6D-1D80-1541-B6DE-207881A79D8A}"/>
    <hyperlink ref="B336" r:id="rId662" display="file:///players/a/anderky01.html" xr:uid="{83F6E327-5D3A-CC4D-A501-7EBF6386676A}"/>
    <hyperlink ref="D336" r:id="rId663" display="file:///teams/GSW/2025.html" xr:uid="{B4D0CD3A-7553-1E43-90F2-66336AAC716C}"/>
    <hyperlink ref="B337" r:id="rId664" display="file:///players/c/chrisca02.html" xr:uid="{46DA7AB4-9964-F448-81B6-5DB52EDA23B6}"/>
    <hyperlink ref="D337" r:id="rId665" display="file:///teams/LAC/2025.html" xr:uid="{A29BF70A-6019-2049-AF86-89A894C90332}"/>
    <hyperlink ref="B338" r:id="rId666" display="file:///players/s/salauti01.html" xr:uid="{D1F97C28-7793-3340-A449-EE758BE6B126}"/>
    <hyperlink ref="D338" r:id="rId667" display="file:///teams/CHO/2025.html" xr:uid="{B9828E1E-D4F3-1642-BB98-9E82EF0FB60B}"/>
    <hyperlink ref="B339" r:id="rId668" display="file:///players/w/willial06.html" xr:uid="{FBE18ED1-0EE8-AA4F-888E-7DF19AEC44E0}"/>
    <hyperlink ref="D339" r:id="rId669" display="file:///teams/DET/2025.html" xr:uid="{F5375792-EFD5-9E4E-B013-D4E1C017742C}"/>
    <hyperlink ref="B340" r:id="rId670" display="file:///players/b/baglema01.html" xr:uid="{1E62DBB7-D7AB-434C-879C-278159345BCE}"/>
    <hyperlink ref="D340" r:id="rId671" display="file:///teams/WAS/2025.html" xr:uid="{CC415092-45A2-D94E-BC4A-26CF91ABE923}"/>
    <hyperlink ref="B341" r:id="rId672" display="file:///players/e/eubandr01.html" xr:uid="{0E11461A-C445-BD4D-B42A-8C7B791F6A7B}"/>
    <hyperlink ref="D341" r:id="rId673" display="file:///teams/UTA/2025.html" xr:uid="{8D409033-8199-544F-9E3B-558CE35763C4}"/>
    <hyperlink ref="B342" r:id="rId674" display="file:///players/h/howarje01.html" xr:uid="{7F6BCBF9-9A05-CD4B-A87F-3CA5782BC7CE}"/>
    <hyperlink ref="D342" r:id="rId675" display="file:///teams/ORL/2025.html" xr:uid="{B436EF72-A6F5-DA4E-940B-C4E7D1D2DA32}"/>
    <hyperlink ref="B343" r:id="rId676" display="file:///players/r/reedpa01.html" xr:uid="{AE64C394-A61A-5F4A-8A42-0350E34E680D}"/>
    <hyperlink ref="D343" r:id="rId677" display="file:///teams/DET/2025.html" xr:uid="{072C253F-DF09-5F4D-B828-D9DCA1E631A6}"/>
    <hyperlink ref="B344" r:id="rId678" display="file:///players/b/buzelma01.html" xr:uid="{D5F8EDC5-1A5C-DD48-BC4B-4956E17D4747}"/>
    <hyperlink ref="D344" r:id="rId679" display="file:///teams/CHI/2025.html" xr:uid="{C801BFA6-6348-7844-80CF-6914897B635F}"/>
    <hyperlink ref="B345" r:id="rId680" display="file:///players/h/hendrita01.html" xr:uid="{E73DB073-EA6B-5645-897F-F62A9BF580BB}"/>
    <hyperlink ref="D345" r:id="rId681" display="file:///teams/UTA/2025.html" xr:uid="{D63AD8E1-49ED-1043-89EA-CCA362EAFB32}"/>
    <hyperlink ref="B346" r:id="rId682" display="file:///players/r/reevean01.html" xr:uid="{168669EC-E40E-E14F-8D59-687C1EA1E59E}"/>
    <hyperlink ref="D346" r:id="rId683" display="file:///teams/NOP/2025.html" xr:uid="{F4B309E7-DC91-A74F-B08A-9A901FC25C36}"/>
    <hyperlink ref="B347" r:id="rId684" display="file:///players/w/wallake01.html" xr:uid="{5F8B5929-EE71-5940-BBB9-5F0ABA63A977}"/>
    <hyperlink ref="D347" r:id="rId685" display="file:///teams/ATL/2025.html" xr:uid="{01F17247-FE21-8649-B9F7-A6DE6BFAFE1A}"/>
    <hyperlink ref="B348" r:id="rId686" display="file:///players/k/krejcvi01.html" xr:uid="{5E76E751-2063-DA48-B745-E70E09967D4C}"/>
    <hyperlink ref="D348" r:id="rId687" display="file:///teams/ATL/2025.html" xr:uid="{7D777BD1-37A1-F544-8450-624D1679AF90}"/>
    <hyperlink ref="B349" r:id="rId688" display="file:///players/p/paytoga02.html" xr:uid="{D0D97E35-D4F9-D146-A2A1-05742685EBC7}"/>
    <hyperlink ref="D349" r:id="rId689" display="file:///teams/GSW/2025.html" xr:uid="{EC81D910-AEEE-CB44-AEE5-32A3F6A6610E}"/>
    <hyperlink ref="B350" r:id="rId690" display="file:///players/p/phillju01.html" xr:uid="{1EB538D8-C19F-6C47-984D-5D36B07B77BF}"/>
    <hyperlink ref="D350" r:id="rId691" display="file:///teams/CHI/2025.html" xr:uid="{4A232322-CFFF-A74E-A77E-805CDAE13A88}"/>
    <hyperlink ref="B351" r:id="rId692" display="file:///players/c/connapa01.html" xr:uid="{2087FC38-671E-004F-BC78-FD8D0C5A54E4}"/>
    <hyperlink ref="D351" r:id="rId693" display="file:///teams/MIL/2025.html" xr:uid="{EF2C0C20-89FD-7946-9E8D-89E46C94970A}"/>
    <hyperlink ref="B352" r:id="rId694" display="file:///players/k/kornelu01.html" xr:uid="{49559D71-EB49-FE4B-9EEB-325F44AC79F5}"/>
    <hyperlink ref="D352" r:id="rId695" display="file:///teams/BOS/2025.html" xr:uid="{63EF1F9C-C6BF-324B-8AFC-38CBF408A1F0}"/>
    <hyperlink ref="B353" r:id="rId696" display="file:///players/l/larsspe01.html" xr:uid="{5803A924-8BEA-0543-B93B-8C51B5F27B6E}"/>
    <hyperlink ref="D353" r:id="rId697" display="file:///teams/MIA/2025.html" xr:uid="{F323AA29-377A-894D-8382-071FE72B8211}"/>
    <hyperlink ref="B354" r:id="rId698" display="file:///players/m/mamuksa01.html" xr:uid="{7C319784-94AA-5C43-96F9-C07EB7EB74F8}"/>
    <hyperlink ref="D354" r:id="rId699" display="file:///teams/SAS/2025.html" xr:uid="{DD7E5F38-28CE-B247-A777-DD5ABF7B5955}"/>
    <hyperlink ref="B355" r:id="rId700" display="file:///players/m/millspa02.html" xr:uid="{BA3B3438-F2CC-4A43-9E44-E086CE0E8266}"/>
    <hyperlink ref="D355" r:id="rId701" display="file:///teams/UTA/2025.html" xr:uid="{8F82C5DE-EF0B-9441-8B0B-37146F68E95E}"/>
    <hyperlink ref="B356" r:id="rId702" display="file:///players/r/rolliry01.html" xr:uid="{5EFBD6BF-C08B-824C-986D-2A1D2C4ACA85}"/>
    <hyperlink ref="D356" r:id="rId703" display="file:///teams/MIL/2025.html" xr:uid="{A3048ED1-FBBC-0842-A0BE-D1A3B8BD1B29}"/>
    <hyperlink ref="B357" r:id="rId704" display="file:///players/b/bassech01.html" xr:uid="{C2CCA46B-EAB5-2149-8CF4-54283E9A9DC4}"/>
    <hyperlink ref="D357" r:id="rId705" display="file:///teams/SAS/2025.html" xr:uid="{1E2F466F-6B39-654D-87A9-B30BC719EC66}"/>
    <hyperlink ref="B358" r:id="rId706" display="file:///players/c/cainja01.html" xr:uid="{9F60E4C2-1A1B-984C-80DF-F6B134F14901}"/>
    <hyperlink ref="D358" r:id="rId707" display="file:///teams/NOP/2025.html" xr:uid="{522687E3-338B-8245-88D4-F80EEA51AE6F}"/>
    <hyperlink ref="B359" r:id="rId708" display="file:///players/s/simpskj01.html" xr:uid="{83356C03-8C5C-914F-8CCA-96F3D4C28682}"/>
    <hyperlink ref="D359" r:id="rId709" display="file:///teams/CHO/2025.html" xr:uid="{468B8BA2-FA8E-F04C-A9C5-81B29D3ACA6C}"/>
    <hyperlink ref="B360" r:id="rId710" display="file:///players/s/smithni01.html" xr:uid="{6B06348D-4B70-AF48-81F3-40FD92053B63}"/>
    <hyperlink ref="D360" r:id="rId711" display="file:///teams/CHO/2025.html" xr:uid="{253F02FE-A1FB-E34A-9239-B3DFFD6082E9}"/>
    <hyperlink ref="B361" r:id="rId712" display="file:///players/l/lowryky01.html" xr:uid="{38FCF2A6-8C48-034F-9450-F3F131E73FCF}"/>
    <hyperlink ref="D361" r:id="rId713" display="file:///teams/PHI/2025.html" xr:uid="{DE00757D-0A41-1B4F-A1BF-E7E34F8279EB}"/>
    <hyperlink ref="B362" r:id="rId714" display="file:///players/w/whiteda01.html" xr:uid="{5725999F-C841-A745-9101-4826E4ED2AC5}"/>
    <hyperlink ref="D362" r:id="rId715" display="file:///teams/BRK/2025.html" xr:uid="{A203D215-ED81-CB44-BDDC-C13A5AB1D460}"/>
    <hyperlink ref="B363" r:id="rId716" display="file:///players/m/murrakr01.html" xr:uid="{2C37ED32-19C5-794E-9799-AAE5A465C5B1}"/>
    <hyperlink ref="D363" r:id="rId717" display="file:///teams/POR/2025.html" xr:uid="{ACBBA366-8FD3-A245-BF99-E8593E5038CD}"/>
    <hyperlink ref="B364" r:id="rId718" display="file:///players/v/vincega01.html" xr:uid="{DFD8A2E6-CEA2-7343-923F-FC30DB7AB66D}"/>
    <hyperlink ref="D364" r:id="rId719" display="file:///teams/LAL/2025.html" xr:uid="{F12ECD96-1BEA-B348-A063-34F74594CEAD}"/>
    <hyperlink ref="B365" r:id="rId720" display="file:///players/b/bambamo01.html" xr:uid="{A4E5F650-D4FE-DF45-9D4A-55E76E90EDA7}"/>
    <hyperlink ref="D365" r:id="rId721" display="file:///teams/LAC/2025.html" xr:uid="{9B2B8C44-FC94-BD44-A7C6-C1C70D1AA7F2}"/>
    <hyperlink ref="B366" r:id="rId722" display="file:///players/h/harriga01.html" xr:uid="{2835942B-D016-FD40-B3F0-0E1D593E3965}"/>
    <hyperlink ref="D366" r:id="rId723" display="file:///teams/ORL/2025.html" xr:uid="{A8B4C2E1-BEC8-7946-A121-D745B060A2A6}"/>
    <hyperlink ref="B367" r:id="rId724" display="file:///players/w/willija07.html" xr:uid="{79ABB839-C4AB-624A-B7EF-BE8FB3CE6391}"/>
    <hyperlink ref="D367" r:id="rId725" display="file:///teams/OKC/2025.html" xr:uid="{A424D258-FAA1-A742-B5FB-ABDB4997B49A}"/>
    <hyperlink ref="B368" r:id="rId726" display="file:///players/p/plumlma01.html" xr:uid="{98D690C3-2FA3-654E-A02A-E029172FBB74}"/>
    <hyperlink ref="D368" r:id="rId727" display="file:///teams/PHO/2025.html" xr:uid="{2A642865-3394-8B47-A116-E7181B13B175}"/>
    <hyperlink ref="B369" r:id="rId728" display="file:///players/r/richajo01.html" xr:uid="{5C0D1B23-DF2F-744A-B3D7-96AEC41A3471}"/>
    <hyperlink ref="D369" r:id="rId729" display="file:///teams/MIA/2025.html" xr:uid="{2B4A087E-9890-2B46-AC4A-B74648958A2C}"/>
    <hyperlink ref="B370" r:id="rId730" display="file:///players/s/spencca01.html" xr:uid="{3023FF38-2E5E-1B41-8062-0A8061DA785D}"/>
    <hyperlink ref="D370" r:id="rId731" display="file:///teams/MEM/2025.html" xr:uid="{0E3D42B6-F090-114D-8E31-EEA7882840AA}"/>
    <hyperlink ref="B371" r:id="rId732" display="file:///players/t/thorjt01.html" xr:uid="{EB9101E4-209E-D347-B60A-F4F36F1ACB8F}"/>
    <hyperlink ref="D371" r:id="rId733" display="file:///teams/CLE/2025.html" xr:uid="{42EA90C1-9C3E-2048-ACA6-961AE0E93096}"/>
    <hyperlink ref="B372" r:id="rId734" display="file:///players/g/garzalu01.html" xr:uid="{33753693-5395-AC4F-A1F4-EB97661C5DCE}"/>
    <hyperlink ref="D372" r:id="rId735" display="file:///teams/MIN/2025.html" xr:uid="{5F2CF801-0E90-614A-9EAC-8463C1658524}"/>
    <hyperlink ref="B373" r:id="rId736" display="file:///players/j/jacksre01.html" xr:uid="{5FD2484D-C673-6542-A34C-93BD00DE3BE4}"/>
    <hyperlink ref="D373" r:id="rId737" display="file:///teams/PHI/2025.html" xr:uid="{86C12435-3245-0C49-8C73-5B2299F89E99}"/>
    <hyperlink ref="B374" r:id="rId738" display="file:///players/t/terryda01.html" xr:uid="{4DE9543B-9759-324B-A661-57A3E8C102A8}"/>
    <hyperlink ref="D374" r:id="rId739" display="file:///teams/CHI/2025.html" xr:uid="{23245E28-D276-4748-BB8E-B3F5AC201276}"/>
    <hyperlink ref="B375" r:id="rId740" display="file:///players/t/theisda01.html" xr:uid="{235C2512-1C5A-3343-A6A2-46D68209DE30}"/>
    <hyperlink ref="D375" r:id="rId741" display="file:///teams/NOP/2025.html" xr:uid="{4145E924-097B-AE49-BFE9-550E7DF3C095}"/>
    <hyperlink ref="B376" r:id="rId742" display="file:///players/h/holidaa01.html" xr:uid="{F9C1F164-5A61-EC44-B2AB-BD3B0E770E02}"/>
    <hyperlink ref="D376" r:id="rId743" display="file:///teams/HOU/2025.html" xr:uid="{CF44CB35-902C-6542-B786-6BEB325E9FFB}"/>
    <hyperlink ref="B377" r:id="rId744" display="file:///players/i/ighodos01.html" xr:uid="{B826F7AA-C619-E54F-AC3C-76C0113FE9F7}"/>
    <hyperlink ref="D377" r:id="rId745" display="file:///teams/PHO/2025.html" xr:uid="{FA642984-FA0F-6948-AF1A-112901C7BA22}"/>
    <hyperlink ref="B378" r:id="rId746" display="file:///players/t/tateja01.html" xr:uid="{AECFFC78-88EF-F547-BB61-61168FCC729E}"/>
    <hyperlink ref="D378" r:id="rId747" display="file:///teams/HOU/2025.html" xr:uid="{D6F5A4FE-15ED-BE45-BE7A-04AEA2204641}"/>
    <hyperlink ref="B379" r:id="rId748" display="file:///players/d/dilliro01.html" xr:uid="{C72E1C3F-E723-DF47-88E3-08C01214163C}"/>
    <hyperlink ref="D379" r:id="rId749" display="file:///teams/MIN/2025.html" xr:uid="{21158473-2F42-2442-9C15-B6DA994A3904}"/>
    <hyperlink ref="B380" r:id="rId750" display="file:///players/w/weslebl01.html" xr:uid="{05CAA785-78A6-634E-BD9E-6D7A2FC31633}"/>
    <hyperlink ref="D380" r:id="rId751" display="file:///teams/SAS/2025.html" xr:uid="{7DBA9C62-2848-2A43-800B-524DB3B7A058}"/>
    <hyperlink ref="B381" r:id="rId752" display="file:///players/j/jacksan01.html" xr:uid="{F1D74A9F-DF92-3B43-9755-A162862ECD54}"/>
    <hyperlink ref="D381" r:id="rId753" display="file:///teams/MIL/2025.html" xr:uid="{5C4BC70B-6595-7E46-8158-925EEBE0BB06}"/>
    <hyperlink ref="B382" r:id="rId754" display="file:///players/j/jonesis01.html" xr:uid="{81DB3893-73AE-F947-BFAD-ADAD7B7CA280}"/>
    <hyperlink ref="D382" r:id="rId755" display="file:///teams/SAC/2025.html" xr:uid="{F2776582-88E8-4242-8833-263C4C11414B}"/>
    <hyperlink ref="B383" r:id="rId756" display="file:///players/j/jonestr01.html" xr:uid="{72DB0689-96B5-F04F-93C1-CB01E887849C}"/>
    <hyperlink ref="D383" r:id="rId757" display="file:///teams/SAS/2025.html" xr:uid="{2044720C-0D74-AE45-993C-E45B6DAF31A9}"/>
    <hyperlink ref="B384" r:id="rId758" display="file:///players/m/mcderdo01.html" xr:uid="{F223FE7E-A317-5C47-8D8B-D90C46FA68C1}"/>
    <hyperlink ref="D384" r:id="rId759" display="file:///teams/SAC/2025.html" xr:uid="{28DCE686-3BFC-9245-932A-23F12354B395}"/>
    <hyperlink ref="B385" r:id="rId760" display="file:///players/w/willico04.html" xr:uid="{92BEF866-6198-8D40-B686-9E6146A13362}"/>
    <hyperlink ref="D385" r:id="rId761" display="file:///teams/UTA/2025.html" xr:uid="{5E2CD341-762B-1B4D-BF77-AC0A1D875CDC}"/>
    <hyperlink ref="B386" r:id="rId762" display="file:///players/b/bolbo01.html" xr:uid="{7CCA75B1-EBD7-0240-9440-B00C2F4069F4}"/>
    <hyperlink ref="D386" r:id="rId763" display="file:///teams/PHO/2025.html" xr:uid="{DACF46EC-CFE7-354B-865C-B83445A230C8}"/>
    <hyperlink ref="B387" r:id="rId764" display="file:///players/m/moorewe01.html" xr:uid="{825DEB27-5B19-4C42-B1DE-75F0A9C6BD1F}"/>
    <hyperlink ref="D387" r:id="rId765" display="file:///teams/DET/2025.html" xr:uid="{61BF7322-F273-7247-9798-4D9410E5D488}"/>
    <hyperlink ref="B388" r:id="rId766" display="file:///players/b/batumni01.html" xr:uid="{B9F6E8A7-4329-044E-AE61-2E52489B71F9}"/>
    <hyperlink ref="D388" r:id="rId767" display="file:///teams/LAC/2025.html" xr:uid="{65DC26D3-29B2-F345-A834-5F3B5DCAEC2D}"/>
    <hyperlink ref="B389" r:id="rId768" display="file:///players/c/carteje01.html" xr:uid="{BB105105-35C0-3449-86BB-751778B8D48D}"/>
    <hyperlink ref="D389" r:id="rId769" display="file:///teams/CHI/2025.html" xr:uid="{FC9EB7BB-894A-1644-B7A6-A21A102CA4AE}"/>
    <hyperlink ref="B390" r:id="rId770" display="file:///players/c/colliis01.html" xr:uid="{2C5A2D58-548C-BB4C-BCEA-287C6A083935}"/>
    <hyperlink ref="D390" r:id="rId771" display="file:///teams/UTA/2025.html" xr:uid="{5E0F501C-19BE-B24C-A82A-869E9F314D35}"/>
    <hyperlink ref="B391" r:id="rId772" display="file:///players/d/diabamo01.html" xr:uid="{EBEA972D-A9B3-E349-94ED-4E6343A81B49}"/>
    <hyperlink ref="D391" r:id="rId773" display="file:///teams/CHO/2025.html" xr:uid="{FAE6C8F2-538D-004E-9B90-6104F5E7FB06}"/>
    <hyperlink ref="B392" r:id="rId774" display="file:///players/e/edwarju01.html" xr:uid="{8BB23030-5363-3F46-9024-E2BE2B9FB91C}"/>
    <hyperlink ref="D392" r:id="rId775" display="file:///teams/PHI/2025.html" xr:uid="{2A18A02F-363C-3843-9916-8F53880FF7B9}"/>
    <hyperlink ref="B393" r:id="rId776" display="file:///players/f/fernabr01.html" xr:uid="{6C028697-B79D-9F43-8B01-81300E07B0A5}"/>
    <hyperlink ref="D393" r:id="rId777" display="file:///teams/TOR/2025.html" xr:uid="{9C8F462B-BB70-3844-9C94-AB147BE7537C}"/>
    <hyperlink ref="B394" r:id="rId778" display="file:///players/g/greenje02.html" xr:uid="{D5453925-E136-834D-A085-09DF90E12E33}"/>
    <hyperlink ref="D394" r:id="rId779" display="file:///teams/HOU/2025.html" xr:uid="{A74B4832-82B6-5543-8C43-D00A29F8EF06}"/>
    <hyperlink ref="B395" r:id="rId780" display="file:///players/r/reddica01.html" xr:uid="{121A81C0-ECB3-2540-B924-AF8710CC08BF}"/>
    <hyperlink ref="D395" r:id="rId781" display="file:///teams/LAL/2025.html" xr:uid="{0DD9B540-1A03-C440-B598-3FCEA6EC1D61}"/>
    <hyperlink ref="B396" r:id="rId782" display="file:///players/s/saricda01.html" xr:uid="{E1D3E1A3-273A-B64E-851C-D1D23308F484}"/>
    <hyperlink ref="D396" r:id="rId783" display="file:///teams/DEN/2025.html" xr:uid="{ACD64ED4-392B-424A-8CD0-41E5E6FC6CD6}"/>
    <hyperlink ref="B397" r:id="rId784" display="file:///players/s/shamela01.html" xr:uid="{4CB1DFBA-425A-274A-97B9-751DCD65125F}"/>
    <hyperlink ref="D397" r:id="rId785" display="file:///teams/NYK/2025.html" xr:uid="{1ACDE361-BBD1-5B4C-A2C2-B45773E74DA1}"/>
    <hyperlink ref="B398" r:id="rId786" display="file:///players/w/walkeja01.html" xr:uid="{92E4C87E-D12D-FB4C-B866-EAD6C68B7AAC}"/>
    <hyperlink ref="D398" r:id="rId787" display="file:///teams/POR/2025.html" xr:uid="{D8CC5FCE-097C-D842-9153-A30AE4349DD8}"/>
    <hyperlink ref="B399" r:id="rId788" display="file:///players/w/willibr03.html" xr:uid="{6BB08A16-B7C8-CC42-A89D-86A37DF5CADC}"/>
    <hyperlink ref="D399" r:id="rId789" display="file:///teams/DAL/2025.html" xr:uid="{07BA76DE-D8EF-0B41-81C5-33A2FDDF53E4}"/>
    <hyperlink ref="B400" r:id="rId790" display="file:///players/b/brownko01.html" xr:uid="{BCEF9BA1-97E1-5849-9A36-CC7DAE542F40}"/>
    <hyperlink ref="D400" r:id="rId791" display="file:///teams/LAC/2025.html" xr:uid="{C8435290-FB5E-0E43-B332-0E1B1058F18F}"/>
    <hyperlink ref="B401" r:id="rId792" display="file:///players/c/crowdja01.html" xr:uid="{D741DD24-AD2E-484F-9DEE-EF2EAC9D1E72}"/>
    <hyperlink ref="D401" r:id="rId793" display="file:///teams/SAC/2025.html" xr:uid="{05537680-6468-C34E-9FB6-D413E9BFA269}"/>
    <hyperlink ref="B402" r:id="rId794" display="file:///players/j/jordade01.html" xr:uid="{D05F3626-0168-D144-92BE-ED8CA684E8FA}"/>
    <hyperlink ref="D402" r:id="rId795" display="file:///teams/DEN/2025.html" xr:uid="{21089B7B-02FE-4C4E-B594-7AEE6E6DACCE}"/>
    <hyperlink ref="B403" r:id="rId796" display="file:///players/s/sheppre01.html" xr:uid="{8F322130-7298-9F4A-BF6A-1807ADB779C7}"/>
    <hyperlink ref="D403" r:id="rId797" display="file:///teams/HOU/2025.html" xr:uid="{A0E45711-BBEE-CF4D-8D1F-8D9A39138909}"/>
    <hyperlink ref="B404" r:id="rId798" display="file:///players/b/brownmo01.html" xr:uid="{3B5DB25B-89B7-5243-AAB2-553E1524311C}"/>
    <hyperlink ref="D404" r:id="rId799" display="file:///teams/IND/2025.html" xr:uid="{7C64CDAB-7648-0C49-B2A6-96AD35404DA0}"/>
    <hyperlink ref="B405" r:id="rId800" display="file:///players/p/peterdr01.html" xr:uid="{F149C56E-51B8-4A4F-9A86-2611188D1C31}"/>
    <hyperlink ref="D405" r:id="rId801" display="file:///teams/BOS/2025.html" xr:uid="{3DFD6D24-F405-634E-A309-998D7AD4DB71}"/>
    <hyperlink ref="B406" r:id="rId802" display="file:///players/p/pottemi01.html" xr:uid="{19C2E259-5206-3048-917A-BFD6539A307E}"/>
    <hyperlink ref="D406" r:id="rId803" display="file:///teams/UTA/2025.html" xr:uid="{A12A52F4-F4F8-6643-87BE-BD6E7D70AA21}"/>
    <hyperlink ref="B407" r:id="rId804" display="file:///players/p/pickeja02.html" xr:uid="{E243130F-5B7F-604B-9774-C73295651576}"/>
    <hyperlink ref="D407" r:id="rId805" display="file:///teams/DEN/2025.html" xr:uid="{2534F7EF-F00B-5742-99AF-A0B328677A21}"/>
    <hyperlink ref="B408" r:id="rId806" display="file:///players/d/dukeda01.html" xr:uid="{7C82ED4D-365D-D74C-9A95-3EA285A2F01F}"/>
    <hyperlink ref="D408" r:id="rId807" display="file:///teams/SAS/2025.html" xr:uid="{41A14136-743C-2348-97E3-0CF07A997FB4}"/>
    <hyperlink ref="B409" r:id="rId808" display="file:///players/g/gilleco01.html" xr:uid="{067BA589-06D3-174B-8D66-65D6FB134AE6}"/>
    <hyperlink ref="D409" r:id="rId809" display="file:///teams/PHO/2025.html" xr:uid="{D7E4B243-8D25-1A40-99C7-D9EAB22D11F6}"/>
    <hyperlink ref="B410" r:id="rId810" display="file:///players/k/konchjo01.html" xr:uid="{A24B1C3D-C80B-AC4C-80AB-D58CC0ADA8CA}"/>
    <hyperlink ref="D410" r:id="rId811" display="file:///teams/MEM/2025.html" xr:uid="{8A25FCE4-6789-144C-A4CB-2573ABAA05BE}"/>
    <hyperlink ref="B411" r:id="rId812" display="file:///players/l/lawsoaj01.html" xr:uid="{AE0886E5-E337-F143-9BB6-B83346CBEA03}"/>
    <hyperlink ref="D411" r:id="rId813" display="file:///teams/TOR/2025.html" xr:uid="{49E5A6D0-D0D9-8745-AD6A-508D6402ABA8}"/>
    <hyperlink ref="B412" r:id="rId814" display="file:///players/m/minotjo01.html" xr:uid="{8FD2A437-0E85-9242-A81E-1FB430F3F8F6}"/>
    <hyperlink ref="D412" r:id="rId815" display="file:///teams/MIN/2025.html" xr:uid="{E4C3D1D8-396B-8543-8023-7D7AEFA8E434}"/>
    <hyperlink ref="B413" r:id="rId816" display="file:///players/m/mooreta02.html" xr:uid="{FB152C0C-1608-3441-A731-1A6B94E6AE3F}"/>
    <hyperlink ref="D413" r:id="rId817" display="file:///teams/POR/2025.html" xr:uid="{B9C09688-83B1-9943-AC17-A12920C80171}"/>
    <hyperlink ref="B414" r:id="rId818" display="file:///players/n/nancepe01.html" xr:uid="{8B190E64-C2E2-B44C-A7D6-D71654EC12AF}"/>
    <hyperlink ref="D414" r:id="rId819" display="file:///teams/PHI/2025.html" xr:uid="{DED71EB5-2F99-C243-94A2-05D8DB3EBA2E}"/>
    <hyperlink ref="B415" r:id="rId820" display="file:///players/o/olivaqu01.html" xr:uid="{E5BD5608-0922-0B41-B3B5-02F1BE48CCE1}"/>
    <hyperlink ref="D415" r:id="rId821" display="file:///teams/LAL/2025.html" xr:uid="{0D7C5F57-0842-B143-BAFD-74719794B0F1}"/>
    <hyperlink ref="B416" r:id="rId822" display="file:///players/r/ruperra01.html" xr:uid="{605CFADF-F794-F54C-88DA-388E8CDC34B0}"/>
    <hyperlink ref="D416" r:id="rId823" display="file:///teams/POR/2025.html" xr:uid="{22616997-2A5C-5542-9B4D-F37CFECF8B16}"/>
    <hyperlink ref="B417" r:id="rId824" display="file:///players/t/tshieos01.html" xr:uid="{30E697D5-48EC-8F42-806B-8CA0C62925D3}"/>
    <hyperlink ref="D417" r:id="rId825" display="file:///teams/UTA/2025.html" xr:uid="{0ADBDC40-AD11-1742-BF13-B95EB0A2B265}"/>
    <hyperlink ref="B418" r:id="rId826" display="file:///players/d/diengou01.html" xr:uid="{E525DD9F-76E1-AB4C-93FF-874CCB030CD0}"/>
    <hyperlink ref="D418" r:id="rId827" display="file:///teams/OKC/2025.html" xr:uid="{ABE15D97-F476-054B-825A-93B60538E582}"/>
    <hyperlink ref="B419" r:id="rId828" display="file:///players/l/landajo01.html" xr:uid="{5030CFDF-F298-474D-BD94-7D87F1431100}"/>
    <hyperlink ref="D419" r:id="rId829" display="file:///teams/HOU/2025.html" xr:uid="{AC0BC912-56F8-834F-9B41-269667B5CCA7}"/>
    <hyperlink ref="B420" r:id="rId830" display="file:///players/a/adamsst01.html" xr:uid="{362BD31D-BE73-B64D-9EFF-22A521E3AD92}"/>
    <hyperlink ref="D420" r:id="rId831" display="file:///teams/HOU/2025.html" xr:uid="{766AF0F9-76F1-FC45-A5A1-F7C68C22DD19}"/>
    <hyperlink ref="B421" r:id="rId832" display="file:///players/d/davisjo06.html" xr:uid="{89CC2474-A66E-D747-A100-96DB41A6565C}"/>
    <hyperlink ref="D421" r:id="rId833" display="file:///teams/WAS/2025.html" xr:uid="{E1ECEC07-421D-AB40-A5ED-C098E774E444}"/>
    <hyperlink ref="B422" r:id="rId834" display="file:///players/d/dowtije01.html" xr:uid="{43E5D782-F1AB-E948-8D72-780D870AC639}"/>
    <hyperlink ref="D422" r:id="rId835" display="file:///teams/PHI/2025.html" xr:uid="{F75D8182-21D3-5747-9C52-8733D45E1745}"/>
    <hyperlink ref="B423" r:id="rId836" display="file:///players/w/wrighde01.html" xr:uid="{6FBFBE84-957D-7F4F-A788-AA236D751006}"/>
    <hyperlink ref="D423" r:id="rId837" display="file:///teams/MIL/2025.html" xr:uid="{78A29B75-8498-504C-B521-6C4AB4734EC5}"/>
    <hyperlink ref="B424" r:id="rId838" display="file:///players/d/duartch01.html" xr:uid="{0738C892-5711-A346-84B9-E00C35140123}"/>
    <hyperlink ref="D424" r:id="rId839" display="file:///teams/CHI/2025.html" xr:uid="{ECFD18C1-5D55-184B-BFA1-B95B754B9B55}"/>
    <hyperlink ref="B425" r:id="rId840" display="file:///players/h/houstca01.html" xr:uid="{68F7CE7F-8A7C-1948-87C4-2EDC192A7C80}"/>
    <hyperlink ref="D425" r:id="rId841" display="file:///teams/ORL/2025.html" xr:uid="{4C07B74E-C028-F74F-8C86-2E402399A73A}"/>
    <hyperlink ref="B426" r:id="rId842" display="file:///players/r/reathdu01.html" xr:uid="{CF622824-12A3-1344-9E54-4845C4AF4FD9}"/>
    <hyperlink ref="D426" r:id="rId843" display="file:///teams/POR/2025.html" xr:uid="{46914113-D8DA-5E4A-8833-1CF6846DB2AA}"/>
    <hyperlink ref="B427" r:id="rId844" display="file:///players/f/furphjo01.html" xr:uid="{2B84929F-7A01-8145-B9D4-B6BE32B98E28}"/>
    <hyperlink ref="D427" r:id="rId845" display="file:///teams/IND/2025.html" xr:uid="{D355FC40-4955-A540-A22B-E965855A3ECF}"/>
    <hyperlink ref="B428" r:id="rId846" display="file:///players/g/gibsota01.html" xr:uid="{F5B192CF-E83F-7342-BC45-5A1D61B0BA5E}"/>
    <hyperlink ref="D428" r:id="rId847" display="file:///teams/CHO/2025.html" xr:uid="{AA9CA401-F779-3E49-A8F3-AB680B30101C}"/>
    <hyperlink ref="B429" r:id="rId848" display="file:///players/h/holmeri01.html" xr:uid="{DF62B73A-5A1B-8B4A-9A6A-004531A2C1CB}"/>
    <hyperlink ref="D429" r:id="rId849" display="file:///teams/WAS/2025.html" xr:uid="{EBD550DA-A93E-234D-BA31-5056EA3EF18C}"/>
    <hyperlink ref="B430" r:id="rId850" display="file:///players/k/klebima01.html" xr:uid="{31FAD03A-BF92-2949-9257-80AA9547473C}"/>
    <hyperlink ref="D430" r:id="rId851" display="file:///teams/DAL/2025.html" xr:uid="{68F9723E-346A-3943-B81F-6FF8B90C3B9F}"/>
    <hyperlink ref="B431" r:id="rId852" display="file:///players/l/liddeej01.html" xr:uid="{1026C3D1-5CDE-424B-B0E8-4E3E9505C7A2}"/>
    <hyperlink ref="D431" r:id="rId853" display="file:///teams/CHI/2025.html" xr:uid="{8C7F7D54-5E8E-7844-96D4-FC0EBF7511CA}"/>
    <hyperlink ref="B432" r:id="rId854" display="file:///players/j/jemistr01.html" xr:uid="{3BDC25A1-0315-E941-B0A3-A883E87A2364}"/>
    <hyperlink ref="D432" r:id="rId855" display="file:///teams/NOP/2025.html" xr:uid="{FC5E479E-D4B6-8141-BDAA-DC74FF3FD242}"/>
    <hyperlink ref="B433" r:id="rId856" display="file:///players/l/leeda03.html" xr:uid="{2C904E6E-3938-7144-87B0-A99003785FEB}"/>
    <hyperlink ref="D433" r:id="rId857" display="file:///teams/PHO/2025.html" xr:uid="{AEF1129C-FE01-374D-B899-94FEEA87F424}"/>
    <hyperlink ref="B434" r:id="rId858" display="file:///players/p/portecr01.html" xr:uid="{7293FA11-E916-4848-A442-A20F14374400}"/>
    <hyperlink ref="D434" r:id="rId859" display="file:///teams/CLE/2025.html" xr:uid="{2F525FFA-C9E7-1F43-B883-135CB52F3F69}"/>
    <hyperlink ref="B435" r:id="rId860" display="file:///players/c/cancavl01.html" xr:uid="{F1A2B87A-595B-924B-B591-B96609C90472}"/>
    <hyperlink ref="D435" r:id="rId861" display="file:///teams/DEN/2025.html" xr:uid="{934C2E2A-03EE-F041-8A5E-8987125EE244}"/>
    <hyperlink ref="B436" r:id="rId862" display="file:///players/j/johnske10.html" xr:uid="{2C342D48-88F0-F84E-97E2-66AAB139DEF2}"/>
    <hyperlink ref="D436" r:id="rId863" display="file:///teams/MIA/2025.html" xr:uid="{09826B14-DEA8-5249-8B33-E8E1A4FE16D0}"/>
    <hyperlink ref="B437" r:id="rId864" display="file:///players/q/quinole01.html" xr:uid="{FB0BC813-2C52-4947-9552-562B865218D3}"/>
    <hyperlink ref="D437" r:id="rId865" display="file:///teams/PHI/2025.html" xr:uid="{CC921AFC-1251-724F-BE71-0ED9D19FF8B2}"/>
    <hyperlink ref="B438" r:id="rId866" display="file:///players/t/tysonhu01.html" xr:uid="{3FAA26DA-6031-E64E-93DC-34154788FB51}"/>
    <hyperlink ref="D438" r:id="rId867" display="file:///teams/DEN/2025.html" xr:uid="{2A01AF13-8A66-9843-B8C8-7CA949927C9D}"/>
    <hyperlink ref="B439" r:id="rId868" display="file:///players/b/baldwpa01.html" xr:uid="{ED616A81-82F1-E749-8361-9F6B35EFFE36}"/>
    <hyperlink ref="D439" r:id="rId869" display="file:///teams/WAS/2025.html" xr:uid="{1214F572-6BAD-9348-871C-1826A8297A1B}"/>
    <hyperlink ref="B440" r:id="rId870" display="file:///players/j/joneska01.html" xr:uid="{EADB2CC2-E463-FD42-92D5-34DB7571C56F}"/>
    <hyperlink ref="D440" r:id="rId871" display="file:///teams/LAC/2025.html" xr:uid="{BD91ED40-2028-044D-A2AD-8943F8C9C873}"/>
    <hyperlink ref="B441" r:id="rId872" display="file:///players/k/kolekty01.html" xr:uid="{BA0F9B02-5708-684E-AA0F-2D0B556943AB}"/>
    <hyperlink ref="D441" r:id="rId873" display="file:///teams/NYK/2025.html" xr:uid="{1F85F50F-406D-3944-A44B-6B02B77B4082}"/>
    <hyperlink ref="B442" r:id="rId874" display="file:///players/p/prospol01.html" xr:uid="{6AC097FE-4B88-884B-BDAD-45C8CD486290}"/>
    <hyperlink ref="D442" r:id="rId875" display="file:///teams/DAL/2025.html" xr:uid="{5F28E40B-1E7F-3947-A620-0B23BFBFC3E2}"/>
    <hyperlink ref="B443" r:id="rId876" display="file:///players/b/beekmre01.html" xr:uid="{ABA482B0-1DF1-3B47-AE73-0FB8C3C43885}"/>
    <hyperlink ref="B444" r:id="rId877" display="file:///players/b/beekmre01.html" xr:uid="{3A8CE6BE-23A1-8C4D-BC61-1D300F307CA8}"/>
    <hyperlink ref="D444" r:id="rId878" display="file:///teams/GSW/2025.html" xr:uid="{2DBEDA4C-9CCE-3241-8767-36C2D330A605}"/>
    <hyperlink ref="B445" r:id="rId879" display="file:///players/b/beekmre01.html" xr:uid="{63FB7F83-5765-5445-BF4E-6DC7E3D60B5D}"/>
    <hyperlink ref="D445" r:id="rId880" display="file:///teams/BRK/2025.html" xr:uid="{DC7EE78E-9749-5240-ACC5-6553231CBA85}"/>
    <hyperlink ref="B446" r:id="rId881" display="file:///players/g/gillan01.html" xr:uid="{4BA244B5-917F-F746-91DD-8D0B56C741F5}"/>
    <hyperlink ref="D446" r:id="rId882" display="file:///teams/WAS/2025.html" xr:uid="{120BD1A5-99B0-9A45-A0CD-6FFEC8299AFB}"/>
    <hyperlink ref="B447" r:id="rId883" display="file:///players/k/kolokch01.html" xr:uid="{50F26ABA-CD65-4943-B528-2936D8F3260F}"/>
    <hyperlink ref="D447" r:id="rId884" display="file:///teams/LAL/2025.html" xr:uid="{09B63BD9-1E63-0647-99D3-B69A50CE84DB}"/>
    <hyperlink ref="B448" r:id="rId885" display="file:///players/r/robinor01.html" xr:uid="{B3F0FCDE-A42B-9949-9CC8-BBC61A480051}"/>
    <hyperlink ref="D448" r:id="rId886" display="file:///teams/SAC/2025.html" xr:uid="{8AD3831B-6EF2-144B-9918-61D8AF7DD89F}"/>
    <hyperlink ref="B449" r:id="rId887" display="file:///players/t/thomptr01.html" xr:uid="{22137EBC-B2D4-BA40-BF53-151FFBC4B62D}"/>
    <hyperlink ref="D449" r:id="rId888" display="file:///teams/CLE/2025.html" xr:uid="{AC169863-76C6-4041-A63F-36C2818DDA13}"/>
    <hyperlink ref="B450" r:id="rId889" display="file:///players/h/hoodsja01.html" xr:uid="{3F0669C7-E3D9-B540-8D11-CC44612F8D9C}"/>
    <hyperlink ref="D450" r:id="rId890" display="file:///teams/LAL/2025.html" xr:uid="{17E2B94F-F32A-0B49-97FB-9714B01E0162}"/>
    <hyperlink ref="B451" r:id="rId891" display="file:///players/j/jonesdi01.html" xr:uid="{97384D47-F09E-4A4A-9D77-697690CE7F91}"/>
    <hyperlink ref="D451" r:id="rId892" display="file:///teams/OKC/2025.html" xr:uid="{E38CA0F3-E599-5541-8703-0B92C0198718}"/>
    <hyperlink ref="B452" r:id="rId893" display="file:///players/j/josepco01.html" xr:uid="{B9369CB9-B6E4-9544-BFBD-5090DEE99620}"/>
    <hyperlink ref="D452" r:id="rId894" display="file:///teams/ORL/2025.html" xr:uid="{B9FAF7A4-88B5-3148-B27B-8B67159E2FC9}"/>
    <hyperlink ref="B453" r:id="rId895" display="file:///players/m/mclaujo01.html" xr:uid="{06192475-F954-C846-995D-A90289A840B8}"/>
    <hyperlink ref="D453" r:id="rId896" display="file:///teams/SAC/2025.html" xr:uid="{4D22B315-29E8-0A48-B053-F50AECEA8E12}"/>
    <hyperlink ref="B454" r:id="rId897" display="file:///players/m/morrima02.html" xr:uid="{27C388FF-9A20-904F-80D7-838ABB246C73}"/>
    <hyperlink ref="D454" r:id="rId898" display="file:///teams/DAL/2025.html" xr:uid="{AE801C7A-38DD-8844-8750-95EE50C457AA}"/>
    <hyperlink ref="B455" r:id="rId899" display="file:///players/r/reeseal01.html" xr:uid="{BD43B88F-1918-8B41-BEDA-0884B4A4A16E}"/>
    <hyperlink ref="D455" r:id="rId900" display="file:///teams/OKC/2025.html" xr:uid="{8FC6C6FC-F1C6-1F4F-A3CD-0F0871FE49C9}"/>
    <hyperlink ref="B456" r:id="rId901" display="file:///players/s/sanogad01.html" xr:uid="{95A1A1CF-D58E-534A-8B30-BDE7113A3E8A}"/>
    <hyperlink ref="D456" r:id="rId902" display="file:///teams/CHI/2025.html" xr:uid="{B2B9DD98-9BD6-CC41-8A03-13D6036160B8}"/>
    <hyperlink ref="B457" r:id="rId903" display="file:///players/s/smithty02.html" xr:uid="{2669D8F9-7851-1448-830E-C9906CEABA20}"/>
    <hyperlink ref="D457" r:id="rId904" display="file:///teams/MIL/2025.html" xr:uid="{62F87EA4-DEB0-6148-9606-6F907C3D0E49}"/>
    <hyperlink ref="B458" r:id="rId905" display="file:///players/t/tysonja01.html" xr:uid="{FF38D50D-F448-3C47-A1F5-0C008839C06C}"/>
    <hyperlink ref="D458" r:id="rId906" display="file:///teams/CLE/2025.html" xr:uid="{4E5BC12D-C8E7-8C40-B8A1-1E05250305B9}"/>
    <hyperlink ref="B459" r:id="rId907" display="file:///players/w/washity02.html" xr:uid="{57FDBA29-E4F6-294A-A734-5E881D1941E9}"/>
    <hyperlink ref="D459" r:id="rId908" display="file:///teams/PHO/2025.html" xr:uid="{A760250C-26C1-2749-B780-4FA27C720B50}"/>
    <hyperlink ref="B460" r:id="rId909" display="file:///players/b/bonaad01.html" xr:uid="{67147F68-E5EB-1743-BCED-7D20D76CD88F}"/>
    <hyperlink ref="D460" r:id="rId910" display="file:///teams/PHI/2025.html" xr:uid="{84BE2DC8-F37C-4B42-B458-01D250E7555F}"/>
    <hyperlink ref="B461" r:id="rId911" display="file:///players/b/beaucma01.html" xr:uid="{DB83F3E5-EED8-DE47-9FB5-913016FBD4DA}"/>
    <hyperlink ref="D461" r:id="rId912" display="file:///teams/MIL/2025.html" xr:uid="{570E4A2C-3044-2843-A4C2-C20DA9000713}"/>
    <hyperlink ref="B462" r:id="rId913" display="file:///players/f/freemen01.html" xr:uid="{F61D126F-5345-AA42-B923-BBB571F59277}"/>
    <hyperlink ref="D462" r:id="rId914" display="file:///teams/IND/2025.html" xr:uid="{B3A69D3B-E159-254D-AB1E-83835374214D}"/>
    <hyperlink ref="B463" r:id="rId915" display="file:///players/h/hukpoar01.html" xr:uid="{0603AB86-ABFD-CE40-B0A0-76666E785E7F}"/>
    <hyperlink ref="D463" r:id="rId916" display="file:///teams/NYK/2025.html" xr:uid="{7ABB863B-6629-404E-BB21-720C2150E81C}"/>
    <hyperlink ref="B464" r:id="rId917" display="file:///players/s/santogu01.html" xr:uid="{6748B14D-7450-704E-9A52-56559FE7C6E3}"/>
    <hyperlink ref="D464" r:id="rId918" display="file:///teams/GSW/2025.html" xr:uid="{6013F757-1DB1-6A4E-9FE7-75B170C2A795}"/>
    <hyperlink ref="B465" r:id="rId919" display="file:///players/w/willije02.html" xr:uid="{D3C5E016-989E-E441-980A-35BFB6A8C863}"/>
    <hyperlink ref="D465" r:id="rId920" display="file:///teams/HOU/2025.html" xr:uid="{1D8FA73B-0F5F-E748-B04C-75FEA7D38392}"/>
    <hyperlink ref="B466" r:id="rId921" display="file:///players/s/simsje01.html" xr:uid="{BE006A2A-3A63-3C4E-A308-39B084A8DBED}"/>
    <hyperlink ref="D466" r:id="rId922" display="file:///teams/NYK/2025.html" xr:uid="{31E19F04-2BFA-154C-B9D5-15B31B52AD34}"/>
    <hyperlink ref="B467" r:id="rId923" display="file:///players/w/walshjo01.html" xr:uid="{0FE259E3-7AC3-3D4F-8B81-9290FA731001}"/>
    <hyperlink ref="D467" r:id="rId924" display="file:///teams/BOS/2025.html" xr:uid="{1EBC68A7-91F7-6A4B-B3FA-CEA344402B4E}"/>
    <hyperlink ref="B468" r:id="rId925" display="file:///players/d/dadiepa01.html" xr:uid="{08B662B6-A6CF-5B46-A1C3-8577ACA661D6}"/>
    <hyperlink ref="D468" r:id="rId926" display="file:///teams/NYK/2025.html" xr:uid="{C87383D0-5605-9343-8076-4040705CDBD4}"/>
    <hyperlink ref="B469" r:id="rId927" display="file:///players/g/gortmja01.html" xr:uid="{52140F1A-B029-AC47-90E9-1FD03327F4F1}"/>
    <hyperlink ref="D469" r:id="rId928" display="file:///teams/DAL/2025.html" xr:uid="{BFB77A8F-65E9-8842-9CE6-CCABE659F01E}"/>
    <hyperlink ref="B470" r:id="rId929" display="file:///players/l/lenal01.html" xr:uid="{374DB781-4AE3-E047-BDE9-C1A843876138}"/>
    <hyperlink ref="D470" r:id="rId930" display="file:///teams/SAC/2025.html" xr:uid="{867845A4-3D75-534E-AFFA-5288F55E338B}"/>
    <hyperlink ref="B471" r:id="rId931" display="file:///players/k/kawamyu01.html" xr:uid="{8BE44045-B538-DA43-98AD-CFDA43B63F40}"/>
    <hyperlink ref="D471" r:id="rId932" display="file:///teams/MEM/2025.html" xr:uid="{C0CC590C-6813-D446-8B08-385D64FE68A5}"/>
    <hyperlink ref="B472" r:id="rId933" display="file:///players/p/poweldw01.html" xr:uid="{89FA21F6-E468-6940-A26B-8010DEB11E2C}"/>
    <hyperlink ref="D472" r:id="rId934" display="file:///teams/DAL/2025.html" xr:uid="{89885407-ECA6-9447-86B7-5C0DB450E484}"/>
    <hyperlink ref="B473" r:id="rId935" display="file:///players/s/shannte01.html" xr:uid="{E92E416B-1B64-CF4D-9A57-A5B6BDF354F8}"/>
    <hyperlink ref="D473" r:id="rId936" display="file:///teams/MIN/2025.html" xr:uid="{3A09280F-607F-D742-94E4-0082CE86F8A5}"/>
    <hyperlink ref="B474" r:id="rId937" display="file:///players/s/spencpa01.html" xr:uid="{EF2989D6-FFAD-CA4C-BE23-B046027091B2}"/>
    <hyperlink ref="D474" r:id="rId938" display="file:///teams/GSW/2025.html" xr:uid="{88746011-2542-F64D-8632-1591D098F811}"/>
    <hyperlink ref="B475" r:id="rId939" display="file:///players/a/armeltr01.html" xr:uid="{CAA2028F-97B8-3545-B8EC-FAD6E9712BBC}"/>
    <hyperlink ref="D475" r:id="rId940" display="file:///teams/LAL/2025.html" xr:uid="{24F24741-512C-3541-93C4-EAF68EA8A331}"/>
    <hyperlink ref="B476" r:id="rId941" display="file:///players/c/castlco01.html" xr:uid="{39266461-D427-474C-A5A3-1375D3FD1E5D}"/>
    <hyperlink ref="D476" r:id="rId942" display="file:///teams/MEM/2025.html" xr:uid="{BE6FA584-1D87-7C46-A9C8-6FEBDB8CF931}"/>
    <hyperlink ref="B477" r:id="rId943" display="file:///players/f/flaglad01.html" xr:uid="{F0D07DB9-E8B8-F849-A3EC-0AD25842697A}"/>
    <hyperlink ref="D477" r:id="rId944" display="file:///teams/OKC/2025.html" xr:uid="{BCF01A1A-95FC-644B-91A6-110E01552968}"/>
    <hyperlink ref="B478" r:id="rId945" display="file:///players/j/johnsaj01.html" xr:uid="{DB548FAD-F26D-874F-A18F-B3F9A3D427D5}"/>
    <hyperlink ref="D478" r:id="rId946" display="file:///teams/MIL/2025.html" xr:uid="{13FC5F34-03C1-F943-895B-5BF8F30C4DEC}"/>
    <hyperlink ref="B479" r:id="rId947" display="file:///players/c/chrisjo01.html" xr:uid="{77A5A632-9D77-E747-B82A-5445340B3F0F}"/>
    <hyperlink ref="D479" r:id="rId948" display="file:///teams/MIA/2025.html" xr:uid="{9EACAEA0-5A49-5A43-9ABE-C9B5D7A4DC39}"/>
    <hyperlink ref="B480" r:id="rId949" display="file:///players/j/johnsja01.html" xr:uid="{4A4C3D76-FB2A-2E4D-8251-EBE4A126B69A}"/>
    <hyperlink ref="D480" r:id="rId950" display="file:///teams/IND/2025.html" xr:uid="{73EEF9B8-FD43-0447-B164-91A01EDF6B7E}"/>
    <hyperlink ref="B481" r:id="rId951" display="file:///players/m/matkoka01.html" xr:uid="{4F60AC34-1ACC-3E43-9DBD-FA38422D20FB}"/>
    <hyperlink ref="D481" r:id="rId952" display="file:///teams/NOP/2025.html" xr:uid="{EDFDF7AE-96BB-194C-A976-114D801FE057}"/>
    <hyperlink ref="B482" r:id="rId953" display="file:///players/m/mcveija01.html" xr:uid="{1267BC4B-E800-F54D-9660-967CB1CCB602}"/>
    <hyperlink ref="D482" r:id="rId954" display="file:///teams/HOU/2025.html" xr:uid="{971FEF27-6C7C-BF42-9A78-1302800DD7CA}"/>
    <hyperlink ref="B483" r:id="rId955" display="file:///players/r/ryanma01.html" xr:uid="{B24D3161-9A87-9D46-B4C5-B0EDAF674A7B}"/>
    <hyperlink ref="D483" r:id="rId956" display="file:///teams/NYK/2025.html" xr:uid="{5ABC55EB-2A56-FA42-A40B-1FFE1246CE42}"/>
    <hyperlink ref="B484" r:id="rId957" display="file:///players/s/sprinja01.html" xr:uid="{7B2AA899-4C1E-524A-BE32-A822C0A9D78B}"/>
    <hyperlink ref="D484" r:id="rId958" display="file:///teams/BOS/2025.html" xr:uid="{4987ED15-7885-AB4D-86A6-13892ACFAF4F}"/>
    <hyperlink ref="B485" r:id="rId959" display="file:///players/t/travelu01.html" xr:uid="{B4C1F30B-EC53-1C43-9589-41465912AC22}"/>
    <hyperlink ref="D485" r:id="rId960" display="file:///teams/CLE/2025.html" xr:uid="{49381281-96EB-624E-B1D7-D78C4B4BB204}"/>
    <hyperlink ref="B486" r:id="rId961" display="file:///players/c/cissosi01.html" xr:uid="{F2EB03AC-4B7A-4241-A912-4B951F310B31}"/>
    <hyperlink ref="D486" r:id="rId962" display="file:///teams/SAS/2025.html" xr:uid="{D86699DA-4F1B-FD43-9EEF-1F957884B99B}"/>
    <hyperlink ref="B487" r:id="rId963" display="file:///players/d/davisjd01.html" xr:uid="{9E5B4D19-48D5-644B-8EBE-C1874F1CF8A2}"/>
    <hyperlink ref="D487" r:id="rId964" display="file:///teams/BOS/2025.html" xr:uid="{0C291AE8-B3FB-EE40-ACFA-36F9CF7C15D3}"/>
    <hyperlink ref="B488" r:id="rId965" display="file:///players/n/nnajize01.html" xr:uid="{BAD417F1-67D1-8640-AF94-F8BDD8B6C8F9}"/>
    <hyperlink ref="D488" r:id="rId966" display="file:///teams/DEN/2025.html" xr:uid="{EFBA8931-8630-DB44-8AFE-81F0BCD0FAB3}"/>
    <hyperlink ref="B489" r:id="rId967" display="file:///players/j/jonesco02.html" xr:uid="{1D30E647-4C93-B847-BF46-887DE42AD1A6}"/>
    <hyperlink ref="D489" r:id="rId968" display="file:///teams/SAC/2025.html" xr:uid="{3A47E44F-62C8-BB4A-9A33-06DBCF83C7C7}"/>
    <hyperlink ref="B490" r:id="rId969" display="file:///players/t/tillmxa01.html" xr:uid="{82893F31-2F32-2442-B009-FDE6BD32888B}"/>
    <hyperlink ref="D490" r:id="rId970" display="file:///teams/BOS/2025.html" xr:uid="{ACC1EE9F-3A3D-CF4C-8489-F8A264A4A29C}"/>
    <hyperlink ref="B491" r:id="rId971" display="file:///players/g/gueyemo02.html" xr:uid="{0D045A42-6A75-6F4D-A3C2-E174324D67C5}"/>
    <hyperlink ref="D491" r:id="rId972" display="file:///teams/ATL/2025.html" xr:uid="{3761004E-29A1-F944-A172-11674F0CFD4F}"/>
    <hyperlink ref="B492" r:id="rId973" display="file:///players/m/martija02.html" xr:uid="{FB82BFBA-C9F8-6441-97D0-869AC81A5605}"/>
    <hyperlink ref="D492" r:id="rId974" display="file:///teams/BRK/2025.html" xr:uid="{616A6835-00D9-5945-BFD1-9282200AC8AD}"/>
    <hyperlink ref="B493" r:id="rId975" display="file:///players/m/mcgowbr01.html" xr:uid="{CCB9D600-CBA0-7F43-AAB1-235194B5CB49}"/>
    <hyperlink ref="D493" r:id="rId976" display="file:///teams/POR/2025.html" xr:uid="{F6FF2854-44A9-B14F-93E4-5DAC5B5BBED5}"/>
    <hyperlink ref="B494" r:id="rId977" display="file:///players/m/millele01.html" xr:uid="{653BAE9E-1D6D-5D4D-BF68-E513E02C9E1A}"/>
    <hyperlink ref="D494" r:id="rId978" display="file:///teams/MIN/2025.html" xr:uid="{A0D4C386-AE5C-C34F-8C41-D6C0E7050246}"/>
    <hyperlink ref="B495" r:id="rId979" display="file:///players/p/postqu01.html" xr:uid="{73BA046A-E3B5-EE4B-9108-F96DDFD164F3}"/>
    <hyperlink ref="D495" r:id="rId980" display="file:///teams/GSW/2025.html" xr:uid="{45B1A70D-4633-8844-AB10-C0DB888AA24F}"/>
    <hyperlink ref="B496" r:id="rId981" display="file:///players/r/rhodeja01.html" xr:uid="{5FD5B68A-699A-7045-AA70-3B20FC465141}"/>
    <hyperlink ref="D496" r:id="rId982" display="file:///teams/CHO/2025.html" xr:uid="{378D6958-CB34-AD40-BD04-E1A07980CF29}"/>
    <hyperlink ref="B497" r:id="rId983" display="file:///players/l/lewisma05.html" xr:uid="{D85B33B3-CF89-BB46-A056-CF0F3F8B344A}"/>
    <hyperlink ref="B498" r:id="rId984" display="file:///players/l/lewisma05.html" xr:uid="{0765D4F0-51C4-814F-94D7-30476CC05893}"/>
    <hyperlink ref="D498" r:id="rId985" display="file:///teams/LAL/2025.html" xr:uid="{19B44FAD-A380-1F45-960F-61595B03061B}"/>
    <hyperlink ref="B499" r:id="rId986" display="file:///players/l/lewisma05.html" xr:uid="{82C0F948-9004-E04C-AB3E-35006B1393AB}"/>
    <hyperlink ref="D499" r:id="rId987" display="file:///teams/BRK/2025.html" xr:uid="{5A413FAD-9FDF-5A4E-8ECF-39A08116D1E0}"/>
    <hyperlink ref="B500" r:id="rId988" display="file:///players/b/barlodo01.html" xr:uid="{CCDE8F9B-35C6-404F-A0C0-B4AE224207C8}"/>
    <hyperlink ref="D500" r:id="rId989" display="file:///teams/ATL/2025.html" xr:uid="{9F4F4292-6888-C34C-B762-1B39E53559E6}"/>
    <hyperlink ref="B501" r:id="rId990" display="file:///players/a/alexatr01.html" xr:uid="{8151D3DC-904C-2749-A83A-6A3FF8A8FF32}"/>
    <hyperlink ref="D501" r:id="rId991" display="file:///teams/DEN/2025.html" xr:uid="{033CE371-0603-BA4D-A250-2193304AC08F}"/>
    <hyperlink ref="B502" r:id="rId992" display="file:///players/c/cartodj01.html" xr:uid="{E8E09EF6-90B6-8E44-B27E-B74E97CAA5EC}"/>
    <hyperlink ref="D502" r:id="rId993" display="file:///teams/TOR/2025.html" xr:uid="{8D45C7D3-7925-3042-AACE-6AEEFCBEE818}"/>
    <hyperlink ref="B503" r:id="rId994" display="file:///players/c/chomcul01.html" xr:uid="{CA94060D-838A-5648-A88E-DD46978B67B6}"/>
    <hyperlink ref="D503" r:id="rId995" display="file:///teams/TOR/2025.html" xr:uid="{855A9A2C-0474-FF4C-A43A-D006F912D335}"/>
    <hyperlink ref="B504" r:id="rId996" display="file:///players/d/doziepj01.html" xr:uid="{7E239704-1EF8-AB4B-91FA-9F24F6022DD1}"/>
    <hyperlink ref="D504" r:id="rId997" display="file:///teams/MIN/2025.html" xr:uid="{9F3D7DF4-2769-EF40-9D9A-9205B4FCA70B}"/>
    <hyperlink ref="B505" r:id="rId998" display="file:///players/s/scheiba01.html" xr:uid="{91856080-EEB2-A046-A8B0-3F639153A585}"/>
    <hyperlink ref="D505" r:id="rId999" display="file:///teams/BOS/2025.html" xr:uid="{B224CE45-522D-CF4A-9729-E3C04D8A1B85}"/>
    <hyperlink ref="B506" r:id="rId1000" display="file:///players/h/hallpj01.html" xr:uid="{280BB578-88AA-464E-BE15-571015E1507F}"/>
    <hyperlink ref="D506" r:id="rId1001" display="file:///teams/DEN/2025.html" xr:uid="{35E5413B-6982-6B4C-AFFC-F83CEE662B7B}"/>
    <hyperlink ref="B507" r:id="rId1002" display="file:///players/l/livinch01.html" xr:uid="{A997912C-7AF3-8441-8597-4A88AF1DD9E1}"/>
    <hyperlink ref="D507" r:id="rId1003" display="file:///teams/MIL/2025.html" xr:uid="{21320D0D-76DA-8D44-BD08-2D3AB7F423DC}"/>
    <hyperlink ref="B508" r:id="rId1004" display="file:///players/r/robbili01.html" xr:uid="{C706A9EA-6047-7D48-9B0E-E80A3CD2A09D}"/>
    <hyperlink ref="D508" r:id="rId1005" display="file:///teams/MIL/2025.html" xr:uid="{9F454ABA-8144-504F-B46F-8D25A4E56109}"/>
    <hyperlink ref="B509" r:id="rId1006" display="file:///players/v/vukcetr01.html" xr:uid="{A6ED5E94-58AD-A54F-864F-A4E843481AA0}"/>
    <hyperlink ref="D509" r:id="rId1007" display="file:///teams/WAS/2025.html" xr:uid="{B45ED2A6-E0A6-A649-9B43-87B871496D0C}"/>
    <hyperlink ref="B510" r:id="rId1008" display="file:///players/c/carlsbr01.html" xr:uid="{279F6A65-93DE-7D42-B599-4CE3145BEE6C}"/>
    <hyperlink ref="D510" r:id="rId1009" display="file:///teams/OKC/2025.html" xr:uid="{C65AE4F2-80D4-C248-9573-14083CEB7C65}"/>
    <hyperlink ref="B511" r:id="rId1010" display="file:///players/c/cuiyo01.html" xr:uid="{04B8EBA7-A6BF-2E40-AB6E-33FFCCFD1569}"/>
    <hyperlink ref="D511" r:id="rId1011" display="file:///teams/BRK/2025.html" xr:uid="{89D13ABA-3CF8-1444-8A8C-74C23D7EFB7C}"/>
    <hyperlink ref="B512" r:id="rId1012" display="file:///players/n/newtotr01.html" xr:uid="{A259D30E-7ABD-FC4A-AEF8-94BC659C1418}"/>
    <hyperlink ref="D512" r:id="rId1013" display="file:///teams/IND/2025.html" xr:uid="{DD66E419-65F3-FD43-BBC5-B25024946789}"/>
    <hyperlink ref="B513" r:id="rId1014" display="file:///players/t/templga01.html" xr:uid="{F103B2D1-9749-3B43-A727-EFB0FC32DBDE}"/>
    <hyperlink ref="D513" r:id="rId1015" display="file:///teams/TOR/2025.html" xr:uid="{E46E5ABF-E10D-9E47-81BB-89324C7E3E07}"/>
    <hyperlink ref="B514" r:id="rId1016" display="file:///players/u/umudest01.html" xr:uid="{9F3F81E1-A924-2846-83EC-ABC8E111E75D}"/>
    <hyperlink ref="D514" r:id="rId1017" display="file:///teams/MIL/2025.html" xr:uid="{3B459FEC-842A-0648-816E-D097DB013799}"/>
    <hyperlink ref="B515" r:id="rId1018" display="file:///players/j/jamesbr02.html" xr:uid="{60D141E2-D085-F245-8D82-29109D41A83C}"/>
    <hyperlink ref="D515" r:id="rId1019" display="file:///teams/LAL/2025.html" xr:uid="{E59BB557-8551-6546-9DF6-C23EE428806D}"/>
    <hyperlink ref="B516" r:id="rId1020" display="file:///players/j/jonessp01.html" xr:uid="{5D21E130-50AB-4A42-909F-F0917E846DB0}"/>
    <hyperlink ref="D516" r:id="rId1021" display="file:///teams/DEN/2025.html" xr:uid="{2BB378F0-CCB7-684F-AC52-986012EBB35A}"/>
    <hyperlink ref="B517" r:id="rId1022" display="file:///players/b/bridgja01.html" xr:uid="{3F72C01F-9C84-5C4A-B4E0-9516120C7B60}"/>
    <hyperlink ref="D517" r:id="rId1023" display="file:///teams/PHO/2025.html" xr:uid="{E1C35B95-1CE3-DA43-AC31-8801B4EEBDA1}"/>
    <hyperlink ref="B518" r:id="rId1024" display="file:///players/l/leonsma01.html" xr:uid="{CAA46F2A-BB3D-4346-901D-CD9AC137462F}"/>
    <hyperlink ref="D518" r:id="rId1025" display="file:///teams/OKC/2025.html" xr:uid="{1E598FDD-DEAC-E347-809F-1769CDF62EA4}"/>
    <hyperlink ref="B519" r:id="rId1026" display="file:///players/n/nixda01.html" xr:uid="{558B3965-9B7F-6045-B201-B6C4D3C43320}"/>
    <hyperlink ref="D519" r:id="rId1027" display="file:///teams/MIN/2025.html" xr:uid="{3D54C4D4-3E3D-C041-903D-FDF47330BA0A}"/>
    <hyperlink ref="B520" r:id="rId1028" display="file:///players/t/toppija01.html" xr:uid="{A47A5338-8E55-D740-B5ED-DC3FB0526A44}"/>
    <hyperlink ref="D520" r:id="rId1029" display="file:///teams/NYK/2025.html" xr:uid="{9DA16EAB-56E3-2242-A7D9-3C82E1B3CAD2}"/>
    <hyperlink ref="B521" r:id="rId1030" display="file:///players/c/clarkja02.html" xr:uid="{749934DC-00D0-A64C-AA4D-BD6A419AD9DB}"/>
    <hyperlink ref="D521" r:id="rId1031" display="file:///teams/MIN/2025.html" xr:uid="{66ED9845-B487-8647-B9FD-E9DDD7F7CC94}"/>
    <hyperlink ref="B522" r:id="rId1032" display="file:///players/c/crawfis01.html" xr:uid="{4CF61D39-450F-E645-8885-4C4398FEF05F}"/>
    <hyperlink ref="D522" r:id="rId1033" display="file:///teams/SAC/2025.html" xr:uid="{74DF9E8B-0F62-D446-AA36-FA240CCA3CB7}"/>
    <hyperlink ref="B523" r:id="rId1034" display="file:///players/d/ducasal01.html" xr:uid="{D0B61AE7-4600-0649-B418-3385925FB9A8}"/>
    <hyperlink ref="D523" r:id="rId1035" display="file:///teams/OKC/2025.html" xr:uid="{8EA6FADD-058B-4B41-AC00-27EF968AB7EB}"/>
    <hyperlink ref="B524" r:id="rId1036" display="file:///players/e/edwarke02.html" xr:uid="{822E512C-E4B5-C741-959B-BFD26E5B6906}"/>
    <hyperlink ref="D524" r:id="rId1037" display="file:///teams/DAL/2025.html" xr:uid="{7DBFCCA8-767A-E04F-9C6A-43A4289639D8}"/>
    <hyperlink ref="B525" r:id="rId1038" display="file:///players/i/inglejo01.html" xr:uid="{E8EE3B44-518F-C446-916F-9B2600BA5D84}"/>
    <hyperlink ref="D525" r:id="rId1039" display="file:///teams/MIN/2025.html" xr:uid="{4C60EABA-C3BE-A844-9C27-FE108EC93476}"/>
    <hyperlink ref="B526" r:id="rId1040" display="file:///players/i/ingraha01.html" xr:uid="{8539A323-201F-6746-9CCF-CC86CFBA350E}"/>
    <hyperlink ref="D526" r:id="rId1041" display="file:///teams/SAS/2025.html" xr:uid="{38D07672-3ADA-EF4D-9303-DE0603A44DA9}"/>
    <hyperlink ref="B527" r:id="rId1042" display="file:///players/j/jenkida01.html" xr:uid="{4F94C49A-514B-5E40-990A-A45F8A793E5D}"/>
    <hyperlink ref="D527" r:id="rId1043" display="file:///teams/DET/2025.html" xr:uid="{208D1E4F-3F2D-4E4A-9633-FB35E1ECA2C9}"/>
    <hyperlink ref="B528" r:id="rId1044" display="file:///players/j/jonesma05.html" xr:uid="{1C91A90F-A74E-304A-ABDC-F381251AF535}"/>
    <hyperlink ref="D528" r:id="rId1045" display="file:///teams/SAC/2025.html" xr:uid="{BFC87E82-4B9B-B24B-9CDC-669A9610D255}"/>
    <hyperlink ref="B529" r:id="rId1046" display="file:///players/k/klintbo01.html" xr:uid="{EF42FBB8-DE95-2E47-8E54-9652E6B0DDA8}"/>
    <hyperlink ref="D529" r:id="rId1047" display="file:///teams/DET/2025.html" xr:uid="{467A4A2B-1CEA-0645-A603-CF7B177D57FF}"/>
    <hyperlink ref="B530" r:id="rId1048" display="file:///players/m/mccluma01.html" xr:uid="{3229E59A-8FCD-E049-9B88-15C290F2349C}"/>
    <hyperlink ref="D530" r:id="rId1049" display="file:///teams/ORL/2025.html" xr:uid="{E349679E-CF1A-6743-8CB1-6EDE9BEA3F37}"/>
    <hyperlink ref="B531" r:id="rId1050" display="file:///players/m/minayju01.html" xr:uid="{D7845EC8-A736-BD40-B72A-243A884BC950}"/>
    <hyperlink ref="D531" r:id="rId1051" display="file:///teams/POR/2025.html" xr:uid="{47C32561-68C7-E443-9587-6FCEFF467DAA}"/>
    <hyperlink ref="B532" r:id="rId1052" display="file:///players/m/minixri01.html" xr:uid="{27B3005B-F638-CC4A-BBA6-F3F69423E608}"/>
    <hyperlink ref="D532" r:id="rId1053" display="file:///teams/SAS/2025.html" xr:uid="{BFDD074C-3B05-4946-A3CB-147D5A15AE9C}"/>
    <hyperlink ref="B533" r:id="rId1054" display="file:///players/s/swideco01.html" xr:uid="{54F9AE65-8342-6E44-8C05-F215182FE03D}"/>
    <hyperlink ref="D533" r:id="rId1055" display="file:///teams/DET/2025.html" xr:uid="{BA13D2F9-8295-B646-9254-715E296C85CC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B9F3-D41C-B244-81DB-B84C8F11472A}">
  <sheetPr codeName="Sheet4"/>
  <dimension ref="A1:H31"/>
  <sheetViews>
    <sheetView workbookViewId="0">
      <selection activeCell="F15" sqref="F15"/>
    </sheetView>
  </sheetViews>
  <sheetFormatPr baseColWidth="10" defaultRowHeight="16" x14ac:dyDescent="0.2"/>
  <cols>
    <col min="1" max="1" width="4.6640625" bestFit="1" customWidth="1"/>
    <col min="2" max="2" width="11.83203125" bestFit="1" customWidth="1"/>
    <col min="3" max="3" width="4.5" bestFit="1" customWidth="1"/>
    <col min="4" max="5" width="5" bestFit="1" customWidth="1"/>
    <col min="6" max="6" width="5.1640625" bestFit="1" customWidth="1"/>
    <col min="7" max="7" width="5" bestFit="1" customWidth="1"/>
    <col min="8" max="8" width="4.5" bestFit="1" customWidth="1"/>
  </cols>
  <sheetData>
    <row r="1" spans="1:8" x14ac:dyDescent="0.2">
      <c r="A1" s="2" t="s">
        <v>439</v>
      </c>
      <c r="B1" s="2" t="s">
        <v>440</v>
      </c>
      <c r="C1" s="2">
        <v>2024</v>
      </c>
      <c r="D1" s="2" t="s">
        <v>441</v>
      </c>
      <c r="E1" s="2" t="s">
        <v>442</v>
      </c>
      <c r="F1" s="2" t="s">
        <v>443</v>
      </c>
      <c r="G1" s="2" t="s">
        <v>444</v>
      </c>
      <c r="H1" s="2">
        <v>2023</v>
      </c>
    </row>
    <row r="2" spans="1:8" ht="17" x14ac:dyDescent="0.2">
      <c r="A2" s="3">
        <v>1</v>
      </c>
      <c r="B2" s="4" t="s">
        <v>464</v>
      </c>
      <c r="C2" s="3">
        <v>22.2</v>
      </c>
      <c r="D2" s="3">
        <v>19.3</v>
      </c>
      <c r="E2" s="3">
        <v>21</v>
      </c>
      <c r="F2" s="3">
        <v>20.7</v>
      </c>
      <c r="G2" s="3">
        <v>23.7</v>
      </c>
      <c r="H2" s="3">
        <v>23.6</v>
      </c>
    </row>
    <row r="3" spans="1:8" ht="17" x14ac:dyDescent="0.2">
      <c r="A3" s="3">
        <v>2</v>
      </c>
      <c r="B3" s="4" t="s">
        <v>457</v>
      </c>
      <c r="C3" s="3">
        <v>22.3</v>
      </c>
      <c r="D3" s="3">
        <v>22.3</v>
      </c>
      <c r="E3" s="3">
        <v>20</v>
      </c>
      <c r="F3" s="3">
        <v>21.6</v>
      </c>
      <c r="G3" s="3">
        <v>23.1</v>
      </c>
      <c r="H3" s="3">
        <v>24.4</v>
      </c>
    </row>
    <row r="4" spans="1:8" ht="17" x14ac:dyDescent="0.2">
      <c r="A4" s="3">
        <v>3</v>
      </c>
      <c r="B4" s="4" t="s">
        <v>462</v>
      </c>
      <c r="C4" s="3">
        <v>23.9</v>
      </c>
      <c r="D4" s="3">
        <v>17.7</v>
      </c>
      <c r="E4" s="3">
        <v>22</v>
      </c>
      <c r="F4" s="3">
        <v>24.4</v>
      </c>
      <c r="G4" s="3">
        <v>23.5</v>
      </c>
      <c r="H4" s="3">
        <v>24.4</v>
      </c>
    </row>
    <row r="5" spans="1:8" ht="17" x14ac:dyDescent="0.2">
      <c r="A5" s="3">
        <v>4</v>
      </c>
      <c r="B5" s="4" t="s">
        <v>455</v>
      </c>
      <c r="C5" s="3">
        <v>24.1</v>
      </c>
      <c r="D5" s="3">
        <v>25</v>
      </c>
      <c r="E5" s="3">
        <v>36</v>
      </c>
      <c r="F5" s="3">
        <v>22.8</v>
      </c>
      <c r="G5" s="3">
        <v>25.2</v>
      </c>
      <c r="H5" s="3">
        <v>26.4</v>
      </c>
    </row>
    <row r="6" spans="1:8" ht="17" x14ac:dyDescent="0.2">
      <c r="A6" s="3">
        <v>5</v>
      </c>
      <c r="B6" s="4" t="s">
        <v>469</v>
      </c>
      <c r="C6" s="3">
        <v>24.2</v>
      </c>
      <c r="D6" s="3">
        <v>22.3</v>
      </c>
      <c r="E6" s="3">
        <v>21</v>
      </c>
      <c r="F6" s="3">
        <v>25</v>
      </c>
      <c r="G6" s="3">
        <v>23.6</v>
      </c>
      <c r="H6" s="3">
        <v>24</v>
      </c>
    </row>
    <row r="7" spans="1:8" ht="17" x14ac:dyDescent="0.2">
      <c r="A7" s="3">
        <v>6</v>
      </c>
      <c r="B7" s="4" t="s">
        <v>448</v>
      </c>
      <c r="C7" s="3">
        <v>25.1</v>
      </c>
      <c r="D7" s="3">
        <v>24</v>
      </c>
      <c r="E7" s="3">
        <v>24</v>
      </c>
      <c r="F7" s="3">
        <v>24.7</v>
      </c>
      <c r="G7" s="3">
        <v>25.4</v>
      </c>
      <c r="H7" s="3">
        <v>26.7</v>
      </c>
    </row>
    <row r="8" spans="1:8" ht="17" x14ac:dyDescent="0.2">
      <c r="A8" s="3">
        <v>7</v>
      </c>
      <c r="B8" s="4" t="s">
        <v>470</v>
      </c>
      <c r="C8" s="3">
        <v>25.4</v>
      </c>
      <c r="D8" s="3">
        <v>27.7</v>
      </c>
      <c r="E8" s="3">
        <v>29</v>
      </c>
      <c r="F8" s="3">
        <v>24.9</v>
      </c>
      <c r="G8" s="3">
        <v>25.9</v>
      </c>
      <c r="H8" s="3">
        <v>26</v>
      </c>
    </row>
    <row r="9" spans="1:8" ht="17" x14ac:dyDescent="0.2">
      <c r="A9" s="3">
        <v>8</v>
      </c>
      <c r="B9" s="4" t="s">
        <v>449</v>
      </c>
      <c r="C9" s="3">
        <v>25.5</v>
      </c>
      <c r="D9" s="3">
        <v>27.7</v>
      </c>
      <c r="E9" s="3">
        <v>26</v>
      </c>
      <c r="F9" s="3">
        <v>25.3</v>
      </c>
      <c r="G9" s="3">
        <v>25.7</v>
      </c>
      <c r="H9" s="3">
        <v>28</v>
      </c>
    </row>
    <row r="10" spans="1:8" ht="17" x14ac:dyDescent="0.2">
      <c r="A10" s="3">
        <v>9</v>
      </c>
      <c r="B10" s="4" t="s">
        <v>453</v>
      </c>
      <c r="C10" s="3">
        <v>25.5</v>
      </c>
      <c r="D10" s="3">
        <v>29.3</v>
      </c>
      <c r="E10" s="3">
        <v>32</v>
      </c>
      <c r="F10" s="3">
        <v>25.7</v>
      </c>
      <c r="G10" s="3">
        <v>25.3</v>
      </c>
      <c r="H10" s="3">
        <v>27</v>
      </c>
    </row>
    <row r="11" spans="1:8" ht="17" x14ac:dyDescent="0.2">
      <c r="A11" s="3">
        <v>10</v>
      </c>
      <c r="B11" s="4" t="s">
        <v>461</v>
      </c>
      <c r="C11" s="3">
        <v>25.6</v>
      </c>
      <c r="D11" s="3">
        <v>26</v>
      </c>
      <c r="E11" s="3">
        <v>21</v>
      </c>
      <c r="F11" s="3">
        <v>24.7</v>
      </c>
      <c r="G11" s="3">
        <v>26.7</v>
      </c>
      <c r="H11" s="3">
        <v>26.6</v>
      </c>
    </row>
    <row r="12" spans="1:8" ht="17" x14ac:dyDescent="0.2">
      <c r="A12" s="3">
        <v>11</v>
      </c>
      <c r="B12" s="4" t="s">
        <v>467</v>
      </c>
      <c r="C12" s="3">
        <v>25.7</v>
      </c>
      <c r="D12" s="3">
        <v>29.3</v>
      </c>
      <c r="E12" s="3">
        <v>34</v>
      </c>
      <c r="F12" s="3">
        <v>25.3</v>
      </c>
      <c r="G12" s="3">
        <v>26.2</v>
      </c>
      <c r="H12" s="3">
        <v>24.7</v>
      </c>
    </row>
    <row r="13" spans="1:8" ht="17" x14ac:dyDescent="0.2">
      <c r="A13" s="3">
        <v>12</v>
      </c>
      <c r="B13" s="4" t="s">
        <v>452</v>
      </c>
      <c r="C13" s="3">
        <v>25.9</v>
      </c>
      <c r="D13" s="3">
        <v>26</v>
      </c>
      <c r="E13" s="3">
        <v>25</v>
      </c>
      <c r="F13" s="3">
        <v>24.8</v>
      </c>
      <c r="G13" s="3">
        <v>27.5</v>
      </c>
      <c r="H13" s="3">
        <v>26.9</v>
      </c>
    </row>
    <row r="14" spans="1:8" ht="17" x14ac:dyDescent="0.2">
      <c r="A14" s="3">
        <v>13</v>
      </c>
      <c r="B14" s="4" t="s">
        <v>472</v>
      </c>
      <c r="C14" s="3">
        <v>26.1</v>
      </c>
      <c r="D14" s="3">
        <v>28</v>
      </c>
      <c r="E14" s="3">
        <v>25</v>
      </c>
      <c r="F14" s="3">
        <v>25.6</v>
      </c>
      <c r="G14" s="3">
        <v>26.4</v>
      </c>
      <c r="H14" s="3">
        <v>25.7</v>
      </c>
    </row>
    <row r="15" spans="1:8" ht="17" x14ac:dyDescent="0.2">
      <c r="A15" s="3">
        <v>14</v>
      </c>
      <c r="B15" s="4" t="s">
        <v>446</v>
      </c>
      <c r="C15" s="3">
        <v>26.1</v>
      </c>
      <c r="D15" s="3">
        <v>25.3</v>
      </c>
      <c r="E15" s="3">
        <v>23</v>
      </c>
      <c r="F15" s="3">
        <v>25.1</v>
      </c>
      <c r="G15" s="3">
        <v>26.8</v>
      </c>
      <c r="H15" s="3">
        <v>24.4</v>
      </c>
    </row>
    <row r="16" spans="1:8" ht="17" x14ac:dyDescent="0.2">
      <c r="A16" s="3">
        <v>15</v>
      </c>
      <c r="B16" s="4" t="s">
        <v>468</v>
      </c>
      <c r="C16" s="3">
        <v>26.2</v>
      </c>
      <c r="D16" s="3">
        <v>25.7</v>
      </c>
      <c r="E16" s="3">
        <v>27</v>
      </c>
      <c r="F16" s="3">
        <v>26.7</v>
      </c>
      <c r="G16" s="3">
        <v>25.6</v>
      </c>
      <c r="H16" s="3">
        <v>28.7</v>
      </c>
    </row>
    <row r="17" spans="1:8" ht="17" x14ac:dyDescent="0.2">
      <c r="A17" s="3">
        <v>16</v>
      </c>
      <c r="B17" s="4" t="s">
        <v>456</v>
      </c>
      <c r="C17" s="3">
        <v>26.3</v>
      </c>
      <c r="D17" s="3">
        <v>22.7</v>
      </c>
      <c r="E17" s="3">
        <v>24</v>
      </c>
      <c r="F17" s="3">
        <v>24.3</v>
      </c>
      <c r="G17" s="3">
        <v>28.2</v>
      </c>
      <c r="H17" s="3">
        <v>26.5</v>
      </c>
    </row>
    <row r="18" spans="1:8" ht="17" x14ac:dyDescent="0.2">
      <c r="A18" s="3">
        <v>17</v>
      </c>
      <c r="B18" s="4" t="s">
        <v>454</v>
      </c>
      <c r="C18" s="3">
        <v>26.4</v>
      </c>
      <c r="D18" s="3">
        <v>29.3</v>
      </c>
      <c r="E18" s="3">
        <v>25</v>
      </c>
      <c r="F18" s="3">
        <v>26</v>
      </c>
      <c r="G18" s="3">
        <v>26.8</v>
      </c>
      <c r="H18" s="3">
        <v>26.7</v>
      </c>
    </row>
    <row r="19" spans="1:8" ht="17" x14ac:dyDescent="0.2">
      <c r="A19" s="3">
        <v>18</v>
      </c>
      <c r="B19" s="4" t="s">
        <v>459</v>
      </c>
      <c r="C19" s="3">
        <v>26.4</v>
      </c>
      <c r="D19" s="3">
        <v>26.7</v>
      </c>
      <c r="E19" s="3">
        <v>26</v>
      </c>
      <c r="F19" s="3">
        <v>26.6</v>
      </c>
      <c r="G19" s="3">
        <v>26.2</v>
      </c>
      <c r="H19" s="3">
        <v>25.9</v>
      </c>
    </row>
    <row r="20" spans="1:8" ht="17" x14ac:dyDescent="0.2">
      <c r="A20" s="3">
        <v>19</v>
      </c>
      <c r="B20" s="4" t="s">
        <v>473</v>
      </c>
      <c r="C20" s="3">
        <v>26.7</v>
      </c>
      <c r="D20" s="3">
        <v>26</v>
      </c>
      <c r="E20" s="3">
        <v>20</v>
      </c>
      <c r="F20" s="3">
        <v>26.8</v>
      </c>
      <c r="G20" s="3">
        <v>26.5</v>
      </c>
      <c r="H20" s="3">
        <v>26.3</v>
      </c>
    </row>
    <row r="21" spans="1:8" ht="17" x14ac:dyDescent="0.2">
      <c r="A21" s="3">
        <v>20</v>
      </c>
      <c r="B21" s="4" t="s">
        <v>463</v>
      </c>
      <c r="C21" s="3">
        <v>26.8</v>
      </c>
      <c r="D21" s="3">
        <v>25</v>
      </c>
      <c r="E21" s="3">
        <v>32</v>
      </c>
      <c r="F21" s="3">
        <v>26.5</v>
      </c>
      <c r="G21" s="3">
        <v>27.2</v>
      </c>
      <c r="H21" s="3">
        <v>26.2</v>
      </c>
    </row>
    <row r="22" spans="1:8" ht="17" x14ac:dyDescent="0.2">
      <c r="A22" s="3">
        <v>21</v>
      </c>
      <c r="B22" s="4" t="s">
        <v>458</v>
      </c>
      <c r="C22" s="3">
        <v>26.9</v>
      </c>
      <c r="D22" s="3">
        <v>30.7</v>
      </c>
      <c r="E22" s="3">
        <v>31</v>
      </c>
      <c r="F22" s="3">
        <v>26</v>
      </c>
      <c r="G22" s="3">
        <v>27.9</v>
      </c>
      <c r="H22" s="3">
        <v>28.6</v>
      </c>
    </row>
    <row r="23" spans="1:8" ht="17" x14ac:dyDescent="0.2">
      <c r="A23" s="3">
        <v>22</v>
      </c>
      <c r="B23" s="4" t="s">
        <v>466</v>
      </c>
      <c r="C23" s="3">
        <v>27.1</v>
      </c>
      <c r="D23" s="3">
        <v>27.7</v>
      </c>
      <c r="E23" s="3">
        <v>30</v>
      </c>
      <c r="F23" s="3">
        <v>26.7</v>
      </c>
      <c r="G23" s="3">
        <v>27.4</v>
      </c>
      <c r="H23" s="3">
        <v>25.5</v>
      </c>
    </row>
    <row r="24" spans="1:8" ht="17" x14ac:dyDescent="0.2">
      <c r="A24" s="3">
        <v>23</v>
      </c>
      <c r="B24" s="4" t="s">
        <v>460</v>
      </c>
      <c r="C24" s="3">
        <v>27.2</v>
      </c>
      <c r="D24" s="3">
        <v>22.7</v>
      </c>
      <c r="E24" s="3">
        <v>26</v>
      </c>
      <c r="F24" s="3">
        <v>27.9</v>
      </c>
      <c r="G24" s="3">
        <v>26.7</v>
      </c>
      <c r="H24" s="3">
        <v>27.1</v>
      </c>
    </row>
    <row r="25" spans="1:8" ht="17" x14ac:dyDescent="0.2">
      <c r="A25" s="3">
        <v>24</v>
      </c>
      <c r="B25" s="4" t="s">
        <v>450</v>
      </c>
      <c r="C25" s="3">
        <v>27.9</v>
      </c>
      <c r="D25" s="3">
        <v>23.3</v>
      </c>
      <c r="E25" s="3">
        <v>29</v>
      </c>
      <c r="F25" s="3">
        <v>27.3</v>
      </c>
      <c r="G25" s="3">
        <v>28.4</v>
      </c>
      <c r="H25" s="3">
        <v>28.2</v>
      </c>
    </row>
    <row r="26" spans="1:8" ht="17" x14ac:dyDescent="0.2">
      <c r="A26" s="3">
        <v>25</v>
      </c>
      <c r="B26" s="4" t="s">
        <v>465</v>
      </c>
      <c r="C26" s="3">
        <v>28.3</v>
      </c>
      <c r="D26" s="3">
        <v>25</v>
      </c>
      <c r="E26" s="3">
        <v>24</v>
      </c>
      <c r="F26" s="3">
        <v>27.4</v>
      </c>
      <c r="G26" s="3">
        <v>29.4</v>
      </c>
      <c r="H26" s="3">
        <v>26.5</v>
      </c>
    </row>
    <row r="27" spans="1:8" ht="17" x14ac:dyDescent="0.2">
      <c r="A27" s="3">
        <v>26</v>
      </c>
      <c r="B27" s="4" t="s">
        <v>445</v>
      </c>
      <c r="C27" s="3">
        <v>28.5</v>
      </c>
      <c r="D27" s="3">
        <v>26</v>
      </c>
      <c r="E27" s="3">
        <v>21</v>
      </c>
      <c r="F27" s="3">
        <v>28.3</v>
      </c>
      <c r="G27" s="3">
        <v>28.7</v>
      </c>
      <c r="H27" s="3">
        <v>29</v>
      </c>
    </row>
    <row r="28" spans="1:8" ht="17" x14ac:dyDescent="0.2">
      <c r="A28" s="3">
        <v>27</v>
      </c>
      <c r="B28" s="4" t="s">
        <v>451</v>
      </c>
      <c r="C28" s="3">
        <v>28.6</v>
      </c>
      <c r="D28" s="3">
        <v>28.7</v>
      </c>
      <c r="E28" s="3">
        <v>26</v>
      </c>
      <c r="F28" s="3">
        <v>28.4</v>
      </c>
      <c r="G28" s="3">
        <v>28.7</v>
      </c>
      <c r="H28" s="3">
        <v>29.8</v>
      </c>
    </row>
    <row r="29" spans="1:8" ht="17" x14ac:dyDescent="0.2">
      <c r="A29" s="3">
        <v>28</v>
      </c>
      <c r="B29" s="4" t="s">
        <v>447</v>
      </c>
      <c r="C29" s="3">
        <v>28.8</v>
      </c>
      <c r="D29" s="3">
        <v>31</v>
      </c>
      <c r="E29" s="3">
        <v>33</v>
      </c>
      <c r="F29" s="3">
        <v>28</v>
      </c>
      <c r="G29" s="3">
        <v>29.4</v>
      </c>
      <c r="H29" s="3">
        <v>28.2</v>
      </c>
    </row>
    <row r="30" spans="1:8" ht="17" x14ac:dyDescent="0.2">
      <c r="A30" s="3">
        <v>29</v>
      </c>
      <c r="B30" s="4" t="s">
        <v>471</v>
      </c>
      <c r="C30" s="3">
        <v>29</v>
      </c>
      <c r="D30" s="3">
        <v>31.7</v>
      </c>
      <c r="E30" s="3">
        <v>37</v>
      </c>
      <c r="F30" s="3">
        <v>28</v>
      </c>
      <c r="G30" s="3">
        <v>29.9</v>
      </c>
      <c r="H30" s="3">
        <v>27.9</v>
      </c>
    </row>
    <row r="31" spans="1:8" ht="17" x14ac:dyDescent="0.2">
      <c r="A31" s="3">
        <v>30</v>
      </c>
      <c r="B31" s="4" t="s">
        <v>474</v>
      </c>
      <c r="C31" s="3">
        <v>29.5</v>
      </c>
      <c r="D31" s="3">
        <v>24</v>
      </c>
      <c r="E31" s="3">
        <v>14</v>
      </c>
      <c r="F31" s="3">
        <v>29.8</v>
      </c>
      <c r="G31" s="3">
        <v>29.3</v>
      </c>
      <c r="H31" s="3">
        <v>25.5</v>
      </c>
    </row>
  </sheetData>
  <hyperlinks>
    <hyperlink ref="B2" r:id="rId1" display="https://www.teamrankings.com/nba/team/orlando-magic" xr:uid="{CA1B2169-07D6-5340-B5A9-D78EEE46CDD0}"/>
    <hyperlink ref="B3" r:id="rId2" display="https://www.teamrankings.com/nba/team/houston-rockets" xr:uid="{B23C3DA2-6B94-4A4F-BC79-D05EF13E68CC}"/>
    <hyperlink ref="B4" r:id="rId3" display="https://www.teamrankings.com/nba/team/boston-celtics" xr:uid="{D2F377E0-2DBD-D040-B0F6-4BB695F8DB8E}"/>
    <hyperlink ref="B5" r:id="rId4" display="https://www.teamrankings.com/nba/team/oklahoma-city-thunder" xr:uid="{BA9F4416-06D2-B948-A5A2-3D0EB8DD7B4C}"/>
    <hyperlink ref="B6" r:id="rId5" display="https://www.teamrankings.com/nba/team/minnesota-timberwolves" xr:uid="{53883D7B-2ADA-044F-B432-9DA78783159C}"/>
    <hyperlink ref="B7" r:id="rId6" display="https://www.teamrankings.com/nba/team/milwaukee-bucks" xr:uid="{0D12C1C6-27B3-1C48-80E5-DCCF56A691CF}"/>
    <hyperlink ref="B8" r:id="rId7" display="https://www.teamrankings.com/nba/team/los-angeles-clippers" xr:uid="{EB11C300-D22C-6040-833E-83170AD4D39A}"/>
    <hyperlink ref="B9" r:id="rId8" display="https://www.teamrankings.com/nba/team/san-antonio-spurs" xr:uid="{4810DE30-CE48-9F49-A13E-E425D4E3E57C}"/>
    <hyperlink ref="B10" r:id="rId9" display="https://www.teamrankings.com/nba/team/detroit-pistons" xr:uid="{6DEDFEDD-02E2-8B4C-BEE6-47105C28C72D}"/>
    <hyperlink ref="B11" r:id="rId10" display="https://www.teamrankings.com/nba/team/memphis-grizzlies" xr:uid="{518C6D43-D5A7-F64F-AF66-0BD53960B8FD}"/>
    <hyperlink ref="B12" r:id="rId11" display="https://www.teamrankings.com/nba/team/cleveland-cavaliers" xr:uid="{51C9B0B8-29D8-AD4E-97A1-573B7DC32D91}"/>
    <hyperlink ref="B13" r:id="rId12" display="https://www.teamrankings.com/nba/team/sacramento-kings" xr:uid="{469136C7-21B4-9641-81CB-A94D43DD9885}"/>
    <hyperlink ref="B14" r:id="rId13" display="https://www.teamrankings.com/nba/team/new-york-knicks" xr:uid="{CB81DB77-8935-8A4E-A958-90445D4CB9CE}"/>
    <hyperlink ref="B15" r:id="rId14" display="https://www.teamrankings.com/nba/team/indiana-pacers" xr:uid="{1437C53D-6D5A-3343-A0AD-9EF074F0E86A}"/>
    <hyperlink ref="B16" r:id="rId15" display="https://www.teamrankings.com/nba/team/charlotte-hornets" xr:uid="{17463F3C-96E7-8143-9DA5-7F38ED437DA7}"/>
    <hyperlink ref="B17" r:id="rId16" display="https://www.teamrankings.com/nba/team/dallas-mavericks" xr:uid="{D34A13AF-1B97-914D-9AEB-27EA87E486FE}"/>
    <hyperlink ref="B18" r:id="rId17" display="https://www.teamrankings.com/nba/team/golden-state-warriors" xr:uid="{71544A5E-FF89-B240-A824-FB9722797964}"/>
    <hyperlink ref="B19" r:id="rId18" display="https://www.teamrankings.com/nba/team/philadelphia-76ers" xr:uid="{A23DF4B8-05F3-A245-969C-BED2ACDE9319}"/>
    <hyperlink ref="B20" r:id="rId19" display="https://www.teamrankings.com/nba/team/miami-heat" xr:uid="{24DCB153-B138-844F-9A9E-CEE9126B9F31}"/>
    <hyperlink ref="B21" r:id="rId20" display="https://www.teamrankings.com/nba/team/phoenix-suns" xr:uid="{C660A503-6996-7740-A88B-21BA243B63C9}"/>
    <hyperlink ref="B22" r:id="rId21" display="https://www.teamrankings.com/nba/team/toronto-raptors" xr:uid="{308CD49B-922A-8A42-A6C6-66DC338738E8}"/>
    <hyperlink ref="B23" r:id="rId22" display="https://www.teamrankings.com/nba/team/brooklyn-nets" xr:uid="{9D044029-DCAD-D541-A044-30C47116D13C}"/>
    <hyperlink ref="B24" r:id="rId23" display="https://www.teamrankings.com/nba/team/portland-trail-blazers" xr:uid="{23455E08-0367-254B-AE8B-059B46636165}"/>
    <hyperlink ref="B25" r:id="rId24" display="https://www.teamrankings.com/nba/team/los-angeles-lakers" xr:uid="{8173A9D2-6367-294F-B05C-51C8A2E0297C}"/>
    <hyperlink ref="B26" r:id="rId25" display="https://www.teamrankings.com/nba/team/new-orleans-pelicans" xr:uid="{06120674-31B8-5047-8A63-7B6C7F18199A}"/>
    <hyperlink ref="B27" r:id="rId26" display="https://www.teamrankings.com/nba/team/washington-wizards" xr:uid="{C42A3449-D973-CD4F-8C4C-84179BB3DAAE}"/>
    <hyperlink ref="B28" r:id="rId27" display="https://www.teamrankings.com/nba/team/utah-jazz" xr:uid="{E0168EF1-ADD0-6841-9782-FAA5423AAC49}"/>
    <hyperlink ref="B29" r:id="rId28" display="https://www.teamrankings.com/nba/team/atlanta-hawks" xr:uid="{BE5317FB-1989-214B-9D64-722D90285032}"/>
    <hyperlink ref="B30" r:id="rId29" display="https://www.teamrankings.com/nba/team/chicago-bulls" xr:uid="{A722A4FF-49C6-0142-9106-CAC14779F1FF}"/>
    <hyperlink ref="B31" r:id="rId30" display="https://www.teamrankings.com/nba/team/denver-nuggets" xr:uid="{0349B466-5BEC-4D46-B8AF-F6D37BFFC0C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154CC-3937-C544-A343-90934FFF25CC}">
  <sheetPr codeName="Sheet5"/>
  <dimension ref="A1:H31"/>
  <sheetViews>
    <sheetView workbookViewId="0">
      <selection activeCell="H15" sqref="H15"/>
    </sheetView>
  </sheetViews>
  <sheetFormatPr baseColWidth="10" defaultRowHeight="16" x14ac:dyDescent="0.2"/>
  <cols>
    <col min="1" max="1" width="4.6640625" bestFit="1" customWidth="1"/>
    <col min="2" max="2" width="11.83203125" bestFit="1" customWidth="1"/>
    <col min="3" max="4" width="5.33203125" bestFit="1" customWidth="1"/>
    <col min="5" max="5" width="5" bestFit="1" customWidth="1"/>
    <col min="6" max="8" width="5.33203125" bestFit="1" customWidth="1"/>
  </cols>
  <sheetData>
    <row r="1" spans="1:8" x14ac:dyDescent="0.2">
      <c r="A1" s="2" t="s">
        <v>439</v>
      </c>
      <c r="B1" s="2" t="s">
        <v>440</v>
      </c>
      <c r="C1" s="2">
        <v>2024</v>
      </c>
      <c r="D1" s="2" t="s">
        <v>441</v>
      </c>
      <c r="E1" s="2" t="s">
        <v>442</v>
      </c>
      <c r="F1" s="2" t="s">
        <v>443</v>
      </c>
      <c r="G1" s="2" t="s">
        <v>444</v>
      </c>
      <c r="H1" s="2">
        <v>2023</v>
      </c>
    </row>
    <row r="2" spans="1:8" ht="17" x14ac:dyDescent="0.2">
      <c r="A2" s="3">
        <v>1</v>
      </c>
      <c r="B2" s="4" t="s">
        <v>464</v>
      </c>
      <c r="C2" s="3">
        <v>103.2</v>
      </c>
      <c r="D2" s="3">
        <v>101</v>
      </c>
      <c r="E2" s="3">
        <v>104</v>
      </c>
      <c r="F2" s="3">
        <v>101.2</v>
      </c>
      <c r="G2" s="3">
        <v>105.2</v>
      </c>
      <c r="H2" s="3">
        <v>107.4</v>
      </c>
    </row>
    <row r="3" spans="1:8" ht="17" x14ac:dyDescent="0.2">
      <c r="A3" s="3">
        <v>2</v>
      </c>
      <c r="B3" s="4" t="s">
        <v>455</v>
      </c>
      <c r="C3" s="3">
        <v>103.5</v>
      </c>
      <c r="D3" s="3">
        <v>109.3</v>
      </c>
      <c r="E3" s="3">
        <v>129</v>
      </c>
      <c r="F3" s="3">
        <v>103.3</v>
      </c>
      <c r="G3" s="3">
        <v>103.7</v>
      </c>
      <c r="H3" s="3">
        <v>111.2</v>
      </c>
    </row>
    <row r="4" spans="1:8" ht="17" x14ac:dyDescent="0.2">
      <c r="A4" s="3">
        <v>3</v>
      </c>
      <c r="B4" s="4" t="s">
        <v>457</v>
      </c>
      <c r="C4" s="3">
        <v>107.1</v>
      </c>
      <c r="D4" s="3">
        <v>114</v>
      </c>
      <c r="E4" s="3">
        <v>115</v>
      </c>
      <c r="F4" s="3">
        <v>105.5</v>
      </c>
      <c r="G4" s="3">
        <v>108.7</v>
      </c>
      <c r="H4" s="3">
        <v>113.2</v>
      </c>
    </row>
    <row r="5" spans="1:8" ht="17" x14ac:dyDescent="0.2">
      <c r="A5" s="3">
        <v>4</v>
      </c>
      <c r="B5" s="4" t="s">
        <v>469</v>
      </c>
      <c r="C5" s="3">
        <v>107.2</v>
      </c>
      <c r="D5" s="3">
        <v>97.3</v>
      </c>
      <c r="E5" s="3">
        <v>89</v>
      </c>
      <c r="F5" s="3">
        <v>106.8</v>
      </c>
      <c r="G5" s="3">
        <v>107.5</v>
      </c>
      <c r="H5" s="3">
        <v>106</v>
      </c>
    </row>
    <row r="6" spans="1:8" ht="17" x14ac:dyDescent="0.2">
      <c r="A6" s="3">
        <v>5</v>
      </c>
      <c r="B6" s="4" t="s">
        <v>462</v>
      </c>
      <c r="C6" s="3">
        <v>108.3</v>
      </c>
      <c r="D6" s="3">
        <v>99</v>
      </c>
      <c r="E6" s="3">
        <v>106</v>
      </c>
      <c r="F6" s="3">
        <v>108.9</v>
      </c>
      <c r="G6" s="3">
        <v>107.6</v>
      </c>
      <c r="H6" s="3">
        <v>107.6</v>
      </c>
    </row>
    <row r="7" spans="1:8" ht="17" x14ac:dyDescent="0.2">
      <c r="A7" s="3">
        <v>6</v>
      </c>
      <c r="B7" s="4" t="s">
        <v>470</v>
      </c>
      <c r="C7" s="3">
        <v>108.4</v>
      </c>
      <c r="D7" s="3">
        <v>113</v>
      </c>
      <c r="E7" s="3">
        <v>126</v>
      </c>
      <c r="F7" s="3">
        <v>105.4</v>
      </c>
      <c r="G7" s="3">
        <v>111.2</v>
      </c>
      <c r="H7" s="3">
        <v>112</v>
      </c>
    </row>
    <row r="8" spans="1:8" ht="17" x14ac:dyDescent="0.2">
      <c r="A8" s="3">
        <v>7</v>
      </c>
      <c r="B8" s="4" t="s">
        <v>473</v>
      </c>
      <c r="C8" s="3">
        <v>109.6</v>
      </c>
      <c r="D8" s="3">
        <v>104.3</v>
      </c>
      <c r="E8" s="3">
        <v>92</v>
      </c>
      <c r="F8" s="3">
        <v>109.2</v>
      </c>
      <c r="G8" s="3">
        <v>109.9</v>
      </c>
      <c r="H8" s="3">
        <v>108.1</v>
      </c>
    </row>
    <row r="9" spans="1:8" ht="17" x14ac:dyDescent="0.2">
      <c r="A9" s="3">
        <v>8</v>
      </c>
      <c r="B9" s="4" t="s">
        <v>448</v>
      </c>
      <c r="C9" s="3">
        <v>110</v>
      </c>
      <c r="D9" s="3">
        <v>104.7</v>
      </c>
      <c r="E9" s="3">
        <v>105</v>
      </c>
      <c r="F9" s="3">
        <v>110.2</v>
      </c>
      <c r="G9" s="3">
        <v>109.8</v>
      </c>
      <c r="H9" s="3">
        <v>116.1</v>
      </c>
    </row>
    <row r="10" spans="1:8" ht="17" x14ac:dyDescent="0.2">
      <c r="A10" s="3">
        <v>9</v>
      </c>
      <c r="B10" s="4" t="s">
        <v>472</v>
      </c>
      <c r="C10" s="3">
        <v>110.1</v>
      </c>
      <c r="D10" s="3">
        <v>113.3</v>
      </c>
      <c r="E10" s="3">
        <v>98</v>
      </c>
      <c r="F10" s="3">
        <v>107.1</v>
      </c>
      <c r="G10" s="3">
        <v>112.6</v>
      </c>
      <c r="H10" s="3">
        <v>108.7</v>
      </c>
    </row>
    <row r="11" spans="1:8" ht="17" x14ac:dyDescent="0.2">
      <c r="A11" s="3">
        <v>10</v>
      </c>
      <c r="B11" s="4" t="s">
        <v>459</v>
      </c>
      <c r="C11" s="3">
        <v>110.5</v>
      </c>
      <c r="D11" s="3">
        <v>102</v>
      </c>
      <c r="E11" s="3">
        <v>103</v>
      </c>
      <c r="F11" s="3">
        <v>110.3</v>
      </c>
      <c r="G11" s="3">
        <v>110.6</v>
      </c>
      <c r="H11" s="3">
        <v>111.2</v>
      </c>
    </row>
    <row r="12" spans="1:8" ht="17" x14ac:dyDescent="0.2">
      <c r="A12" s="3">
        <v>11</v>
      </c>
      <c r="B12" s="4" t="s">
        <v>454</v>
      </c>
      <c r="C12" s="3">
        <v>110.9</v>
      </c>
      <c r="D12" s="3">
        <v>115.7</v>
      </c>
      <c r="E12" s="3">
        <v>104</v>
      </c>
      <c r="F12" s="3">
        <v>111.3</v>
      </c>
      <c r="G12" s="3">
        <v>110.4</v>
      </c>
      <c r="H12" s="3">
        <v>115.2</v>
      </c>
    </row>
    <row r="13" spans="1:8" ht="17" x14ac:dyDescent="0.2">
      <c r="A13" s="3">
        <v>12</v>
      </c>
      <c r="B13" s="4" t="s">
        <v>467</v>
      </c>
      <c r="C13" s="3">
        <v>111.4</v>
      </c>
      <c r="D13" s="3">
        <v>117.7</v>
      </c>
      <c r="E13" s="3">
        <v>126</v>
      </c>
      <c r="F13" s="3">
        <v>110.3</v>
      </c>
      <c r="G13" s="3">
        <v>112.8</v>
      </c>
      <c r="H13" s="3">
        <v>109.4</v>
      </c>
    </row>
    <row r="14" spans="1:8" ht="17" x14ac:dyDescent="0.2">
      <c r="A14" s="3">
        <v>13</v>
      </c>
      <c r="B14" s="4" t="s">
        <v>449</v>
      </c>
      <c r="C14" s="3">
        <v>111.8</v>
      </c>
      <c r="D14" s="3">
        <v>119</v>
      </c>
      <c r="E14" s="3">
        <v>121</v>
      </c>
      <c r="F14" s="3">
        <v>112.1</v>
      </c>
      <c r="G14" s="3">
        <v>111.5</v>
      </c>
      <c r="H14" s="3">
        <v>118.6</v>
      </c>
    </row>
    <row r="15" spans="1:8" ht="17" x14ac:dyDescent="0.2">
      <c r="A15" s="3">
        <v>14</v>
      </c>
      <c r="B15" s="4" t="s">
        <v>456</v>
      </c>
      <c r="C15" s="3">
        <v>111.8</v>
      </c>
      <c r="D15" s="3">
        <v>109</v>
      </c>
      <c r="E15" s="3">
        <v>111</v>
      </c>
      <c r="F15" s="3">
        <v>107.5</v>
      </c>
      <c r="G15" s="3">
        <v>115.8</v>
      </c>
      <c r="H15" s="3">
        <v>113</v>
      </c>
    </row>
    <row r="16" spans="1:8" ht="17" x14ac:dyDescent="0.2">
      <c r="A16" s="3">
        <v>15</v>
      </c>
      <c r="B16" s="4" t="s">
        <v>468</v>
      </c>
      <c r="C16" s="3">
        <v>112.2</v>
      </c>
      <c r="D16" s="3">
        <v>105.7</v>
      </c>
      <c r="E16" s="3">
        <v>104</v>
      </c>
      <c r="F16" s="3">
        <v>110.2</v>
      </c>
      <c r="G16" s="3">
        <v>114.6</v>
      </c>
      <c r="H16" s="3">
        <v>116.8</v>
      </c>
    </row>
    <row r="17" spans="1:8" ht="17" x14ac:dyDescent="0.2">
      <c r="A17" s="3">
        <v>16</v>
      </c>
      <c r="B17" s="4" t="s">
        <v>453</v>
      </c>
      <c r="C17" s="3">
        <v>113.2</v>
      </c>
      <c r="D17" s="3">
        <v>106.7</v>
      </c>
      <c r="E17" s="3">
        <v>107</v>
      </c>
      <c r="F17" s="3">
        <v>113.4</v>
      </c>
      <c r="G17" s="3">
        <v>113</v>
      </c>
      <c r="H17" s="3">
        <v>119</v>
      </c>
    </row>
    <row r="18" spans="1:8" ht="17" x14ac:dyDescent="0.2">
      <c r="A18" s="3">
        <v>17</v>
      </c>
      <c r="B18" s="4" t="s">
        <v>466</v>
      </c>
      <c r="C18" s="3">
        <v>113.5</v>
      </c>
      <c r="D18" s="3">
        <v>116.3</v>
      </c>
      <c r="E18" s="3">
        <v>113</v>
      </c>
      <c r="F18" s="3">
        <v>113.7</v>
      </c>
      <c r="G18" s="3">
        <v>113.3</v>
      </c>
      <c r="H18" s="3">
        <v>113.3</v>
      </c>
    </row>
    <row r="19" spans="1:8" ht="17" x14ac:dyDescent="0.2">
      <c r="A19" s="3">
        <v>18</v>
      </c>
      <c r="B19" s="4" t="s">
        <v>452</v>
      </c>
      <c r="C19" s="3">
        <v>113.8</v>
      </c>
      <c r="D19" s="3">
        <v>116.7</v>
      </c>
      <c r="E19" s="3">
        <v>118</v>
      </c>
      <c r="F19" s="3">
        <v>113.7</v>
      </c>
      <c r="G19" s="3">
        <v>113.9</v>
      </c>
      <c r="H19" s="3">
        <v>114.5</v>
      </c>
    </row>
    <row r="20" spans="1:8" ht="17" x14ac:dyDescent="0.2">
      <c r="A20" s="3">
        <v>19</v>
      </c>
      <c r="B20" s="4" t="s">
        <v>463</v>
      </c>
      <c r="C20" s="3">
        <v>114</v>
      </c>
      <c r="D20" s="3">
        <v>109.7</v>
      </c>
      <c r="E20" s="3">
        <v>115</v>
      </c>
      <c r="F20" s="3">
        <v>111.7</v>
      </c>
      <c r="G20" s="3">
        <v>116.5</v>
      </c>
      <c r="H20" s="3">
        <v>113.4</v>
      </c>
    </row>
    <row r="21" spans="1:8" ht="17" x14ac:dyDescent="0.2">
      <c r="A21" s="3">
        <v>19</v>
      </c>
      <c r="B21" s="4" t="s">
        <v>450</v>
      </c>
      <c r="C21" s="3">
        <v>114</v>
      </c>
      <c r="D21" s="3">
        <v>113</v>
      </c>
      <c r="E21" s="3">
        <v>118</v>
      </c>
      <c r="F21" s="3">
        <v>112.9</v>
      </c>
      <c r="G21" s="3">
        <v>114.9</v>
      </c>
      <c r="H21" s="3">
        <v>116.7</v>
      </c>
    </row>
    <row r="22" spans="1:8" ht="17" x14ac:dyDescent="0.2">
      <c r="A22" s="3">
        <v>21</v>
      </c>
      <c r="B22" s="4" t="s">
        <v>461</v>
      </c>
      <c r="C22" s="3">
        <v>114.8</v>
      </c>
      <c r="D22" s="3">
        <v>114.7</v>
      </c>
      <c r="E22" s="3">
        <v>119</v>
      </c>
      <c r="F22" s="3">
        <v>111</v>
      </c>
      <c r="G22" s="3">
        <v>119.1</v>
      </c>
      <c r="H22" s="3">
        <v>112.8</v>
      </c>
    </row>
    <row r="23" spans="1:8" ht="17" x14ac:dyDescent="0.2">
      <c r="A23" s="3">
        <v>22</v>
      </c>
      <c r="B23" s="4" t="s">
        <v>446</v>
      </c>
      <c r="C23" s="3">
        <v>116</v>
      </c>
      <c r="D23" s="3">
        <v>106.7</v>
      </c>
      <c r="E23" s="3">
        <v>113</v>
      </c>
      <c r="F23" s="3">
        <v>115.7</v>
      </c>
      <c r="G23" s="3">
        <v>116.2</v>
      </c>
      <c r="H23" s="3">
        <v>119</v>
      </c>
    </row>
    <row r="24" spans="1:8" ht="17" x14ac:dyDescent="0.2">
      <c r="A24" s="3">
        <v>23</v>
      </c>
      <c r="B24" s="4" t="s">
        <v>460</v>
      </c>
      <c r="C24" s="3">
        <v>116.4</v>
      </c>
      <c r="D24" s="3">
        <v>111.7</v>
      </c>
      <c r="E24" s="3">
        <v>117</v>
      </c>
      <c r="F24" s="3">
        <v>120.5</v>
      </c>
      <c r="G24" s="3">
        <v>113.2</v>
      </c>
      <c r="H24" s="3">
        <v>115.4</v>
      </c>
    </row>
    <row r="25" spans="1:8" ht="17" x14ac:dyDescent="0.2">
      <c r="A25" s="3">
        <v>24</v>
      </c>
      <c r="B25" s="4" t="s">
        <v>474</v>
      </c>
      <c r="C25" s="3">
        <v>116.9</v>
      </c>
      <c r="D25" s="3">
        <v>110.7</v>
      </c>
      <c r="E25" s="3">
        <v>103</v>
      </c>
      <c r="F25" s="3">
        <v>116.2</v>
      </c>
      <c r="G25" s="3">
        <v>117.5</v>
      </c>
      <c r="H25" s="3">
        <v>108.9</v>
      </c>
    </row>
    <row r="26" spans="1:8" ht="17" x14ac:dyDescent="0.2">
      <c r="A26" s="3">
        <v>25</v>
      </c>
      <c r="B26" s="4" t="s">
        <v>465</v>
      </c>
      <c r="C26" s="3">
        <v>117.2</v>
      </c>
      <c r="D26" s="3">
        <v>107</v>
      </c>
      <c r="E26" s="3">
        <v>119</v>
      </c>
      <c r="F26" s="3">
        <v>116.6</v>
      </c>
      <c r="G26" s="3">
        <v>117.8</v>
      </c>
      <c r="H26" s="3">
        <v>110.3</v>
      </c>
    </row>
    <row r="27" spans="1:8" ht="17" x14ac:dyDescent="0.2">
      <c r="A27" s="3">
        <v>26</v>
      </c>
      <c r="B27" s="4" t="s">
        <v>451</v>
      </c>
      <c r="C27" s="3">
        <v>117.9</v>
      </c>
      <c r="D27" s="3">
        <v>104.3</v>
      </c>
      <c r="E27" s="3">
        <v>97</v>
      </c>
      <c r="F27" s="3">
        <v>117.1</v>
      </c>
      <c r="G27" s="3">
        <v>118.6</v>
      </c>
      <c r="H27" s="3">
        <v>120.5</v>
      </c>
    </row>
    <row r="28" spans="1:8" ht="17" x14ac:dyDescent="0.2">
      <c r="A28" s="3">
        <v>27</v>
      </c>
      <c r="B28" s="4" t="s">
        <v>458</v>
      </c>
      <c r="C28" s="3">
        <v>119.1</v>
      </c>
      <c r="D28" s="3">
        <v>124</v>
      </c>
      <c r="E28" s="3">
        <v>132</v>
      </c>
      <c r="F28" s="3">
        <v>118.3</v>
      </c>
      <c r="G28" s="3">
        <v>120.1</v>
      </c>
      <c r="H28" s="3">
        <v>118.8</v>
      </c>
    </row>
    <row r="29" spans="1:8" ht="17" x14ac:dyDescent="0.2">
      <c r="A29" s="3">
        <v>28</v>
      </c>
      <c r="B29" s="4" t="s">
        <v>447</v>
      </c>
      <c r="C29" s="3">
        <v>119.8</v>
      </c>
      <c r="D29" s="3">
        <v>125</v>
      </c>
      <c r="E29" s="3">
        <v>123</v>
      </c>
      <c r="F29" s="3">
        <v>120.6</v>
      </c>
      <c r="G29" s="3">
        <v>119.2</v>
      </c>
      <c r="H29" s="3">
        <v>120.6</v>
      </c>
    </row>
    <row r="30" spans="1:8" ht="17" x14ac:dyDescent="0.2">
      <c r="A30" s="3">
        <v>29</v>
      </c>
      <c r="B30" s="4" t="s">
        <v>471</v>
      </c>
      <c r="C30" s="3">
        <v>121.2</v>
      </c>
      <c r="D30" s="3">
        <v>121.7</v>
      </c>
      <c r="E30" s="3">
        <v>129</v>
      </c>
      <c r="F30" s="3">
        <v>120.3</v>
      </c>
      <c r="G30" s="3">
        <v>122</v>
      </c>
      <c r="H30" s="3">
        <v>113.7</v>
      </c>
    </row>
    <row r="31" spans="1:8" ht="17" x14ac:dyDescent="0.2">
      <c r="A31" s="3">
        <v>30</v>
      </c>
      <c r="B31" s="4" t="s">
        <v>445</v>
      </c>
      <c r="C31" s="3">
        <v>121.9</v>
      </c>
      <c r="D31" s="3">
        <v>118</v>
      </c>
      <c r="E31" s="3">
        <v>109</v>
      </c>
      <c r="F31" s="3">
        <v>122.2</v>
      </c>
      <c r="G31" s="3">
        <v>121.4</v>
      </c>
      <c r="H31" s="3">
        <v>123</v>
      </c>
    </row>
  </sheetData>
  <hyperlinks>
    <hyperlink ref="B2" r:id="rId1" display="https://www.teamrankings.com/nba/team/orlando-magic" xr:uid="{23948241-CE0D-9A46-8842-6CFFA8254454}"/>
    <hyperlink ref="B3" r:id="rId2" display="https://www.teamrankings.com/nba/team/oklahoma-city-thunder" xr:uid="{43BA8D7A-825A-164F-AEEE-8DBF2B6F0C16}"/>
    <hyperlink ref="B4" r:id="rId3" display="https://www.teamrankings.com/nba/team/houston-rockets" xr:uid="{B942DE6F-A2B2-A743-AC6B-2D8D0E1579C4}"/>
    <hyperlink ref="B5" r:id="rId4" display="https://www.teamrankings.com/nba/team/minnesota-timberwolves" xr:uid="{B9BFCF31-5EE8-5846-800A-507277113E4D}"/>
    <hyperlink ref="B6" r:id="rId5" display="https://www.teamrankings.com/nba/team/boston-celtics" xr:uid="{BC445B8E-2F1D-3D4C-B313-4AF0593EA3B5}"/>
    <hyperlink ref="B7" r:id="rId6" display="https://www.teamrankings.com/nba/team/los-angeles-clippers" xr:uid="{6C4468D0-6245-A544-87B8-9DB719109A73}"/>
    <hyperlink ref="B8" r:id="rId7" display="https://www.teamrankings.com/nba/team/miami-heat" xr:uid="{342B400E-1A7F-7248-BFE5-EE84BBAC3254}"/>
    <hyperlink ref="B9" r:id="rId8" display="https://www.teamrankings.com/nba/team/milwaukee-bucks" xr:uid="{9E6979C1-4210-E74C-843D-76C3AD96B6BD}"/>
    <hyperlink ref="B10" r:id="rId9" display="https://www.teamrankings.com/nba/team/new-york-knicks" xr:uid="{1B5A5E50-4D6C-DD41-B8B8-795FE1334E43}"/>
    <hyperlink ref="B11" r:id="rId10" display="https://www.teamrankings.com/nba/team/philadelphia-76ers" xr:uid="{C877B19B-2D5F-5645-9FA6-210C7CB8977F}"/>
    <hyperlink ref="B12" r:id="rId11" display="https://www.teamrankings.com/nba/team/golden-state-warriors" xr:uid="{07E2702A-E792-FA46-959B-00C52B9C07F7}"/>
    <hyperlink ref="B13" r:id="rId12" display="https://www.teamrankings.com/nba/team/cleveland-cavaliers" xr:uid="{4265B1BF-4046-E44B-AC59-54092AC7C1AA}"/>
    <hyperlink ref="B14" r:id="rId13" display="https://www.teamrankings.com/nba/team/san-antonio-spurs" xr:uid="{C9B039EA-4D61-1A4B-BB8F-AFC1CE37018D}"/>
    <hyperlink ref="B15" r:id="rId14" display="https://www.teamrankings.com/nba/team/dallas-mavericks" xr:uid="{A322E566-6CA0-3842-B379-345E66DB9221}"/>
    <hyperlink ref="B16" r:id="rId15" display="https://www.teamrankings.com/nba/team/charlotte-hornets" xr:uid="{7819AE54-7BDB-E742-A173-514308021F24}"/>
    <hyperlink ref="B17" r:id="rId16" display="https://www.teamrankings.com/nba/team/detroit-pistons" xr:uid="{386D59DF-8552-BE4D-B57A-B83B2161438D}"/>
    <hyperlink ref="B18" r:id="rId17" display="https://www.teamrankings.com/nba/team/brooklyn-nets" xr:uid="{EAA0B651-DA08-F441-BE21-518A8BCB4674}"/>
    <hyperlink ref="B19" r:id="rId18" display="https://www.teamrankings.com/nba/team/sacramento-kings" xr:uid="{A3FE9C83-7BA4-A846-A40C-AA924CC4FFB4}"/>
    <hyperlink ref="B20" r:id="rId19" display="https://www.teamrankings.com/nba/team/phoenix-suns" xr:uid="{1EE76E71-F088-1D4B-85B5-15D31CEF21A9}"/>
    <hyperlink ref="B21" r:id="rId20" display="https://www.teamrankings.com/nba/team/los-angeles-lakers" xr:uid="{8F349F64-B5FC-1B49-AE35-09EEF4FD5DDC}"/>
    <hyperlink ref="B22" r:id="rId21" display="https://www.teamrankings.com/nba/team/memphis-grizzlies" xr:uid="{6FC23984-6773-DA40-8976-EFB42DB28EA9}"/>
    <hyperlink ref="B23" r:id="rId22" display="https://www.teamrankings.com/nba/team/indiana-pacers" xr:uid="{1467464A-8014-8543-806F-4E0BE5670FD5}"/>
    <hyperlink ref="B24" r:id="rId23" display="https://www.teamrankings.com/nba/team/portland-trail-blazers" xr:uid="{784C6120-E31D-3546-A940-BF20EFED3466}"/>
    <hyperlink ref="B25" r:id="rId24" display="https://www.teamrankings.com/nba/team/denver-nuggets" xr:uid="{FC2E3F4C-2662-2B4A-92D5-34594C3C5CDF}"/>
    <hyperlink ref="B26" r:id="rId25" display="https://www.teamrankings.com/nba/team/new-orleans-pelicans" xr:uid="{2F9A1610-242E-A245-A4D3-F34F66186A9A}"/>
    <hyperlink ref="B27" r:id="rId26" display="https://www.teamrankings.com/nba/team/utah-jazz" xr:uid="{AC8D80A0-0D97-E349-8BFD-F9BF1A84AC80}"/>
    <hyperlink ref="B28" r:id="rId27" display="https://www.teamrankings.com/nba/team/toronto-raptors" xr:uid="{934A439C-4C1F-1444-9F96-59091C076288}"/>
    <hyperlink ref="B29" r:id="rId28" display="https://www.teamrankings.com/nba/team/atlanta-hawks" xr:uid="{36252104-5722-3B42-A07A-447E855EE4D8}"/>
    <hyperlink ref="B30" r:id="rId29" display="https://www.teamrankings.com/nba/team/chicago-bulls" xr:uid="{A4B3511F-7504-6F42-8CC7-A62687F1BE84}"/>
    <hyperlink ref="B31" r:id="rId30" display="https://www.teamrankings.com/nba/team/washington-wizards" xr:uid="{9C31943A-DCC8-CE44-A89C-31C10EB609C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2C4DB-EB2B-F142-B570-F252B2A38A47}">
  <sheetPr codeName="Sheet6"/>
  <dimension ref="A1:H31"/>
  <sheetViews>
    <sheetView topLeftCell="B1" workbookViewId="0">
      <selection activeCell="K1" sqref="K1"/>
    </sheetView>
  </sheetViews>
  <sheetFormatPr baseColWidth="10" defaultRowHeight="16" x14ac:dyDescent="0.2"/>
  <cols>
    <col min="1" max="1" width="4.6640625" customWidth="1"/>
    <col min="2" max="2" width="11.83203125" bestFit="1" customWidth="1"/>
    <col min="3" max="8" width="5.33203125" customWidth="1"/>
  </cols>
  <sheetData>
    <row r="1" spans="1:8" x14ac:dyDescent="0.2">
      <c r="A1" s="2" t="s">
        <v>439</v>
      </c>
      <c r="B1" s="2" t="s">
        <v>440</v>
      </c>
      <c r="C1" s="2">
        <v>2024</v>
      </c>
      <c r="D1" s="2" t="s">
        <v>441</v>
      </c>
      <c r="E1" s="2" t="s">
        <v>442</v>
      </c>
      <c r="F1" s="2" t="s">
        <v>443</v>
      </c>
      <c r="G1" s="2" t="s">
        <v>444</v>
      </c>
      <c r="H1" s="2">
        <v>2023</v>
      </c>
    </row>
    <row r="2" spans="1:8" ht="17" x14ac:dyDescent="0.2">
      <c r="A2" s="3">
        <v>1</v>
      </c>
      <c r="B2" s="4" t="s">
        <v>461</v>
      </c>
      <c r="C2" s="3">
        <v>109.2</v>
      </c>
      <c r="D2" s="3">
        <v>106.9</v>
      </c>
      <c r="E2" s="3">
        <v>110.4</v>
      </c>
      <c r="F2" s="3">
        <v>108.5</v>
      </c>
      <c r="G2" s="3">
        <v>109.9</v>
      </c>
      <c r="H2" s="3">
        <v>102</v>
      </c>
    </row>
    <row r="3" spans="1:8" ht="17" x14ac:dyDescent="0.2">
      <c r="A3" s="3">
        <v>2</v>
      </c>
      <c r="B3" s="4" t="s">
        <v>471</v>
      </c>
      <c r="C3" s="3">
        <v>107.3</v>
      </c>
      <c r="D3" s="3">
        <v>106.4</v>
      </c>
      <c r="E3" s="3">
        <v>106.7</v>
      </c>
      <c r="F3" s="3">
        <v>106.8</v>
      </c>
      <c r="G3" s="3">
        <v>107.8</v>
      </c>
      <c r="H3" s="3">
        <v>100.9</v>
      </c>
    </row>
    <row r="4" spans="1:8" ht="17" x14ac:dyDescent="0.2">
      <c r="A4" s="3">
        <v>3</v>
      </c>
      <c r="B4" s="4" t="s">
        <v>447</v>
      </c>
      <c r="C4" s="3">
        <v>107.2</v>
      </c>
      <c r="D4" s="3">
        <v>101</v>
      </c>
      <c r="E4" s="3">
        <v>96.6</v>
      </c>
      <c r="F4" s="3">
        <v>108.1</v>
      </c>
      <c r="G4" s="3">
        <v>106.5</v>
      </c>
      <c r="H4" s="3">
        <v>104.3</v>
      </c>
    </row>
    <row r="5" spans="1:8" ht="17" x14ac:dyDescent="0.2">
      <c r="A5" s="3">
        <v>4</v>
      </c>
      <c r="B5" s="4" t="s">
        <v>445</v>
      </c>
      <c r="C5" s="3">
        <v>105.6</v>
      </c>
      <c r="D5" s="3">
        <v>99.5</v>
      </c>
      <c r="E5" s="3">
        <v>97.2</v>
      </c>
      <c r="F5" s="3">
        <v>106.7</v>
      </c>
      <c r="G5" s="3">
        <v>104.4</v>
      </c>
      <c r="H5" s="3">
        <v>106</v>
      </c>
    </row>
    <row r="6" spans="1:8" ht="17" x14ac:dyDescent="0.2">
      <c r="A6" s="3">
        <v>5</v>
      </c>
      <c r="B6" s="4" t="s">
        <v>474</v>
      </c>
      <c r="C6" s="3">
        <v>104.9</v>
      </c>
      <c r="D6" s="3">
        <v>104.2</v>
      </c>
      <c r="E6" s="3">
        <v>102</v>
      </c>
      <c r="F6" s="3">
        <v>103.3</v>
      </c>
      <c r="G6" s="3">
        <v>106.4</v>
      </c>
      <c r="H6" s="3">
        <v>99.4</v>
      </c>
    </row>
    <row r="7" spans="1:8" ht="17" x14ac:dyDescent="0.2">
      <c r="A7" s="3">
        <v>6</v>
      </c>
      <c r="B7" s="4" t="s">
        <v>458</v>
      </c>
      <c r="C7" s="3">
        <v>104</v>
      </c>
      <c r="D7" s="3">
        <v>99.3</v>
      </c>
      <c r="E7" s="3">
        <v>97.5</v>
      </c>
      <c r="F7" s="3">
        <v>105.4</v>
      </c>
      <c r="G7" s="3">
        <v>102.5</v>
      </c>
      <c r="H7" s="3">
        <v>103.2</v>
      </c>
    </row>
    <row r="8" spans="1:8" ht="17" x14ac:dyDescent="0.2">
      <c r="A8" s="3">
        <v>7</v>
      </c>
      <c r="B8" s="4" t="s">
        <v>452</v>
      </c>
      <c r="C8" s="3">
        <v>103.7</v>
      </c>
      <c r="D8" s="3">
        <v>109.9</v>
      </c>
      <c r="E8" s="3">
        <v>117.1</v>
      </c>
      <c r="F8" s="3">
        <v>102.9</v>
      </c>
      <c r="G8" s="3">
        <v>104.8</v>
      </c>
      <c r="H8" s="3">
        <v>102.7</v>
      </c>
    </row>
    <row r="9" spans="1:8" ht="17" x14ac:dyDescent="0.2">
      <c r="A9" s="3">
        <v>8</v>
      </c>
      <c r="B9" s="4" t="s">
        <v>454</v>
      </c>
      <c r="C9" s="3">
        <v>103.3</v>
      </c>
      <c r="D9" s="3">
        <v>100.9</v>
      </c>
      <c r="E9" s="3">
        <v>99.1</v>
      </c>
      <c r="F9" s="3">
        <v>103.2</v>
      </c>
      <c r="G9" s="3">
        <v>103.4</v>
      </c>
      <c r="H9" s="3">
        <v>103.2</v>
      </c>
    </row>
    <row r="10" spans="1:8" ht="17" x14ac:dyDescent="0.2">
      <c r="A10" s="3">
        <v>9</v>
      </c>
      <c r="B10" s="4" t="s">
        <v>467</v>
      </c>
      <c r="C10" s="3">
        <v>103.3</v>
      </c>
      <c r="D10" s="3">
        <v>101.4</v>
      </c>
      <c r="E10" s="3">
        <v>97.5</v>
      </c>
      <c r="F10" s="3">
        <v>103.9</v>
      </c>
      <c r="G10" s="3">
        <v>102.5</v>
      </c>
      <c r="H10" s="3">
        <v>100.2</v>
      </c>
    </row>
    <row r="11" spans="1:8" ht="17" x14ac:dyDescent="0.2">
      <c r="A11" s="3">
        <v>10</v>
      </c>
      <c r="B11" s="4" t="s">
        <v>446</v>
      </c>
      <c r="C11" s="3">
        <v>103.2</v>
      </c>
      <c r="D11" s="3">
        <v>100.8</v>
      </c>
      <c r="E11" s="3">
        <v>106.7</v>
      </c>
      <c r="F11" s="3">
        <v>103.7</v>
      </c>
      <c r="G11" s="3">
        <v>102.8</v>
      </c>
      <c r="H11" s="3">
        <v>104</v>
      </c>
    </row>
    <row r="12" spans="1:8" ht="17" x14ac:dyDescent="0.2">
      <c r="A12" s="3">
        <v>11</v>
      </c>
      <c r="B12" s="4" t="s">
        <v>457</v>
      </c>
      <c r="C12" s="3">
        <v>103</v>
      </c>
      <c r="D12" s="3">
        <v>101.2</v>
      </c>
      <c r="E12" s="3">
        <v>110.4</v>
      </c>
      <c r="F12" s="3">
        <v>102.8</v>
      </c>
      <c r="G12" s="3">
        <v>103.2</v>
      </c>
      <c r="H12" s="3">
        <v>103.3</v>
      </c>
    </row>
    <row r="13" spans="1:8" ht="17" x14ac:dyDescent="0.2">
      <c r="A13" s="3">
        <v>12</v>
      </c>
      <c r="B13" s="4" t="s">
        <v>453</v>
      </c>
      <c r="C13" s="3">
        <v>102.9</v>
      </c>
      <c r="D13" s="3">
        <v>100.6</v>
      </c>
      <c r="E13" s="3">
        <v>99.1</v>
      </c>
      <c r="F13" s="3">
        <v>103.8</v>
      </c>
      <c r="G13" s="3">
        <v>102.2</v>
      </c>
      <c r="H13" s="3">
        <v>103.4</v>
      </c>
    </row>
    <row r="14" spans="1:8" ht="17" x14ac:dyDescent="0.2">
      <c r="A14" s="3">
        <v>13</v>
      </c>
      <c r="B14" s="4" t="s">
        <v>455</v>
      </c>
      <c r="C14" s="3">
        <v>102.9</v>
      </c>
      <c r="D14" s="3">
        <v>101.3</v>
      </c>
      <c r="E14" s="3">
        <v>104</v>
      </c>
      <c r="F14" s="3">
        <v>102.2</v>
      </c>
      <c r="G14" s="3">
        <v>103.5</v>
      </c>
      <c r="H14" s="3">
        <v>103</v>
      </c>
    </row>
    <row r="15" spans="1:8" ht="17" x14ac:dyDescent="0.2">
      <c r="A15" s="3">
        <v>14</v>
      </c>
      <c r="B15" s="4" t="s">
        <v>456</v>
      </c>
      <c r="C15" s="3">
        <v>102.9</v>
      </c>
      <c r="D15" s="3">
        <v>100.3</v>
      </c>
      <c r="E15" s="3">
        <v>100.9</v>
      </c>
      <c r="F15" s="3">
        <v>102</v>
      </c>
      <c r="G15" s="3">
        <v>103.6</v>
      </c>
      <c r="H15" s="3">
        <v>101.7</v>
      </c>
    </row>
    <row r="16" spans="1:8" ht="17" x14ac:dyDescent="0.2">
      <c r="A16" s="3">
        <v>15</v>
      </c>
      <c r="B16" s="4" t="s">
        <v>460</v>
      </c>
      <c r="C16" s="3">
        <v>102.6</v>
      </c>
      <c r="D16" s="3">
        <v>99.3</v>
      </c>
      <c r="E16" s="3">
        <v>100.9</v>
      </c>
      <c r="F16" s="3">
        <v>104.6</v>
      </c>
      <c r="G16" s="3">
        <v>101.1</v>
      </c>
      <c r="H16" s="3">
        <v>101.8</v>
      </c>
    </row>
    <row r="17" spans="1:8" ht="17" x14ac:dyDescent="0.2">
      <c r="A17" s="3">
        <v>16</v>
      </c>
      <c r="B17" s="4" t="s">
        <v>465</v>
      </c>
      <c r="C17" s="3">
        <v>102.5</v>
      </c>
      <c r="D17" s="3">
        <v>100.7</v>
      </c>
      <c r="E17" s="3">
        <v>95.2</v>
      </c>
      <c r="F17" s="3">
        <v>102.6</v>
      </c>
      <c r="G17" s="3">
        <v>102.4</v>
      </c>
      <c r="H17" s="3">
        <v>100.8</v>
      </c>
    </row>
    <row r="18" spans="1:8" ht="17" x14ac:dyDescent="0.2">
      <c r="A18" s="3">
        <v>17</v>
      </c>
      <c r="B18" s="4" t="s">
        <v>448</v>
      </c>
      <c r="C18" s="3">
        <v>102.4</v>
      </c>
      <c r="D18" s="3">
        <v>102.9</v>
      </c>
      <c r="E18" s="3">
        <v>102</v>
      </c>
      <c r="F18" s="3">
        <v>103.3</v>
      </c>
      <c r="G18" s="3">
        <v>101.6</v>
      </c>
      <c r="H18" s="3">
        <v>103.2</v>
      </c>
    </row>
    <row r="19" spans="1:8" ht="17" x14ac:dyDescent="0.2">
      <c r="A19" s="3">
        <v>18</v>
      </c>
      <c r="B19" s="4" t="s">
        <v>449</v>
      </c>
      <c r="C19" s="3">
        <v>102.2</v>
      </c>
      <c r="D19" s="3">
        <v>107.1</v>
      </c>
      <c r="E19" s="3">
        <v>102</v>
      </c>
      <c r="F19" s="3">
        <v>102.7</v>
      </c>
      <c r="G19" s="3">
        <v>101.6</v>
      </c>
      <c r="H19" s="3">
        <v>105</v>
      </c>
    </row>
    <row r="20" spans="1:8" ht="17" x14ac:dyDescent="0.2">
      <c r="A20" s="3">
        <v>19</v>
      </c>
      <c r="B20" s="4" t="s">
        <v>468</v>
      </c>
      <c r="C20" s="3">
        <v>102.2</v>
      </c>
      <c r="D20" s="3">
        <v>103.1</v>
      </c>
      <c r="E20" s="3">
        <v>104.9</v>
      </c>
      <c r="F20" s="3">
        <v>101.7</v>
      </c>
      <c r="G20" s="3">
        <v>102.9</v>
      </c>
      <c r="H20" s="3">
        <v>100.4</v>
      </c>
    </row>
    <row r="21" spans="1:8" ht="17" x14ac:dyDescent="0.2">
      <c r="A21" s="3">
        <v>20</v>
      </c>
      <c r="B21" s="4" t="s">
        <v>451</v>
      </c>
      <c r="C21" s="3">
        <v>101.9</v>
      </c>
      <c r="D21" s="3">
        <v>97.6</v>
      </c>
      <c r="E21" s="3">
        <v>98.1</v>
      </c>
      <c r="F21" s="3">
        <v>100.6</v>
      </c>
      <c r="G21" s="3">
        <v>102.9</v>
      </c>
      <c r="H21" s="3">
        <v>103.6</v>
      </c>
    </row>
    <row r="22" spans="1:8" ht="17" x14ac:dyDescent="0.2">
      <c r="A22" s="3">
        <v>21</v>
      </c>
      <c r="B22" s="4" t="s">
        <v>470</v>
      </c>
      <c r="C22" s="3">
        <v>101.7</v>
      </c>
      <c r="D22" s="3">
        <v>104.5</v>
      </c>
      <c r="E22" s="3">
        <v>102</v>
      </c>
      <c r="F22" s="3">
        <v>101.3</v>
      </c>
      <c r="G22" s="3">
        <v>102.1</v>
      </c>
      <c r="H22" s="3">
        <v>100.1</v>
      </c>
    </row>
    <row r="23" spans="1:8" ht="17" x14ac:dyDescent="0.2">
      <c r="A23" s="3">
        <v>22</v>
      </c>
      <c r="B23" s="4" t="s">
        <v>462</v>
      </c>
      <c r="C23" s="3">
        <v>101.6</v>
      </c>
      <c r="D23" s="3">
        <v>96.2</v>
      </c>
      <c r="E23" s="3">
        <v>97.8</v>
      </c>
      <c r="F23" s="3">
        <v>100.6</v>
      </c>
      <c r="G23" s="3">
        <v>102.6</v>
      </c>
      <c r="H23" s="3">
        <v>99.9</v>
      </c>
    </row>
    <row r="24" spans="1:8" ht="17" x14ac:dyDescent="0.2">
      <c r="A24" s="3">
        <v>23</v>
      </c>
      <c r="B24" s="4" t="s">
        <v>450</v>
      </c>
      <c r="C24" s="3">
        <v>101.4</v>
      </c>
      <c r="D24" s="3">
        <v>96.5</v>
      </c>
      <c r="E24" s="3">
        <v>93</v>
      </c>
      <c r="F24" s="3">
        <v>102.1</v>
      </c>
      <c r="G24" s="3">
        <v>100.8</v>
      </c>
      <c r="H24" s="3">
        <v>104.4</v>
      </c>
    </row>
    <row r="25" spans="1:8" ht="17" x14ac:dyDescent="0.2">
      <c r="A25" s="3">
        <v>24</v>
      </c>
      <c r="B25" s="4" t="s">
        <v>473</v>
      </c>
      <c r="C25" s="3">
        <v>101.3</v>
      </c>
      <c r="D25" s="3">
        <v>105.3</v>
      </c>
      <c r="E25" s="3">
        <v>98.1</v>
      </c>
      <c r="F25" s="3">
        <v>99.8</v>
      </c>
      <c r="G25" s="3">
        <v>102.6</v>
      </c>
      <c r="H25" s="3">
        <v>99.2</v>
      </c>
    </row>
    <row r="26" spans="1:8" ht="17" x14ac:dyDescent="0.2">
      <c r="A26" s="3">
        <v>25</v>
      </c>
      <c r="B26" s="4" t="s">
        <v>459</v>
      </c>
      <c r="C26" s="3">
        <v>101</v>
      </c>
      <c r="D26" s="3">
        <v>100.5</v>
      </c>
      <c r="E26" s="3">
        <v>97.2</v>
      </c>
      <c r="F26" s="3">
        <v>100.2</v>
      </c>
      <c r="G26" s="3">
        <v>101.6</v>
      </c>
      <c r="H26" s="3">
        <v>101.1</v>
      </c>
    </row>
    <row r="27" spans="1:8" ht="17" x14ac:dyDescent="0.2">
      <c r="A27" s="3">
        <v>26</v>
      </c>
      <c r="B27" s="4" t="s">
        <v>469</v>
      </c>
      <c r="C27" s="3">
        <v>100.9</v>
      </c>
      <c r="D27" s="3">
        <v>100.5</v>
      </c>
      <c r="E27" s="3">
        <v>97.4</v>
      </c>
      <c r="F27" s="3">
        <v>100.7</v>
      </c>
      <c r="G27" s="3">
        <v>101.1</v>
      </c>
      <c r="H27" s="3">
        <v>99.9</v>
      </c>
    </row>
    <row r="28" spans="1:8" ht="17" x14ac:dyDescent="0.2">
      <c r="A28" s="3">
        <v>27</v>
      </c>
      <c r="B28" s="4" t="s">
        <v>463</v>
      </c>
      <c r="C28" s="3">
        <v>100.9</v>
      </c>
      <c r="D28" s="3">
        <v>99.7</v>
      </c>
      <c r="E28" s="3">
        <v>96.6</v>
      </c>
      <c r="F28" s="3">
        <v>101.5</v>
      </c>
      <c r="G28" s="3">
        <v>100.2</v>
      </c>
      <c r="H28" s="3">
        <v>101.9</v>
      </c>
    </row>
    <row r="29" spans="1:8" ht="17" x14ac:dyDescent="0.2">
      <c r="A29" s="3">
        <v>28</v>
      </c>
      <c r="B29" s="4" t="s">
        <v>466</v>
      </c>
      <c r="C29" s="3">
        <v>100.7</v>
      </c>
      <c r="D29" s="3">
        <v>101.5</v>
      </c>
      <c r="E29" s="3">
        <v>100.8</v>
      </c>
      <c r="F29" s="3">
        <v>100.5</v>
      </c>
      <c r="G29" s="3">
        <v>100.8</v>
      </c>
      <c r="H29" s="3">
        <v>100.8</v>
      </c>
    </row>
    <row r="30" spans="1:8" ht="17" x14ac:dyDescent="0.2">
      <c r="A30" s="3">
        <v>29</v>
      </c>
      <c r="B30" s="4" t="s">
        <v>472</v>
      </c>
      <c r="C30" s="3">
        <v>100.3</v>
      </c>
      <c r="D30" s="3">
        <v>97.6</v>
      </c>
      <c r="E30" s="3">
        <v>95.8</v>
      </c>
      <c r="F30" s="3">
        <v>100</v>
      </c>
      <c r="G30" s="3">
        <v>100.6</v>
      </c>
      <c r="H30" s="3">
        <v>98.5</v>
      </c>
    </row>
    <row r="31" spans="1:8" ht="17" x14ac:dyDescent="0.2">
      <c r="A31" s="3">
        <v>30</v>
      </c>
      <c r="B31" s="4" t="s">
        <v>464</v>
      </c>
      <c r="C31" s="3">
        <v>99.9</v>
      </c>
      <c r="D31" s="3">
        <v>96.4</v>
      </c>
      <c r="E31" s="3">
        <v>97.4</v>
      </c>
      <c r="F31" s="3">
        <v>100</v>
      </c>
      <c r="G31" s="3">
        <v>99.8</v>
      </c>
      <c r="H31" s="3">
        <v>100.5</v>
      </c>
    </row>
  </sheetData>
  <hyperlinks>
    <hyperlink ref="B2" r:id="rId1" display="https://www.teamrankings.com/nba/team/memphis-grizzlies" xr:uid="{59B34920-4175-864B-8B07-0F03FA7481D5}"/>
    <hyperlink ref="B3" r:id="rId2" display="https://www.teamrankings.com/nba/team/chicago-bulls" xr:uid="{C6FC3F6F-3EEA-5246-B813-8C2E22206002}"/>
    <hyperlink ref="B4" r:id="rId3" display="https://www.teamrankings.com/nba/team/atlanta-hawks" xr:uid="{7A62A22A-BD6E-5B4E-B2BF-E6F7945F1EDB}"/>
    <hyperlink ref="B5" r:id="rId4" display="https://www.teamrankings.com/nba/team/washington-wizards" xr:uid="{56540529-B295-A645-91B8-0BB19410D62F}"/>
    <hyperlink ref="B6" r:id="rId5" display="https://www.teamrankings.com/nba/team/denver-nuggets" xr:uid="{E945747F-F4FD-D043-A3E0-992B3DA55AF0}"/>
    <hyperlink ref="B7" r:id="rId6" display="https://www.teamrankings.com/nba/team/toronto-raptors" xr:uid="{B4A45577-F75B-C64C-B2D0-3B26580515D9}"/>
    <hyperlink ref="B8" r:id="rId7" display="https://www.teamrankings.com/nba/team/sacramento-kings" xr:uid="{B22E4C7A-A3DF-FB43-9342-56803A5AB568}"/>
    <hyperlink ref="B9" r:id="rId8" display="https://www.teamrankings.com/nba/team/golden-state-warriors" xr:uid="{2012F11A-2EDC-E94E-B23E-64FC2D76CB3A}"/>
    <hyperlink ref="B10" r:id="rId9" display="https://www.teamrankings.com/nba/team/cleveland-cavaliers" xr:uid="{18A2B00D-CF4F-6E46-B20E-753678944D5E}"/>
    <hyperlink ref="B11" r:id="rId10" display="https://www.teamrankings.com/nba/team/indiana-pacers" xr:uid="{030C7D4D-82A2-324C-B913-05738BAFEC79}"/>
    <hyperlink ref="B12" r:id="rId11" display="https://www.teamrankings.com/nba/team/houston-rockets" xr:uid="{A01A65C1-F4B5-AD46-A520-32E8E31E37AD}"/>
    <hyperlink ref="B13" r:id="rId12" display="https://www.teamrankings.com/nba/team/detroit-pistons" xr:uid="{FD7C8CA0-78B0-5A43-B120-F1339BC3F109}"/>
    <hyperlink ref="B14" r:id="rId13" display="https://www.teamrankings.com/nba/team/oklahoma-city-thunder" xr:uid="{A02588EA-C2A3-DA45-AF76-3156746513B8}"/>
    <hyperlink ref="B15" r:id="rId14" display="https://www.teamrankings.com/nba/team/dallas-mavericks" xr:uid="{A078AC19-6B31-CB45-A2DB-1B7C96253E1C}"/>
    <hyperlink ref="B16" r:id="rId15" display="https://www.teamrankings.com/nba/team/portland-trail-blazers" xr:uid="{8EF5233B-35B0-3941-A4C2-BFD19074C534}"/>
    <hyperlink ref="B17" r:id="rId16" display="https://www.teamrankings.com/nba/team/new-orleans-pelicans" xr:uid="{307859A8-031F-1549-9AC7-F19A7F7AAF5E}"/>
    <hyperlink ref="B18" r:id="rId17" display="https://www.teamrankings.com/nba/team/milwaukee-bucks" xr:uid="{FB11D29D-8F24-8E48-805A-D99F68BB8295}"/>
    <hyperlink ref="B19" r:id="rId18" display="https://www.teamrankings.com/nba/team/san-antonio-spurs" xr:uid="{2E745AB2-6C46-B146-AE33-26C4D1F85392}"/>
    <hyperlink ref="B20" r:id="rId19" display="https://www.teamrankings.com/nba/team/charlotte-hornets" xr:uid="{BA12336A-C5C4-6847-96FB-F5FCEBDB7728}"/>
    <hyperlink ref="B21" r:id="rId20" display="https://www.teamrankings.com/nba/team/utah-jazz" xr:uid="{ABAA7865-679A-EA49-968C-BE813B907CD9}"/>
    <hyperlink ref="B22" r:id="rId21" display="https://www.teamrankings.com/nba/team/los-angeles-clippers" xr:uid="{077957CF-638B-B344-BA05-0AAB0DD95317}"/>
    <hyperlink ref="B23" r:id="rId22" display="https://www.teamrankings.com/nba/team/boston-celtics" xr:uid="{23316F7A-45C7-6040-94FD-0FB90A3052AF}"/>
    <hyperlink ref="B24" r:id="rId23" display="https://www.teamrankings.com/nba/team/los-angeles-lakers" xr:uid="{9A18E928-6281-9746-9913-701080530402}"/>
    <hyperlink ref="B25" r:id="rId24" display="https://www.teamrankings.com/nba/team/miami-heat" xr:uid="{9A8AD065-6351-5849-AE41-9496F0FDD4B0}"/>
    <hyperlink ref="B26" r:id="rId25" display="https://www.teamrankings.com/nba/team/philadelphia-76ers" xr:uid="{20661F83-1E27-5A4A-8D5D-EAAF7D022256}"/>
    <hyperlink ref="B27" r:id="rId26" display="https://www.teamrankings.com/nba/team/minnesota-timberwolves" xr:uid="{1C00B6C6-67AA-1447-B7DA-6199ED1B08D6}"/>
    <hyperlink ref="B28" r:id="rId27" display="https://www.teamrankings.com/nba/team/phoenix-suns" xr:uid="{AC46105D-AEE4-CA42-9F06-374A9672DA68}"/>
    <hyperlink ref="B29" r:id="rId28" display="https://www.teamrankings.com/nba/team/brooklyn-nets" xr:uid="{BF6A6F85-7000-3A4B-BB4A-CA8B97C85BD3}"/>
    <hyperlink ref="B30" r:id="rId29" display="https://www.teamrankings.com/nba/team/new-york-knicks" xr:uid="{F80B5756-5308-2D48-8356-FFAF84B5CB12}"/>
    <hyperlink ref="B31" r:id="rId30" display="https://www.teamrankings.com/nba/team/orlando-magic" xr:uid="{B8A5F185-C42C-F244-BB76-867EE0253BDF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06433-9021-064D-B132-89626DB874C7}">
  <sheetPr codeName="Sheet7"/>
  <dimension ref="A1:H33"/>
  <sheetViews>
    <sheetView zoomScaleNormal="100" workbookViewId="0">
      <selection activeCell="M32" sqref="M32"/>
    </sheetView>
  </sheetViews>
  <sheetFormatPr baseColWidth="10" defaultRowHeight="16" x14ac:dyDescent="0.2"/>
  <cols>
    <col min="1" max="1" width="4.6640625" customWidth="1"/>
    <col min="2" max="2" width="11.83203125" bestFit="1" customWidth="1"/>
    <col min="3" max="8" width="6.1640625" bestFit="1" customWidth="1"/>
  </cols>
  <sheetData>
    <row r="1" spans="1:8" x14ac:dyDescent="0.2">
      <c r="A1" s="2" t="s">
        <v>439</v>
      </c>
      <c r="B1" s="2" t="s">
        <v>440</v>
      </c>
      <c r="C1" s="2">
        <v>2024</v>
      </c>
      <c r="D1" s="2" t="s">
        <v>441</v>
      </c>
      <c r="E1" s="2" t="s">
        <v>442</v>
      </c>
      <c r="F1" s="2" t="s">
        <v>443</v>
      </c>
      <c r="G1" s="2" t="s">
        <v>444</v>
      </c>
      <c r="H1" s="2">
        <v>2023</v>
      </c>
    </row>
    <row r="2" spans="1:8" ht="17" x14ac:dyDescent="0.2">
      <c r="A2" s="3">
        <v>1</v>
      </c>
      <c r="B2" s="4" t="s">
        <v>457</v>
      </c>
      <c r="C2" s="6">
        <v>0.308</v>
      </c>
      <c r="D2" s="6">
        <v>0.373</v>
      </c>
      <c r="E2" s="6">
        <v>0.32700000000000001</v>
      </c>
      <c r="F2" s="6">
        <v>0.3</v>
      </c>
      <c r="G2" s="6">
        <v>0.316</v>
      </c>
      <c r="H2" s="6">
        <v>0.251</v>
      </c>
    </row>
    <row r="3" spans="1:8" ht="17" x14ac:dyDescent="0.2">
      <c r="A3" s="3">
        <v>2</v>
      </c>
      <c r="B3" s="4" t="s">
        <v>461</v>
      </c>
      <c r="C3" s="6">
        <v>0.28899999999999998</v>
      </c>
      <c r="D3" s="6">
        <v>0.29199999999999998</v>
      </c>
      <c r="E3" s="6">
        <v>0.26300000000000001</v>
      </c>
      <c r="F3" s="6">
        <v>0.28999999999999998</v>
      </c>
      <c r="G3" s="6">
        <v>0.28699999999999998</v>
      </c>
      <c r="H3" s="6">
        <v>0.23799999999999999</v>
      </c>
    </row>
    <row r="4" spans="1:8" ht="17" x14ac:dyDescent="0.2">
      <c r="A4" s="3">
        <v>3</v>
      </c>
      <c r="B4" s="4" t="s">
        <v>451</v>
      </c>
      <c r="C4" s="6">
        <v>0.28000000000000003</v>
      </c>
      <c r="D4" s="6">
        <v>0.26500000000000001</v>
      </c>
      <c r="E4" s="6">
        <v>0.23400000000000001</v>
      </c>
      <c r="F4" s="6">
        <v>0.28899999999999998</v>
      </c>
      <c r="G4" s="6">
        <v>0.27300000000000002</v>
      </c>
      <c r="H4" s="6">
        <v>0.28100000000000003</v>
      </c>
    </row>
    <row r="5" spans="1:8" ht="17" x14ac:dyDescent="0.2">
      <c r="A5" s="3">
        <v>4</v>
      </c>
      <c r="B5" s="4" t="s">
        <v>468</v>
      </c>
      <c r="C5" s="6">
        <v>0.27700000000000002</v>
      </c>
      <c r="D5" s="6">
        <v>0.28999999999999998</v>
      </c>
      <c r="E5" s="6">
        <v>0.37</v>
      </c>
      <c r="F5" s="6">
        <v>0.27</v>
      </c>
      <c r="G5" s="6">
        <v>0.28399999999999997</v>
      </c>
      <c r="H5" s="6">
        <v>0.21099999999999999</v>
      </c>
    </row>
    <row r="6" spans="1:8" ht="17" x14ac:dyDescent="0.2">
      <c r="A6" s="3">
        <v>5</v>
      </c>
      <c r="B6" s="4" t="s">
        <v>460</v>
      </c>
      <c r="C6" s="6">
        <v>0.27700000000000002</v>
      </c>
      <c r="D6" s="6">
        <v>0.28999999999999998</v>
      </c>
      <c r="E6" s="6">
        <v>0.27500000000000002</v>
      </c>
      <c r="F6" s="6">
        <v>0.27500000000000002</v>
      </c>
      <c r="G6" s="6">
        <v>0.27800000000000002</v>
      </c>
      <c r="H6" s="6">
        <v>0.27500000000000002</v>
      </c>
    </row>
    <row r="7" spans="1:8" ht="17" x14ac:dyDescent="0.2">
      <c r="A7" s="3">
        <v>6</v>
      </c>
      <c r="B7" s="4" t="s">
        <v>458</v>
      </c>
      <c r="C7" s="6">
        <v>0.27500000000000002</v>
      </c>
      <c r="D7" s="6">
        <v>0.22500000000000001</v>
      </c>
      <c r="E7" s="6">
        <v>0.25700000000000001</v>
      </c>
      <c r="F7" s="6">
        <v>0.27</v>
      </c>
      <c r="G7" s="6">
        <v>0.28199999999999997</v>
      </c>
      <c r="H7" s="6">
        <v>0.24199999999999999</v>
      </c>
    </row>
    <row r="8" spans="1:8" ht="17" x14ac:dyDescent="0.2">
      <c r="A8" s="3">
        <v>7</v>
      </c>
      <c r="B8" s="4" t="s">
        <v>465</v>
      </c>
      <c r="C8" s="6">
        <v>0.27</v>
      </c>
      <c r="D8" s="6">
        <v>0.28000000000000003</v>
      </c>
      <c r="E8" s="6">
        <v>0.38300000000000001</v>
      </c>
      <c r="F8" s="6">
        <v>0.27300000000000002</v>
      </c>
      <c r="G8" s="6">
        <v>0.26600000000000001</v>
      </c>
      <c r="H8" s="6">
        <v>0.245</v>
      </c>
    </row>
    <row r="9" spans="1:8" ht="17" x14ac:dyDescent="0.2">
      <c r="A9" s="3">
        <v>8</v>
      </c>
      <c r="B9" s="4" t="s">
        <v>454</v>
      </c>
      <c r="C9" s="6">
        <v>0.26900000000000002</v>
      </c>
      <c r="D9" s="6">
        <v>0.25</v>
      </c>
      <c r="E9" s="6">
        <v>0.313</v>
      </c>
      <c r="F9" s="6">
        <v>0.26100000000000001</v>
      </c>
      <c r="G9" s="6">
        <v>0.27900000000000003</v>
      </c>
      <c r="H9" s="6">
        <v>0.27400000000000002</v>
      </c>
    </row>
    <row r="10" spans="1:8" ht="17" x14ac:dyDescent="0.2">
      <c r="A10" s="3">
        <v>9</v>
      </c>
      <c r="B10" s="4" t="s">
        <v>447</v>
      </c>
      <c r="C10" s="6">
        <v>0.26200000000000001</v>
      </c>
      <c r="D10" s="6">
        <v>0.20899999999999999</v>
      </c>
      <c r="E10" s="6">
        <v>0.21099999999999999</v>
      </c>
      <c r="F10" s="6">
        <v>0.23499999999999999</v>
      </c>
      <c r="G10" s="6">
        <v>0.28199999999999997</v>
      </c>
      <c r="H10" s="6">
        <v>0.27</v>
      </c>
    </row>
    <row r="11" spans="1:8" ht="17" x14ac:dyDescent="0.2">
      <c r="A11" s="3">
        <v>10</v>
      </c>
      <c r="B11" s="4" t="s">
        <v>456</v>
      </c>
      <c r="C11" s="6">
        <v>0.25800000000000001</v>
      </c>
      <c r="D11" s="6">
        <v>0.28799999999999998</v>
      </c>
      <c r="E11" s="6">
        <v>0.35599999999999998</v>
      </c>
      <c r="F11" s="6">
        <v>0.26900000000000002</v>
      </c>
      <c r="G11" s="6">
        <v>0.247</v>
      </c>
      <c r="H11" s="6">
        <v>0.23</v>
      </c>
    </row>
    <row r="12" spans="1:8" ht="17" x14ac:dyDescent="0.2">
      <c r="A12" s="3">
        <v>11</v>
      </c>
      <c r="B12" s="4" t="s">
        <v>453</v>
      </c>
      <c r="C12" s="6">
        <v>0.25700000000000001</v>
      </c>
      <c r="D12" s="6">
        <v>0.248</v>
      </c>
      <c r="E12" s="6">
        <v>0.17100000000000001</v>
      </c>
      <c r="F12" s="6">
        <v>0.26200000000000001</v>
      </c>
      <c r="G12" s="6">
        <v>0.253</v>
      </c>
      <c r="H12" s="6">
        <v>0.23899999999999999</v>
      </c>
    </row>
    <row r="13" spans="1:8" ht="17" x14ac:dyDescent="0.2">
      <c r="A13" s="3">
        <v>12</v>
      </c>
      <c r="B13" s="4" t="s">
        <v>474</v>
      </c>
      <c r="C13" s="6">
        <v>0.253</v>
      </c>
      <c r="D13" s="6">
        <v>0.24299999999999999</v>
      </c>
      <c r="E13" s="6">
        <v>0.184</v>
      </c>
      <c r="F13" s="6">
        <v>0.247</v>
      </c>
      <c r="G13" s="6">
        <v>0.25900000000000001</v>
      </c>
      <c r="H13" s="6">
        <v>0.252</v>
      </c>
    </row>
    <row r="14" spans="1:8" ht="17" x14ac:dyDescent="0.2">
      <c r="A14" s="3">
        <v>13</v>
      </c>
      <c r="B14" s="4" t="s">
        <v>464</v>
      </c>
      <c r="C14" s="6">
        <v>0.253</v>
      </c>
      <c r="D14" s="6">
        <v>0.26100000000000001</v>
      </c>
      <c r="E14" s="6">
        <v>0.26500000000000001</v>
      </c>
      <c r="F14" s="6">
        <v>0.26300000000000001</v>
      </c>
      <c r="G14" s="6">
        <v>0.24399999999999999</v>
      </c>
      <c r="H14" s="6">
        <v>0.255</v>
      </c>
    </row>
    <row r="15" spans="1:8" ht="17" x14ac:dyDescent="0.2">
      <c r="A15" s="3">
        <v>14</v>
      </c>
      <c r="B15" s="4" t="s">
        <v>472</v>
      </c>
      <c r="C15" s="6">
        <v>0.251</v>
      </c>
      <c r="D15" s="6">
        <v>0.33100000000000002</v>
      </c>
      <c r="E15" s="6">
        <v>0.375</v>
      </c>
      <c r="F15" s="6">
        <v>0.251</v>
      </c>
      <c r="G15" s="6">
        <v>0.251</v>
      </c>
      <c r="H15" s="6">
        <v>0.29699999999999999</v>
      </c>
    </row>
    <row r="16" spans="1:8" ht="17" x14ac:dyDescent="0.2">
      <c r="A16" s="3">
        <v>15</v>
      </c>
      <c r="B16" s="4" t="s">
        <v>449</v>
      </c>
      <c r="C16" s="6">
        <v>0.248</v>
      </c>
      <c r="D16" s="6">
        <v>0.23499999999999999</v>
      </c>
      <c r="E16" s="6">
        <v>0.20300000000000001</v>
      </c>
      <c r="F16" s="6">
        <v>0.252</v>
      </c>
      <c r="G16" s="6">
        <v>0.24299999999999999</v>
      </c>
      <c r="H16" s="6">
        <v>0.22900000000000001</v>
      </c>
    </row>
    <row r="17" spans="1:8" ht="17" x14ac:dyDescent="0.2">
      <c r="A17" s="3">
        <v>16</v>
      </c>
      <c r="B17" s="4" t="s">
        <v>470</v>
      </c>
      <c r="C17" s="6">
        <v>0.246</v>
      </c>
      <c r="D17" s="6">
        <v>0.21299999999999999</v>
      </c>
      <c r="E17" s="6">
        <v>0.191</v>
      </c>
      <c r="F17" s="6">
        <v>0.246</v>
      </c>
      <c r="G17" s="6">
        <v>0.247</v>
      </c>
      <c r="H17" s="6">
        <v>0.245</v>
      </c>
    </row>
    <row r="18" spans="1:8" ht="17" x14ac:dyDescent="0.2">
      <c r="A18" s="3">
        <v>17</v>
      </c>
      <c r="B18" s="4" t="s">
        <v>462</v>
      </c>
      <c r="C18" s="6">
        <v>0.246</v>
      </c>
      <c r="D18" s="6">
        <v>0.28899999999999998</v>
      </c>
      <c r="E18" s="6">
        <v>0.29699999999999999</v>
      </c>
      <c r="F18" s="6">
        <v>0.23300000000000001</v>
      </c>
      <c r="G18" s="6">
        <v>0.26</v>
      </c>
      <c r="H18" s="6">
        <v>0.247</v>
      </c>
    </row>
    <row r="19" spans="1:8" ht="17" x14ac:dyDescent="0.2">
      <c r="A19" s="3">
        <v>18</v>
      </c>
      <c r="B19" s="4" t="s">
        <v>452</v>
      </c>
      <c r="C19" s="6">
        <v>0.246</v>
      </c>
      <c r="D19" s="6">
        <v>0.26800000000000002</v>
      </c>
      <c r="E19" s="6">
        <v>0.30499999999999999</v>
      </c>
      <c r="F19" s="6">
        <v>0.247</v>
      </c>
      <c r="G19" s="6">
        <v>0.24299999999999999</v>
      </c>
      <c r="H19" s="6">
        <v>0.246</v>
      </c>
    </row>
    <row r="20" spans="1:8" ht="17" x14ac:dyDescent="0.2">
      <c r="A20" s="3">
        <v>19</v>
      </c>
      <c r="B20" s="4" t="s">
        <v>469</v>
      </c>
      <c r="C20" s="6">
        <v>0.23899999999999999</v>
      </c>
      <c r="D20" s="6">
        <v>0.29199999999999998</v>
      </c>
      <c r="E20" s="6">
        <v>0.29199999999999998</v>
      </c>
      <c r="F20" s="6">
        <v>0.249</v>
      </c>
      <c r="G20" s="6">
        <v>0.23</v>
      </c>
      <c r="H20" s="6">
        <v>0.23699999999999999</v>
      </c>
    </row>
    <row r="21" spans="1:8" ht="17" x14ac:dyDescent="0.2">
      <c r="A21" s="3">
        <v>20</v>
      </c>
      <c r="B21" s="4" t="s">
        <v>445</v>
      </c>
      <c r="C21" s="6">
        <v>0.23499999999999999</v>
      </c>
      <c r="D21" s="6">
        <v>0.314</v>
      </c>
      <c r="E21" s="6">
        <v>0.40899999999999997</v>
      </c>
      <c r="F21" s="6">
        <v>0.23699999999999999</v>
      </c>
      <c r="G21" s="6">
        <v>0.23300000000000001</v>
      </c>
      <c r="H21" s="6">
        <v>0.2</v>
      </c>
    </row>
    <row r="22" spans="1:8" ht="17" x14ac:dyDescent="0.2">
      <c r="A22" s="3">
        <v>21</v>
      </c>
      <c r="B22" s="4" t="s">
        <v>459</v>
      </c>
      <c r="C22" s="6">
        <v>0.23100000000000001</v>
      </c>
      <c r="D22" s="6">
        <v>0.221</v>
      </c>
      <c r="E22" s="6">
        <v>0.23300000000000001</v>
      </c>
      <c r="F22" s="6">
        <v>0.24</v>
      </c>
      <c r="G22" s="6">
        <v>0.222</v>
      </c>
      <c r="H22" s="6">
        <v>0.25</v>
      </c>
    </row>
    <row r="23" spans="1:8" ht="17" x14ac:dyDescent="0.2">
      <c r="A23" s="3">
        <v>22</v>
      </c>
      <c r="B23" s="4" t="s">
        <v>467</v>
      </c>
      <c r="C23" s="6">
        <v>0.23</v>
      </c>
      <c r="D23" s="6">
        <v>0.28699999999999998</v>
      </c>
      <c r="E23" s="6">
        <v>0.36399999999999999</v>
      </c>
      <c r="F23" s="6">
        <v>0.223</v>
      </c>
      <c r="G23" s="6">
        <v>0.24</v>
      </c>
      <c r="H23" s="6">
        <v>0.22600000000000001</v>
      </c>
    </row>
    <row r="24" spans="1:8" ht="17" x14ac:dyDescent="0.2">
      <c r="A24" s="3">
        <v>23</v>
      </c>
      <c r="B24" s="4" t="s">
        <v>450</v>
      </c>
      <c r="C24" s="6">
        <v>0.222</v>
      </c>
      <c r="D24" s="6">
        <v>0.26200000000000001</v>
      </c>
      <c r="E24" s="6">
        <v>0.13200000000000001</v>
      </c>
      <c r="F24" s="6">
        <v>0.222</v>
      </c>
      <c r="G24" s="6">
        <v>0.223</v>
      </c>
      <c r="H24" s="6">
        <v>0.19800000000000001</v>
      </c>
    </row>
    <row r="25" spans="1:8" ht="17" x14ac:dyDescent="0.2">
      <c r="A25" s="3">
        <v>24</v>
      </c>
      <c r="B25" s="4" t="s">
        <v>455</v>
      </c>
      <c r="C25" s="6">
        <v>0.221</v>
      </c>
      <c r="D25" s="6">
        <v>0.20799999999999999</v>
      </c>
      <c r="E25" s="6">
        <v>0.24299999999999999</v>
      </c>
      <c r="F25" s="6">
        <v>0.22600000000000001</v>
      </c>
      <c r="G25" s="6">
        <v>0.216</v>
      </c>
      <c r="H25" s="6">
        <v>0.21099999999999999</v>
      </c>
    </row>
    <row r="26" spans="1:8" ht="17" x14ac:dyDescent="0.2">
      <c r="A26" s="3">
        <v>25</v>
      </c>
      <c r="B26" s="4" t="s">
        <v>466</v>
      </c>
      <c r="C26" s="6">
        <v>0.22</v>
      </c>
      <c r="D26" s="6">
        <v>0.246</v>
      </c>
      <c r="E26" s="6">
        <v>0.20499999999999999</v>
      </c>
      <c r="F26" s="6">
        <v>0.215</v>
      </c>
      <c r="G26" s="6">
        <v>0.224</v>
      </c>
      <c r="H26" s="6">
        <v>0.252</v>
      </c>
    </row>
    <row r="27" spans="1:8" ht="17" x14ac:dyDescent="0.2">
      <c r="A27" s="3">
        <v>26</v>
      </c>
      <c r="B27" s="4" t="s">
        <v>463</v>
      </c>
      <c r="C27" s="6">
        <v>0.219</v>
      </c>
      <c r="D27" s="6">
        <v>0.19800000000000001</v>
      </c>
      <c r="E27" s="6">
        <v>0.33300000000000002</v>
      </c>
      <c r="F27" s="6">
        <v>0.214</v>
      </c>
      <c r="G27" s="6">
        <v>0.22500000000000001</v>
      </c>
      <c r="H27" s="6">
        <v>0.247</v>
      </c>
    </row>
    <row r="28" spans="1:8" ht="17" x14ac:dyDescent="0.2">
      <c r="A28" s="3">
        <v>27</v>
      </c>
      <c r="B28" s="4" t="s">
        <v>473</v>
      </c>
      <c r="C28" s="6">
        <v>0.217</v>
      </c>
      <c r="D28" s="6">
        <v>0.219</v>
      </c>
      <c r="E28" s="6">
        <v>0.255</v>
      </c>
      <c r="F28" s="6">
        <v>0.20399999999999999</v>
      </c>
      <c r="G28" s="6">
        <v>0.22800000000000001</v>
      </c>
      <c r="H28" s="6">
        <v>0.215</v>
      </c>
    </row>
    <row r="29" spans="1:8" ht="17" x14ac:dyDescent="0.2">
      <c r="A29" s="3">
        <v>28</v>
      </c>
      <c r="B29" s="4" t="s">
        <v>446</v>
      </c>
      <c r="C29" s="6">
        <v>0.21299999999999999</v>
      </c>
      <c r="D29" s="6">
        <v>0.26400000000000001</v>
      </c>
      <c r="E29" s="6">
        <v>0.33300000000000002</v>
      </c>
      <c r="F29" s="6">
        <v>0.23</v>
      </c>
      <c r="G29" s="6">
        <v>0.20200000000000001</v>
      </c>
      <c r="H29" s="6">
        <v>0.24</v>
      </c>
    </row>
    <row r="30" spans="1:8" ht="17" x14ac:dyDescent="0.2">
      <c r="A30" s="3">
        <v>29</v>
      </c>
      <c r="B30" s="4" t="s">
        <v>471</v>
      </c>
      <c r="C30" s="6">
        <v>0.20499999999999999</v>
      </c>
      <c r="D30" s="6">
        <v>0.246</v>
      </c>
      <c r="E30" s="6">
        <v>0.22500000000000001</v>
      </c>
      <c r="F30" s="6">
        <v>0.2</v>
      </c>
      <c r="G30" s="6">
        <v>0.21</v>
      </c>
      <c r="H30" s="6">
        <v>0.25</v>
      </c>
    </row>
    <row r="31" spans="1:8" ht="17" x14ac:dyDescent="0.2">
      <c r="A31" s="3">
        <v>30</v>
      </c>
      <c r="B31" s="4" t="s">
        <v>448</v>
      </c>
      <c r="C31" s="6">
        <v>0.19400000000000001</v>
      </c>
      <c r="D31" s="6">
        <v>0.185</v>
      </c>
      <c r="E31" s="6">
        <v>0.22700000000000001</v>
      </c>
      <c r="F31" s="6">
        <v>0.2</v>
      </c>
      <c r="G31" s="6">
        <v>0.187</v>
      </c>
      <c r="H31" s="6">
        <v>0.218</v>
      </c>
    </row>
    <row r="33" spans="2:3" x14ac:dyDescent="0.2">
      <c r="B33" s="7" t="s">
        <v>516</v>
      </c>
      <c r="C33" s="5">
        <f>AVERAGE(C2:C31)</f>
        <v>0.24703333333333338</v>
      </c>
    </row>
  </sheetData>
  <hyperlinks>
    <hyperlink ref="B2" r:id="rId1" display="https://www.teamrankings.com/nba/team/houston-rockets" xr:uid="{3195C40F-471F-9D40-9FE0-5537CB2B54B9}"/>
    <hyperlink ref="B3" r:id="rId2" display="https://www.teamrankings.com/nba/team/memphis-grizzlies" xr:uid="{C9D1DC84-9121-DD4E-8401-1EF29259DE5C}"/>
    <hyperlink ref="B4" r:id="rId3" display="https://www.teamrankings.com/nba/team/utah-jazz" xr:uid="{286777AF-AFFA-F947-8430-F0B4DF010985}"/>
    <hyperlink ref="B5" r:id="rId4" display="https://www.teamrankings.com/nba/team/charlotte-hornets" xr:uid="{8E2AA5F3-3623-1F46-8A2B-4A863D111A62}"/>
    <hyperlink ref="B6" r:id="rId5" display="https://www.teamrankings.com/nba/team/portland-trail-blazers" xr:uid="{31E18226-D8F5-3347-970C-72F184AE3B37}"/>
    <hyperlink ref="B7" r:id="rId6" display="https://www.teamrankings.com/nba/team/toronto-raptors" xr:uid="{80ECC17B-E648-1249-BD74-8473BF008636}"/>
    <hyperlink ref="B8" r:id="rId7" display="https://www.teamrankings.com/nba/team/new-orleans-pelicans" xr:uid="{5B9F833A-BF0C-4942-9C3C-2031D573A7E5}"/>
    <hyperlink ref="B9" r:id="rId8" display="https://www.teamrankings.com/nba/team/golden-state-warriors" xr:uid="{EF158A6C-5F1F-AA49-8225-BF2BE98A0D13}"/>
    <hyperlink ref="B10" r:id="rId9" display="https://www.teamrankings.com/nba/team/atlanta-hawks" xr:uid="{5D176206-B34C-024B-890F-F35B3CE6D464}"/>
    <hyperlink ref="B11" r:id="rId10" display="https://www.teamrankings.com/nba/team/dallas-mavericks" xr:uid="{1F884C24-1AB9-7E4A-854A-1F17EC80938C}"/>
    <hyperlink ref="B12" r:id="rId11" display="https://www.teamrankings.com/nba/team/detroit-pistons" xr:uid="{19F65728-86FE-114D-B092-E6D84412A02D}"/>
    <hyperlink ref="B13" r:id="rId12" display="https://www.teamrankings.com/nba/team/denver-nuggets" xr:uid="{271338B5-BAB0-BB4E-9D3C-644446D312F8}"/>
    <hyperlink ref="B14" r:id="rId13" display="https://www.teamrankings.com/nba/team/orlando-magic" xr:uid="{186C2DCA-7174-904B-A9A8-D3A71393F3E2}"/>
    <hyperlink ref="B15" r:id="rId14" display="https://www.teamrankings.com/nba/team/new-york-knicks" xr:uid="{F4A6E202-0DEE-244C-B179-F19811DBF69E}"/>
    <hyperlink ref="B16" r:id="rId15" display="https://www.teamrankings.com/nba/team/san-antonio-spurs" xr:uid="{F2F98535-82BA-674D-9CD3-1689AE2AB0EF}"/>
    <hyperlink ref="B17" r:id="rId16" display="https://www.teamrankings.com/nba/team/los-angeles-clippers" xr:uid="{2781C1A7-CD11-5942-935B-06DE11F8148E}"/>
    <hyperlink ref="B18" r:id="rId17" display="https://www.teamrankings.com/nba/team/boston-celtics" xr:uid="{181AF6CD-6552-3147-A97F-6869DACE3E1F}"/>
    <hyperlink ref="B19" r:id="rId18" display="https://www.teamrankings.com/nba/team/sacramento-kings" xr:uid="{A0C213B1-757F-D847-A838-73401084A8E0}"/>
    <hyperlink ref="B20" r:id="rId19" display="https://www.teamrankings.com/nba/team/minnesota-timberwolves" xr:uid="{D5BB755C-72FF-3E48-AA06-55712B6DF804}"/>
    <hyperlink ref="B21" r:id="rId20" display="https://www.teamrankings.com/nba/team/washington-wizards" xr:uid="{78D8C7BC-7F7B-554F-B31E-BF99FEDFE298}"/>
    <hyperlink ref="B22" r:id="rId21" display="https://www.teamrankings.com/nba/team/philadelphia-76ers" xr:uid="{FD907636-F41B-F740-9B3E-1914838F5238}"/>
    <hyperlink ref="B23" r:id="rId22" display="https://www.teamrankings.com/nba/team/cleveland-cavaliers" xr:uid="{CF9508DD-A362-2E43-AEDD-F1887DC88774}"/>
    <hyperlink ref="B24" r:id="rId23" display="https://www.teamrankings.com/nba/team/los-angeles-lakers" xr:uid="{F83DDC3E-76BB-A54A-92D1-29B96915D29F}"/>
    <hyperlink ref="B25" r:id="rId24" display="https://www.teamrankings.com/nba/team/oklahoma-city-thunder" xr:uid="{28379387-860C-814D-8008-B18000B8AC19}"/>
    <hyperlink ref="B26" r:id="rId25" display="https://www.teamrankings.com/nba/team/brooklyn-nets" xr:uid="{235CC53B-4594-7944-B6BB-331668A9CF67}"/>
    <hyperlink ref="B27" r:id="rId26" display="https://www.teamrankings.com/nba/team/phoenix-suns" xr:uid="{07708DD6-0E53-0148-AFDE-1A533F38431F}"/>
    <hyperlink ref="B28" r:id="rId27" display="https://www.teamrankings.com/nba/team/miami-heat" xr:uid="{06E99E66-5A42-8345-8BF2-C987472F16A3}"/>
    <hyperlink ref="B29" r:id="rId28" display="https://www.teamrankings.com/nba/team/indiana-pacers" xr:uid="{15F99AC9-0E04-E54D-B40D-30DBBA1FF7C6}"/>
    <hyperlink ref="B30" r:id="rId29" display="https://www.teamrankings.com/nba/team/chicago-bulls" xr:uid="{81E27C2D-08E8-7A4F-B5CB-413655763F18}"/>
    <hyperlink ref="B31" r:id="rId30" display="https://www.teamrankings.com/nba/team/milwaukee-bucks" xr:uid="{70899EFA-8F10-CF49-B67E-4EACB50080A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0EDF7-4E88-AB4B-91C1-320F402DBE0C}">
  <sheetPr codeName="Sheet8"/>
  <dimension ref="A1:H33"/>
  <sheetViews>
    <sheetView workbookViewId="0">
      <selection activeCell="N1" sqref="N1"/>
    </sheetView>
  </sheetViews>
  <sheetFormatPr baseColWidth="10" defaultRowHeight="16" x14ac:dyDescent="0.2"/>
  <cols>
    <col min="1" max="1" width="4.6640625" customWidth="1"/>
    <col min="2" max="2" width="11.83203125" bestFit="1" customWidth="1"/>
    <col min="3" max="8" width="6.1640625" bestFit="1" customWidth="1"/>
  </cols>
  <sheetData>
    <row r="1" spans="1:8" x14ac:dyDescent="0.2">
      <c r="A1" s="2" t="s">
        <v>439</v>
      </c>
      <c r="B1" s="2" t="s">
        <v>440</v>
      </c>
      <c r="C1" s="2">
        <v>2024</v>
      </c>
      <c r="D1" s="2" t="s">
        <v>441</v>
      </c>
      <c r="E1" s="2" t="s">
        <v>442</v>
      </c>
      <c r="F1" s="2" t="s">
        <v>443</v>
      </c>
      <c r="G1" s="2" t="s">
        <v>444</v>
      </c>
      <c r="H1" s="2">
        <v>2023</v>
      </c>
    </row>
    <row r="2" spans="1:8" ht="17" x14ac:dyDescent="0.2">
      <c r="A2" s="3">
        <v>1</v>
      </c>
      <c r="B2" s="4" t="s">
        <v>464</v>
      </c>
      <c r="C2" s="6">
        <v>0.78</v>
      </c>
      <c r="D2" s="6">
        <v>0.72099999999999997</v>
      </c>
      <c r="E2" s="6">
        <v>0.70799999999999996</v>
      </c>
      <c r="F2" s="6">
        <v>0.78500000000000003</v>
      </c>
      <c r="G2" s="6">
        <v>0.77600000000000002</v>
      </c>
      <c r="H2" s="6">
        <v>0.78300000000000003</v>
      </c>
    </row>
    <row r="3" spans="1:8" ht="17" x14ac:dyDescent="0.2">
      <c r="A3" s="3">
        <v>2</v>
      </c>
      <c r="B3" s="4" t="s">
        <v>448</v>
      </c>
      <c r="C3" s="6">
        <v>0.77500000000000002</v>
      </c>
      <c r="D3" s="6">
        <v>0.80300000000000005</v>
      </c>
      <c r="E3" s="6">
        <v>0.79700000000000004</v>
      </c>
      <c r="F3" s="6">
        <v>0.76</v>
      </c>
      <c r="G3" s="6">
        <v>0.78900000000000003</v>
      </c>
      <c r="H3" s="6">
        <v>0.77100000000000002</v>
      </c>
    </row>
    <row r="4" spans="1:8" ht="17" x14ac:dyDescent="0.2">
      <c r="A4" s="3">
        <v>3</v>
      </c>
      <c r="B4" s="4" t="s">
        <v>452</v>
      </c>
      <c r="C4" s="6">
        <v>0.77400000000000002</v>
      </c>
      <c r="D4" s="6">
        <v>0.745</v>
      </c>
      <c r="E4" s="6">
        <v>0.77800000000000002</v>
      </c>
      <c r="F4" s="6">
        <v>0.76200000000000001</v>
      </c>
      <c r="G4" s="6">
        <v>0.79</v>
      </c>
      <c r="H4" s="6">
        <v>0.78400000000000003</v>
      </c>
    </row>
    <row r="5" spans="1:8" ht="17" x14ac:dyDescent="0.2">
      <c r="A5" s="3">
        <v>4</v>
      </c>
      <c r="B5" s="4" t="s">
        <v>470</v>
      </c>
      <c r="C5" s="6">
        <v>0.77200000000000002</v>
      </c>
      <c r="D5" s="6">
        <v>0.77</v>
      </c>
      <c r="E5" s="6">
        <v>0.81599999999999995</v>
      </c>
      <c r="F5" s="6">
        <v>0.78600000000000003</v>
      </c>
      <c r="G5" s="6">
        <v>0.75900000000000001</v>
      </c>
      <c r="H5" s="6">
        <v>0.746</v>
      </c>
    </row>
    <row r="6" spans="1:8" ht="17" x14ac:dyDescent="0.2">
      <c r="A6" s="3">
        <v>5</v>
      </c>
      <c r="B6" s="4" t="s">
        <v>453</v>
      </c>
      <c r="C6" s="6">
        <v>0.77200000000000002</v>
      </c>
      <c r="D6" s="6">
        <v>0.75600000000000001</v>
      </c>
      <c r="E6" s="6">
        <v>0.68799999999999994</v>
      </c>
      <c r="F6" s="6">
        <v>0.75</v>
      </c>
      <c r="G6" s="6">
        <v>0.79300000000000004</v>
      </c>
      <c r="H6" s="6">
        <v>0.77300000000000002</v>
      </c>
    </row>
    <row r="7" spans="1:8" ht="17" x14ac:dyDescent="0.2">
      <c r="A7" s="3">
        <v>6</v>
      </c>
      <c r="B7" s="4" t="s">
        <v>471</v>
      </c>
      <c r="C7" s="6">
        <v>0.76800000000000002</v>
      </c>
      <c r="D7" s="6">
        <v>0.67800000000000005</v>
      </c>
      <c r="E7" s="6">
        <v>0.66700000000000004</v>
      </c>
      <c r="F7" s="6">
        <v>0.75700000000000001</v>
      </c>
      <c r="G7" s="6">
        <v>0.77900000000000003</v>
      </c>
      <c r="H7" s="6">
        <v>0.76400000000000001</v>
      </c>
    </row>
    <row r="8" spans="1:8" ht="17" x14ac:dyDescent="0.2">
      <c r="A8" s="3">
        <v>7</v>
      </c>
      <c r="B8" s="4" t="s">
        <v>462</v>
      </c>
      <c r="C8" s="6">
        <v>0.76600000000000001</v>
      </c>
      <c r="D8" s="6">
        <v>0.72499999999999998</v>
      </c>
      <c r="E8" s="6">
        <v>0.69799999999999995</v>
      </c>
      <c r="F8" s="6">
        <v>0.754</v>
      </c>
      <c r="G8" s="6">
        <v>0.77900000000000003</v>
      </c>
      <c r="H8" s="6">
        <v>0.77</v>
      </c>
    </row>
    <row r="9" spans="1:8" ht="17" x14ac:dyDescent="0.2">
      <c r="A9" s="3">
        <v>8</v>
      </c>
      <c r="B9" s="4" t="s">
        <v>472</v>
      </c>
      <c r="C9" s="6">
        <v>0.76300000000000001</v>
      </c>
      <c r="D9" s="6">
        <v>0.76800000000000002</v>
      </c>
      <c r="E9" s="6">
        <v>0.77800000000000002</v>
      </c>
      <c r="F9" s="6">
        <v>0.76900000000000002</v>
      </c>
      <c r="G9" s="6">
        <v>0.75900000000000001</v>
      </c>
      <c r="H9" s="6">
        <v>0.75800000000000001</v>
      </c>
    </row>
    <row r="10" spans="1:8" ht="17" x14ac:dyDescent="0.2">
      <c r="A10" s="3">
        <v>9</v>
      </c>
      <c r="B10" s="4" t="s">
        <v>466</v>
      </c>
      <c r="C10" s="6">
        <v>0.76200000000000001</v>
      </c>
      <c r="D10" s="6">
        <v>0.82299999999999995</v>
      </c>
      <c r="E10" s="6">
        <v>0.80600000000000005</v>
      </c>
      <c r="F10" s="6">
        <v>0.76300000000000001</v>
      </c>
      <c r="G10" s="6">
        <v>0.76100000000000001</v>
      </c>
      <c r="H10" s="6">
        <v>0.76</v>
      </c>
    </row>
    <row r="11" spans="1:8" ht="17" x14ac:dyDescent="0.2">
      <c r="A11" s="3">
        <v>10</v>
      </c>
      <c r="B11" s="4" t="s">
        <v>454</v>
      </c>
      <c r="C11" s="6">
        <v>0.76100000000000001</v>
      </c>
      <c r="D11" s="6">
        <v>0.79500000000000004</v>
      </c>
      <c r="E11" s="6">
        <v>0.82899999999999996</v>
      </c>
      <c r="F11" s="6">
        <v>0.75</v>
      </c>
      <c r="G11" s="6">
        <v>0.77400000000000002</v>
      </c>
      <c r="H11" s="6">
        <v>0.76</v>
      </c>
    </row>
    <row r="12" spans="1:8" ht="17" x14ac:dyDescent="0.2">
      <c r="A12" s="3">
        <v>11</v>
      </c>
      <c r="B12" s="4" t="s">
        <v>468</v>
      </c>
      <c r="C12" s="6">
        <v>0.76</v>
      </c>
      <c r="D12" s="6">
        <v>0.78</v>
      </c>
      <c r="E12" s="6">
        <v>0.83</v>
      </c>
      <c r="F12" s="6">
        <v>0.746</v>
      </c>
      <c r="G12" s="6">
        <v>0.77800000000000002</v>
      </c>
      <c r="H12" s="6">
        <v>0.745</v>
      </c>
    </row>
    <row r="13" spans="1:8" ht="17" x14ac:dyDescent="0.2">
      <c r="A13" s="3">
        <v>12</v>
      </c>
      <c r="B13" s="4" t="s">
        <v>457</v>
      </c>
      <c r="C13" s="6">
        <v>0.75900000000000001</v>
      </c>
      <c r="D13" s="6">
        <v>0.71199999999999997</v>
      </c>
      <c r="E13" s="6">
        <v>0.73699999999999999</v>
      </c>
      <c r="F13" s="6">
        <v>0.75600000000000001</v>
      </c>
      <c r="G13" s="6">
        <v>0.76200000000000001</v>
      </c>
      <c r="H13" s="6">
        <v>0.76</v>
      </c>
    </row>
    <row r="14" spans="1:8" ht="17" x14ac:dyDescent="0.2">
      <c r="A14" s="3">
        <v>13</v>
      </c>
      <c r="B14" s="4" t="s">
        <v>467</v>
      </c>
      <c r="C14" s="6">
        <v>0.755</v>
      </c>
      <c r="D14" s="6">
        <v>0.73499999999999999</v>
      </c>
      <c r="E14" s="6">
        <v>0.74299999999999999</v>
      </c>
      <c r="F14" s="6">
        <v>0.76200000000000001</v>
      </c>
      <c r="G14" s="6">
        <v>0.745</v>
      </c>
      <c r="H14" s="6">
        <v>0.76500000000000001</v>
      </c>
    </row>
    <row r="15" spans="1:8" ht="17" x14ac:dyDescent="0.2">
      <c r="A15" s="3">
        <v>14</v>
      </c>
      <c r="B15" s="4" t="s">
        <v>469</v>
      </c>
      <c r="C15" s="6">
        <v>0.754</v>
      </c>
      <c r="D15" s="6">
        <v>0.74399999999999999</v>
      </c>
      <c r="E15" s="6">
        <v>0.73499999999999999</v>
      </c>
      <c r="F15" s="6">
        <v>0.75</v>
      </c>
      <c r="G15" s="6">
        <v>0.75700000000000001</v>
      </c>
      <c r="H15" s="6">
        <v>0.77100000000000002</v>
      </c>
    </row>
    <row r="16" spans="1:8" ht="17" x14ac:dyDescent="0.2">
      <c r="A16" s="3">
        <v>15</v>
      </c>
      <c r="B16" s="4" t="s">
        <v>447</v>
      </c>
      <c r="C16" s="6">
        <v>0.753</v>
      </c>
      <c r="D16" s="6">
        <v>0.74</v>
      </c>
      <c r="E16" s="6">
        <v>0.66700000000000004</v>
      </c>
      <c r="F16" s="6">
        <v>0.75600000000000001</v>
      </c>
      <c r="G16" s="6">
        <v>0.751</v>
      </c>
      <c r="H16" s="6">
        <v>0.752</v>
      </c>
    </row>
    <row r="17" spans="1:8" ht="17" x14ac:dyDescent="0.2">
      <c r="A17" s="3">
        <v>16</v>
      </c>
      <c r="B17" s="4" t="s">
        <v>461</v>
      </c>
      <c r="C17" s="6">
        <v>0.751</v>
      </c>
      <c r="D17" s="6">
        <v>0.73599999999999999</v>
      </c>
      <c r="E17" s="6">
        <v>0.67300000000000004</v>
      </c>
      <c r="F17" s="6">
        <v>0.76500000000000001</v>
      </c>
      <c r="G17" s="6">
        <v>0.73499999999999999</v>
      </c>
      <c r="H17" s="6">
        <v>0.748</v>
      </c>
    </row>
    <row r="18" spans="1:8" ht="17" x14ac:dyDescent="0.2">
      <c r="A18" s="3">
        <v>17</v>
      </c>
      <c r="B18" s="4" t="s">
        <v>451</v>
      </c>
      <c r="C18" s="6">
        <v>0.751</v>
      </c>
      <c r="D18" s="6">
        <v>0.74199999999999999</v>
      </c>
      <c r="E18" s="6">
        <v>0.745</v>
      </c>
      <c r="F18" s="6">
        <v>0.73199999999999998</v>
      </c>
      <c r="G18" s="6">
        <v>0.76600000000000001</v>
      </c>
      <c r="H18" s="6">
        <v>0.752</v>
      </c>
    </row>
    <row r="19" spans="1:8" ht="17" x14ac:dyDescent="0.2">
      <c r="A19" s="3">
        <v>18</v>
      </c>
      <c r="B19" s="4" t="s">
        <v>463</v>
      </c>
      <c r="C19" s="6">
        <v>0.749</v>
      </c>
      <c r="D19" s="6">
        <v>0.72199999999999998</v>
      </c>
      <c r="E19" s="6">
        <v>0.78900000000000003</v>
      </c>
      <c r="F19" s="6">
        <v>0.76700000000000002</v>
      </c>
      <c r="G19" s="6">
        <v>0.72899999999999998</v>
      </c>
      <c r="H19" s="6">
        <v>0.752</v>
      </c>
    </row>
    <row r="20" spans="1:8" ht="17" x14ac:dyDescent="0.2">
      <c r="A20" s="3">
        <v>19</v>
      </c>
      <c r="B20" s="4" t="s">
        <v>473</v>
      </c>
      <c r="C20" s="6">
        <v>0.749</v>
      </c>
      <c r="D20" s="6">
        <v>0.74399999999999999</v>
      </c>
      <c r="E20" s="6">
        <v>0.76600000000000001</v>
      </c>
      <c r="F20" s="6">
        <v>0.75700000000000001</v>
      </c>
      <c r="G20" s="6">
        <v>0.74199999999999999</v>
      </c>
      <c r="H20" s="6">
        <v>0.78</v>
      </c>
    </row>
    <row r="21" spans="1:8" ht="17" x14ac:dyDescent="0.2">
      <c r="A21" s="3">
        <v>20</v>
      </c>
      <c r="B21" s="4" t="s">
        <v>459</v>
      </c>
      <c r="C21" s="6">
        <v>0.749</v>
      </c>
      <c r="D21" s="6">
        <v>0.78500000000000003</v>
      </c>
      <c r="E21" s="6">
        <v>0.59099999999999997</v>
      </c>
      <c r="F21" s="6">
        <v>0.74399999999999999</v>
      </c>
      <c r="G21" s="6">
        <v>0.752</v>
      </c>
      <c r="H21" s="6">
        <v>0.73799999999999999</v>
      </c>
    </row>
    <row r="22" spans="1:8" ht="17" x14ac:dyDescent="0.2">
      <c r="A22" s="3">
        <v>21</v>
      </c>
      <c r="B22" s="4" t="s">
        <v>449</v>
      </c>
      <c r="C22" s="6">
        <v>0.748</v>
      </c>
      <c r="D22" s="6">
        <v>0.752</v>
      </c>
      <c r="E22" s="6">
        <v>0.77300000000000002</v>
      </c>
      <c r="F22" s="6">
        <v>0.75800000000000001</v>
      </c>
      <c r="G22" s="6">
        <v>0.73599999999999999</v>
      </c>
      <c r="H22" s="6">
        <v>0.76400000000000001</v>
      </c>
    </row>
    <row r="23" spans="1:8" ht="17" x14ac:dyDescent="0.2">
      <c r="A23" s="3">
        <v>22</v>
      </c>
      <c r="B23" s="4" t="s">
        <v>446</v>
      </c>
      <c r="C23" s="6">
        <v>0.747</v>
      </c>
      <c r="D23" s="6">
        <v>0.73599999999999999</v>
      </c>
      <c r="E23" s="6">
        <v>0.77500000000000002</v>
      </c>
      <c r="F23" s="6">
        <v>0.749</v>
      </c>
      <c r="G23" s="6">
        <v>0.747</v>
      </c>
      <c r="H23" s="6">
        <v>0.73899999999999999</v>
      </c>
    </row>
    <row r="24" spans="1:8" ht="17" x14ac:dyDescent="0.2">
      <c r="A24" s="3">
        <v>23</v>
      </c>
      <c r="B24" s="4" t="s">
        <v>474</v>
      </c>
      <c r="C24" s="6">
        <v>0.745</v>
      </c>
      <c r="D24" s="6">
        <v>0.76600000000000001</v>
      </c>
      <c r="E24" s="6">
        <v>0.80900000000000005</v>
      </c>
      <c r="F24" s="6">
        <v>0.75600000000000001</v>
      </c>
      <c r="G24" s="6">
        <v>0.73499999999999999</v>
      </c>
      <c r="H24" s="6">
        <v>0.76</v>
      </c>
    </row>
    <row r="25" spans="1:8" ht="17" x14ac:dyDescent="0.2">
      <c r="A25" s="3">
        <v>24</v>
      </c>
      <c r="B25" s="4" t="s">
        <v>456</v>
      </c>
      <c r="C25" s="6">
        <v>0.74199999999999999</v>
      </c>
      <c r="D25" s="6">
        <v>0.77</v>
      </c>
      <c r="E25" s="6">
        <v>0.72499999999999998</v>
      </c>
      <c r="F25" s="6">
        <v>0.753</v>
      </c>
      <c r="G25" s="6">
        <v>0.73199999999999998</v>
      </c>
      <c r="H25" s="6">
        <v>0.755</v>
      </c>
    </row>
    <row r="26" spans="1:8" ht="17" x14ac:dyDescent="0.2">
      <c r="A26" s="3">
        <v>25</v>
      </c>
      <c r="B26" s="4" t="s">
        <v>450</v>
      </c>
      <c r="C26" s="6">
        <v>0.74</v>
      </c>
      <c r="D26" s="6">
        <v>0.69599999999999995</v>
      </c>
      <c r="E26" s="6">
        <v>0.71799999999999997</v>
      </c>
      <c r="F26" s="6">
        <v>0.73899999999999999</v>
      </c>
      <c r="G26" s="6">
        <v>0.74099999999999999</v>
      </c>
      <c r="H26" s="6">
        <v>0.76200000000000001</v>
      </c>
    </row>
    <row r="27" spans="1:8" ht="17" x14ac:dyDescent="0.2">
      <c r="A27" s="3">
        <v>26</v>
      </c>
      <c r="B27" s="4" t="s">
        <v>455</v>
      </c>
      <c r="C27" s="6">
        <v>0.73399999999999999</v>
      </c>
      <c r="D27" s="6">
        <v>0.74099999999999999</v>
      </c>
      <c r="E27" s="6">
        <v>0.70699999999999996</v>
      </c>
      <c r="F27" s="6">
        <v>0.70599999999999996</v>
      </c>
      <c r="G27" s="6">
        <v>0.75900000000000001</v>
      </c>
      <c r="H27" s="6">
        <v>0.73699999999999999</v>
      </c>
    </row>
    <row r="28" spans="1:8" ht="17" x14ac:dyDescent="0.2">
      <c r="A28" s="3">
        <v>27</v>
      </c>
      <c r="B28" s="4" t="s">
        <v>458</v>
      </c>
      <c r="C28" s="6">
        <v>0.73099999999999998</v>
      </c>
      <c r="D28" s="6">
        <v>0.67200000000000004</v>
      </c>
      <c r="E28" s="6">
        <v>0.63600000000000001</v>
      </c>
      <c r="F28" s="6">
        <v>0.74399999999999999</v>
      </c>
      <c r="G28" s="6">
        <v>0.71599999999999997</v>
      </c>
      <c r="H28" s="6">
        <v>0.73899999999999999</v>
      </c>
    </row>
    <row r="29" spans="1:8" ht="17" x14ac:dyDescent="0.2">
      <c r="A29" s="3">
        <v>28</v>
      </c>
      <c r="B29" s="4" t="s">
        <v>445</v>
      </c>
      <c r="C29" s="6">
        <v>0.72499999999999998</v>
      </c>
      <c r="D29" s="6">
        <v>0.70799999999999996</v>
      </c>
      <c r="E29" s="6">
        <v>0.76700000000000002</v>
      </c>
      <c r="F29" s="6">
        <v>0.71799999999999997</v>
      </c>
      <c r="G29" s="6">
        <v>0.73399999999999999</v>
      </c>
      <c r="H29" s="6">
        <v>0.72499999999999998</v>
      </c>
    </row>
    <row r="30" spans="1:8" ht="17" x14ac:dyDescent="0.2">
      <c r="A30" s="3">
        <v>29</v>
      </c>
      <c r="B30" s="4" t="s">
        <v>465</v>
      </c>
      <c r="C30" s="6">
        <v>0.71899999999999997</v>
      </c>
      <c r="D30" s="6">
        <v>0.72899999999999998</v>
      </c>
      <c r="E30" s="6">
        <v>0.60499999999999998</v>
      </c>
      <c r="F30" s="6">
        <v>0.71099999999999997</v>
      </c>
      <c r="G30" s="6">
        <v>0.72799999999999998</v>
      </c>
      <c r="H30" s="6">
        <v>0.77200000000000002</v>
      </c>
    </row>
    <row r="31" spans="1:8" ht="17" x14ac:dyDescent="0.2">
      <c r="A31" s="3">
        <v>30</v>
      </c>
      <c r="B31" s="4" t="s">
        <v>460</v>
      </c>
      <c r="C31" s="6">
        <v>0.71699999999999997</v>
      </c>
      <c r="D31" s="6">
        <v>0.63600000000000001</v>
      </c>
      <c r="E31" s="6">
        <v>0.64400000000000002</v>
      </c>
      <c r="F31" s="6">
        <v>0.72599999999999998</v>
      </c>
      <c r="G31" s="6">
        <v>0.71099999999999997</v>
      </c>
      <c r="H31" s="6">
        <v>0.74</v>
      </c>
    </row>
    <row r="33" spans="2:3" x14ac:dyDescent="0.2">
      <c r="B33" s="7" t="s">
        <v>516</v>
      </c>
      <c r="C33" s="5">
        <f>AVERAGE(C2:C31)</f>
        <v>0.75236666666666685</v>
      </c>
    </row>
  </sheetData>
  <hyperlinks>
    <hyperlink ref="B2" r:id="rId1" display="https://www.teamrankings.com/nba/team/orlando-magic" xr:uid="{123ACBA8-3201-3C4A-9888-479C5FD8179E}"/>
    <hyperlink ref="B3" r:id="rId2" display="https://www.teamrankings.com/nba/team/milwaukee-bucks" xr:uid="{1E13177A-EFFB-AE44-9560-8453114A7487}"/>
    <hyperlink ref="B4" r:id="rId3" display="https://www.teamrankings.com/nba/team/sacramento-kings" xr:uid="{C02F815F-8866-914B-B714-091C42C91760}"/>
    <hyperlink ref="B5" r:id="rId4" display="https://www.teamrankings.com/nba/team/los-angeles-clippers" xr:uid="{A4822C63-4A86-EC4E-AA51-6D1D837E7D7F}"/>
    <hyperlink ref="B6" r:id="rId5" display="https://www.teamrankings.com/nba/team/detroit-pistons" xr:uid="{049B2B8D-83AF-FB46-BF45-F6E79F6F5824}"/>
    <hyperlink ref="B7" r:id="rId6" display="https://www.teamrankings.com/nba/team/chicago-bulls" xr:uid="{33371121-73E7-0046-99D1-D9065075AA1A}"/>
    <hyperlink ref="B8" r:id="rId7" display="https://www.teamrankings.com/nba/team/boston-celtics" xr:uid="{D115FAB5-F67F-3C40-9D41-734E05542B3F}"/>
    <hyperlink ref="B9" r:id="rId8" display="https://www.teamrankings.com/nba/team/new-york-knicks" xr:uid="{89EA5897-4AF3-F744-BBAC-C1FE5F4F8A78}"/>
    <hyperlink ref="B10" r:id="rId9" display="https://www.teamrankings.com/nba/team/brooklyn-nets" xr:uid="{22860009-E209-B847-B851-2BC4315CF754}"/>
    <hyperlink ref="B11" r:id="rId10" display="https://www.teamrankings.com/nba/team/golden-state-warriors" xr:uid="{E063C3BE-04DE-654A-ABEC-B266242A4CDB}"/>
    <hyperlink ref="B12" r:id="rId11" display="https://www.teamrankings.com/nba/team/charlotte-hornets" xr:uid="{105A5CF6-9224-D244-AF35-CBFE75EAC973}"/>
    <hyperlink ref="B13" r:id="rId12" display="https://www.teamrankings.com/nba/team/houston-rockets" xr:uid="{69E0DB81-CD75-D34C-B09F-87E6B748E93B}"/>
    <hyperlink ref="B14" r:id="rId13" display="https://www.teamrankings.com/nba/team/cleveland-cavaliers" xr:uid="{B21BDEDC-5BE7-0041-9054-D316D8B23295}"/>
    <hyperlink ref="B15" r:id="rId14" display="https://www.teamrankings.com/nba/team/minnesota-timberwolves" xr:uid="{48B90C33-413E-394B-86DB-5085EC462075}"/>
    <hyperlink ref="B16" r:id="rId15" display="https://www.teamrankings.com/nba/team/atlanta-hawks" xr:uid="{D18ACA15-F68D-074C-A631-E8522C714FE9}"/>
    <hyperlink ref="B17" r:id="rId16" display="https://www.teamrankings.com/nba/team/memphis-grizzlies" xr:uid="{344FD2D9-D670-B24B-BD0C-24D761986B18}"/>
    <hyperlink ref="B18" r:id="rId17" display="https://www.teamrankings.com/nba/team/utah-jazz" xr:uid="{B2362FBA-DCE4-664B-93B2-15F2F3BF573A}"/>
    <hyperlink ref="B19" r:id="rId18" display="https://www.teamrankings.com/nba/team/phoenix-suns" xr:uid="{E0249B0C-671F-0745-A7AA-2A1DA0EC9F5D}"/>
    <hyperlink ref="B20" r:id="rId19" display="https://www.teamrankings.com/nba/team/miami-heat" xr:uid="{4AAD0FC5-F1CD-3444-A11D-3E86A52ACF70}"/>
    <hyperlink ref="B21" r:id="rId20" display="https://www.teamrankings.com/nba/team/philadelphia-76ers" xr:uid="{8FD599DF-6D03-A14F-9B96-AC2B67399E69}"/>
    <hyperlink ref="B22" r:id="rId21" display="https://www.teamrankings.com/nba/team/san-antonio-spurs" xr:uid="{49DD5702-2518-F54B-B902-F4B4398E893B}"/>
    <hyperlink ref="B23" r:id="rId22" display="https://www.teamrankings.com/nba/team/indiana-pacers" xr:uid="{D3D24864-4E16-014D-9925-D9833D48FBFE}"/>
    <hyperlink ref="B24" r:id="rId23" display="https://www.teamrankings.com/nba/team/denver-nuggets" xr:uid="{C68DF98C-D25E-864A-B0A4-7D8C6DD06772}"/>
    <hyperlink ref="B25" r:id="rId24" display="https://www.teamrankings.com/nba/team/dallas-mavericks" xr:uid="{15B52DFD-7639-124D-A1E6-A931A9874343}"/>
    <hyperlink ref="B26" r:id="rId25" display="https://www.teamrankings.com/nba/team/los-angeles-lakers" xr:uid="{4038BEF3-42A3-EB43-A9C0-64548E8239BD}"/>
    <hyperlink ref="B27" r:id="rId26" display="https://www.teamrankings.com/nba/team/oklahoma-city-thunder" xr:uid="{C2DD3377-F05D-974B-BE9D-4F247C7F8454}"/>
    <hyperlink ref="B28" r:id="rId27" display="https://www.teamrankings.com/nba/team/toronto-raptors" xr:uid="{0293B2F4-6D8D-1D48-A606-C571BB2725F5}"/>
    <hyperlink ref="B29" r:id="rId28" display="https://www.teamrankings.com/nba/team/washington-wizards" xr:uid="{AC249751-4D15-8E48-BB03-AB4A3453872B}"/>
    <hyperlink ref="B30" r:id="rId29" display="https://www.teamrankings.com/nba/team/new-orleans-pelicans" xr:uid="{1546BD22-F2AA-BB46-A320-BE08386DF07C}"/>
    <hyperlink ref="B31" r:id="rId30" display="https://www.teamrankings.com/nba/team/portland-trail-blazers" xr:uid="{EB1B0C7F-3ECA-E047-A51E-E3092A09901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04891-08DE-984D-A396-54D1741E9F90}">
  <sheetPr codeName="Sheet9"/>
  <dimension ref="A1:C31"/>
  <sheetViews>
    <sheetView workbookViewId="0">
      <selection activeCell="B1" sqref="B1"/>
    </sheetView>
  </sheetViews>
  <sheetFormatPr baseColWidth="10" defaultRowHeight="16" x14ac:dyDescent="0.2"/>
  <cols>
    <col min="2" max="2" width="22.5" customWidth="1"/>
    <col min="3" max="3" width="24.33203125" customWidth="1"/>
  </cols>
  <sheetData>
    <row r="1" spans="1:3" x14ac:dyDescent="0.2">
      <c r="A1" s="7" t="s">
        <v>476</v>
      </c>
      <c r="B1" s="7" t="s">
        <v>440</v>
      </c>
      <c r="C1" s="7" t="s">
        <v>477</v>
      </c>
    </row>
    <row r="2" spans="1:3" x14ac:dyDescent="0.2">
      <c r="A2" t="s">
        <v>30</v>
      </c>
      <c r="B2" t="s">
        <v>478</v>
      </c>
      <c r="C2" t="s">
        <v>458</v>
      </c>
    </row>
    <row r="3" spans="1:3" x14ac:dyDescent="0.2">
      <c r="A3" t="s">
        <v>38</v>
      </c>
      <c r="B3" t="s">
        <v>479</v>
      </c>
      <c r="C3" t="s">
        <v>461</v>
      </c>
    </row>
    <row r="4" spans="1:3" x14ac:dyDescent="0.2">
      <c r="A4" t="s">
        <v>33</v>
      </c>
      <c r="B4" t="s">
        <v>480</v>
      </c>
      <c r="C4" t="s">
        <v>473</v>
      </c>
    </row>
    <row r="5" spans="1:3" x14ac:dyDescent="0.2">
      <c r="A5" t="s">
        <v>36</v>
      </c>
      <c r="B5" t="s">
        <v>481</v>
      </c>
      <c r="C5" t="s">
        <v>451</v>
      </c>
    </row>
    <row r="6" spans="1:3" x14ac:dyDescent="0.2">
      <c r="A6" t="s">
        <v>50</v>
      </c>
      <c r="B6" t="s">
        <v>482</v>
      </c>
      <c r="C6" t="s">
        <v>448</v>
      </c>
    </row>
    <row r="7" spans="1:3" x14ac:dyDescent="0.2">
      <c r="A7" t="s">
        <v>44</v>
      </c>
      <c r="B7" t="s">
        <v>483</v>
      </c>
      <c r="C7" t="s">
        <v>467</v>
      </c>
    </row>
    <row r="8" spans="1:3" x14ac:dyDescent="0.2">
      <c r="A8" t="s">
        <v>47</v>
      </c>
      <c r="B8" t="s">
        <v>484</v>
      </c>
      <c r="C8" t="s">
        <v>465</v>
      </c>
    </row>
    <row r="9" spans="1:3" x14ac:dyDescent="0.2">
      <c r="A9" t="s">
        <v>40</v>
      </c>
      <c r="B9" t="s">
        <v>485</v>
      </c>
      <c r="C9" t="s">
        <v>469</v>
      </c>
    </row>
    <row r="10" spans="1:3" x14ac:dyDescent="0.2">
      <c r="A10" t="s">
        <v>52</v>
      </c>
      <c r="B10" t="s">
        <v>486</v>
      </c>
      <c r="C10" t="s">
        <v>464</v>
      </c>
    </row>
    <row r="11" spans="1:3" x14ac:dyDescent="0.2">
      <c r="A11" t="s">
        <v>31</v>
      </c>
      <c r="B11" t="s">
        <v>487</v>
      </c>
      <c r="C11" t="s">
        <v>472</v>
      </c>
    </row>
    <row r="12" spans="1:3" x14ac:dyDescent="0.2">
      <c r="A12" t="s">
        <v>56</v>
      </c>
      <c r="B12" t="s">
        <v>488</v>
      </c>
      <c r="C12" t="s">
        <v>445</v>
      </c>
    </row>
    <row r="13" spans="1:3" x14ac:dyDescent="0.2">
      <c r="A13" t="s">
        <v>42</v>
      </c>
      <c r="B13" t="s">
        <v>489</v>
      </c>
      <c r="C13" t="s">
        <v>463</v>
      </c>
    </row>
    <row r="14" spans="1:3" x14ac:dyDescent="0.2">
      <c r="A14" t="s">
        <v>60</v>
      </c>
      <c r="B14" t="s">
        <v>490</v>
      </c>
      <c r="C14" t="s">
        <v>453</v>
      </c>
    </row>
    <row r="15" spans="1:3" x14ac:dyDescent="0.2">
      <c r="A15" t="s">
        <v>134</v>
      </c>
      <c r="B15" t="s">
        <v>491</v>
      </c>
      <c r="C15" t="s">
        <v>454</v>
      </c>
    </row>
    <row r="16" spans="1:3" x14ac:dyDescent="0.2">
      <c r="A16" t="s">
        <v>61</v>
      </c>
      <c r="B16" t="s">
        <v>492</v>
      </c>
      <c r="C16" t="s">
        <v>468</v>
      </c>
    </row>
    <row r="17" spans="1:3" x14ac:dyDescent="0.2">
      <c r="A17" t="s">
        <v>70</v>
      </c>
      <c r="B17" t="s">
        <v>493</v>
      </c>
      <c r="C17" t="s">
        <v>449</v>
      </c>
    </row>
    <row r="18" spans="1:3" x14ac:dyDescent="0.2">
      <c r="A18" t="s">
        <v>72</v>
      </c>
      <c r="B18" t="s">
        <v>494</v>
      </c>
      <c r="C18" t="s">
        <v>452</v>
      </c>
    </row>
    <row r="19" spans="1:3" x14ac:dyDescent="0.2">
      <c r="A19" t="s">
        <v>77</v>
      </c>
      <c r="B19" t="s">
        <v>470</v>
      </c>
      <c r="C19" t="s">
        <v>470</v>
      </c>
    </row>
    <row r="20" spans="1:3" x14ac:dyDescent="0.2">
      <c r="A20" t="s">
        <v>81</v>
      </c>
      <c r="B20" t="s">
        <v>495</v>
      </c>
      <c r="C20" t="s">
        <v>455</v>
      </c>
    </row>
    <row r="21" spans="1:3" x14ac:dyDescent="0.2">
      <c r="A21" t="s">
        <v>100</v>
      </c>
      <c r="B21" t="s">
        <v>496</v>
      </c>
      <c r="C21" t="s">
        <v>456</v>
      </c>
    </row>
    <row r="22" spans="1:3" x14ac:dyDescent="0.2">
      <c r="A22" t="s">
        <v>116</v>
      </c>
      <c r="B22" t="s">
        <v>497</v>
      </c>
      <c r="C22" t="s">
        <v>450</v>
      </c>
    </row>
    <row r="23" spans="1:3" x14ac:dyDescent="0.2">
      <c r="A23" t="s">
        <v>99</v>
      </c>
      <c r="B23" t="s">
        <v>498</v>
      </c>
      <c r="C23" t="s">
        <v>446</v>
      </c>
    </row>
    <row r="24" spans="1:3" x14ac:dyDescent="0.2">
      <c r="A24" t="s">
        <v>82</v>
      </c>
      <c r="B24" t="s">
        <v>499</v>
      </c>
      <c r="C24" t="s">
        <v>447</v>
      </c>
    </row>
    <row r="25" spans="1:3" x14ac:dyDescent="0.2">
      <c r="A25" t="s">
        <v>84</v>
      </c>
      <c r="B25" t="s">
        <v>500</v>
      </c>
      <c r="C25" t="s">
        <v>471</v>
      </c>
    </row>
    <row r="26" spans="1:3" x14ac:dyDescent="0.2">
      <c r="A26" t="s">
        <v>93</v>
      </c>
      <c r="B26" t="s">
        <v>501</v>
      </c>
      <c r="C26" t="s">
        <v>474</v>
      </c>
    </row>
    <row r="27" spans="1:3" x14ac:dyDescent="0.2">
      <c r="A27" t="s">
        <v>68</v>
      </c>
      <c r="B27" t="s">
        <v>502</v>
      </c>
      <c r="C27" t="s">
        <v>462</v>
      </c>
    </row>
    <row r="28" spans="1:3" x14ac:dyDescent="0.2">
      <c r="A28" t="s">
        <v>58</v>
      </c>
      <c r="B28" t="s">
        <v>503</v>
      </c>
      <c r="C28" t="s">
        <v>460</v>
      </c>
    </row>
    <row r="29" spans="1:3" x14ac:dyDescent="0.2">
      <c r="A29" t="s">
        <v>64</v>
      </c>
      <c r="B29" t="s">
        <v>504</v>
      </c>
      <c r="C29" t="s">
        <v>459</v>
      </c>
    </row>
    <row r="30" spans="1:3" x14ac:dyDescent="0.2">
      <c r="A30" t="s">
        <v>98</v>
      </c>
      <c r="B30" t="s">
        <v>505</v>
      </c>
      <c r="C30" t="s">
        <v>457</v>
      </c>
    </row>
    <row r="31" spans="1:3" x14ac:dyDescent="0.2">
      <c r="A31" t="s">
        <v>95</v>
      </c>
      <c r="B31" t="s">
        <v>506</v>
      </c>
      <c r="C31" t="s">
        <v>466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3DA384-F903-CE4E-8EBE-C003FE4A04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Note</vt:lpstr>
      <vt:lpstr>Projections</vt:lpstr>
      <vt:lpstr>Points Simulation</vt:lpstr>
      <vt:lpstr>Player Stats</vt:lpstr>
      <vt:lpstr>Assists</vt:lpstr>
      <vt:lpstr>Points Allowed</vt:lpstr>
      <vt:lpstr>PACE</vt:lpstr>
      <vt:lpstr>Off Reb %</vt:lpstr>
      <vt:lpstr>Def Reb %</vt:lpstr>
      <vt:lpstr>Team ID</vt:lpstr>
      <vt:lpstr>'Def Reb %'!NBA_2023_24_Defensive_Reb</vt:lpstr>
      <vt:lpstr>'Off Reb %'!NBA_2023_24_Offensive_Reb</vt:lpstr>
      <vt:lpstr>PACE!NBA_2023_24_PACE_Stats</vt:lpstr>
      <vt:lpstr>Assists!nba_assists_rank_25</vt:lpstr>
      <vt:lpstr>'Points Allowed'!nba_points_conceded_rank_25</vt:lpstr>
      <vt:lpstr>'Player Stats'!nba_ref_per_game_24_25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Waring</dc:creator>
  <cp:lastModifiedBy>Danur Mahendra</cp:lastModifiedBy>
  <dcterms:created xsi:type="dcterms:W3CDTF">2024-02-08T00:44:54Z</dcterms:created>
  <dcterms:modified xsi:type="dcterms:W3CDTF">2025-01-11T06:30:05Z</dcterms:modified>
</cp:coreProperties>
</file>