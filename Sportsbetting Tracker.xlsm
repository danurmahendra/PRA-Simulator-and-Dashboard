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imelineCaches/timelineCache1.xml" ContentType="application/vnd.ms-excel.timelineCache+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slicers/slicer2.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hidePivotFieldList="1" defaultThemeVersion="202300"/>
  <mc:AlternateContent xmlns:mc="http://schemas.openxmlformats.org/markup-compatibility/2006">
    <mc:Choice Requires="x15">
      <x15ac:absPath xmlns:x15ac="http://schemas.microsoft.com/office/spreadsheetml/2010/11/ac" url="/Users/danmahendra/Documents/"/>
    </mc:Choice>
  </mc:AlternateContent>
  <xr:revisionPtr revIDLastSave="0" documentId="8_{DF8E75E2-9B2C-B148-AA8A-B4450068653D}" xr6:coauthVersionLast="47" xr6:coauthVersionMax="47" xr10:uidLastSave="{00000000-0000-0000-0000-000000000000}"/>
  <bookViews>
    <workbookView xWindow="0" yWindow="760" windowWidth="29400" windowHeight="17000" activeTab="2" xr2:uid="{F1C6AA36-B5CB-9C42-BFFA-123924629259}"/>
  </bookViews>
  <sheets>
    <sheet name="Visuals" sheetId="6" r:id="rId1"/>
    <sheet name="Pivot Tables" sheetId="8" r:id="rId2"/>
    <sheet name="Bet Log" sheetId="2" r:id="rId3"/>
    <sheet name="Tables" sheetId="1" r:id="rId4"/>
    <sheet name="PT for Visuals" sheetId="9" r:id="rId5"/>
  </sheets>
  <definedNames>
    <definedName name="_xlchart.v1.0" hidden="1">'PT for Visuals'!$O$27:$P$27</definedName>
    <definedName name="_xlchart.v1.1" hidden="1">'PT for Visuals'!$O$28:$P$28</definedName>
    <definedName name="NativeTimeline_Date">#N/A</definedName>
    <definedName name="Slicer_League1">#N/A</definedName>
    <definedName name="Slicer_Sportsbook1">#N/A</definedName>
    <definedName name="Slicer_Type1">#N/A</definedName>
  </definedNames>
  <calcPr calcId="191029"/>
  <pivotCaches>
    <pivotCache cacheId="2937" r:id="rId6"/>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46BE6895-7355-4a93-B00E-2C351335B9C9}">
      <x15:slicerCaches xmlns:x14="http://schemas.microsoft.com/office/spreadsheetml/2009/9/main">
        <x14:slicerCache r:id="rId8"/>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7" i="2" l="1"/>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25" i="2"/>
  <c r="J26" i="2"/>
  <c r="J8" i="2"/>
  <c r="J9" i="2"/>
  <c r="J10" i="2"/>
  <c r="J11" i="2"/>
  <c r="J12" i="2"/>
  <c r="J13" i="2"/>
  <c r="J14" i="2"/>
  <c r="J15" i="2"/>
  <c r="J16" i="2"/>
  <c r="J17" i="2"/>
  <c r="J18" i="2"/>
  <c r="J19" i="2"/>
  <c r="J20" i="2"/>
  <c r="J21" i="2"/>
  <c r="J22" i="2"/>
  <c r="J23" i="2"/>
  <c r="J24" i="2"/>
  <c r="J6" i="2"/>
  <c r="J5" i="2"/>
  <c r="J4" i="2"/>
  <c r="J3" i="2"/>
  <c r="J2" i="2"/>
  <c r="G4" i="2" a="1"/>
  <c r="G4" i="2" s="1"/>
  <c r="G33" i="2" a="1"/>
  <c r="G33" i="2" s="1"/>
  <c r="I33" i="2"/>
  <c r="G34" i="2" a="1"/>
  <c r="G34" i="2" s="1"/>
  <c r="I34" i="2"/>
  <c r="G35" i="2" a="1"/>
  <c r="G35" i="2" s="1"/>
  <c r="I35" i="2"/>
  <c r="G36" i="2" a="1"/>
  <c r="G36" i="2"/>
  <c r="I36" i="2"/>
  <c r="G37" i="2" a="1"/>
  <c r="G37" i="2" s="1"/>
  <c r="I37" i="2"/>
  <c r="G38" i="2" a="1"/>
  <c r="G38" i="2" s="1"/>
  <c r="I38" i="2"/>
  <c r="G39" i="2" a="1"/>
  <c r="G39" i="2" s="1"/>
  <c r="I39" i="2"/>
  <c r="G40" i="2" a="1"/>
  <c r="G40" i="2"/>
  <c r="I40" i="2"/>
  <c r="G41" i="2" a="1"/>
  <c r="G41" i="2" s="1"/>
  <c r="I41" i="2"/>
  <c r="G42" i="2" a="1"/>
  <c r="G42" i="2" s="1"/>
  <c r="I42" i="2"/>
  <c r="G43" i="2" a="1"/>
  <c r="G43" i="2" s="1"/>
  <c r="I43" i="2"/>
  <c r="G44" i="2" a="1"/>
  <c r="G44" i="2" s="1"/>
  <c r="I44" i="2"/>
  <c r="G45" i="2" a="1"/>
  <c r="G45" i="2" s="1"/>
  <c r="I45" i="2"/>
  <c r="G46" i="2" a="1"/>
  <c r="G46" i="2"/>
  <c r="I46" i="2"/>
  <c r="G47" i="2" a="1"/>
  <c r="G47" i="2" s="1"/>
  <c r="I47" i="2"/>
  <c r="G48" i="2" a="1"/>
  <c r="G48" i="2"/>
  <c r="I48" i="2"/>
  <c r="G49" i="2" a="1"/>
  <c r="G49" i="2" s="1"/>
  <c r="I49" i="2"/>
  <c r="G50" i="2" a="1"/>
  <c r="G50" i="2" s="1"/>
  <c r="I50" i="2"/>
  <c r="G51" i="2" a="1"/>
  <c r="G51" i="2" s="1"/>
  <c r="I51" i="2"/>
  <c r="G52" i="2" a="1"/>
  <c r="G52" i="2"/>
  <c r="I52" i="2"/>
  <c r="G53" i="2" a="1"/>
  <c r="G53" i="2" s="1"/>
  <c r="I53" i="2"/>
  <c r="G54" i="2" a="1"/>
  <c r="G54" i="2" s="1"/>
  <c r="I54" i="2"/>
  <c r="G55" i="2" a="1"/>
  <c r="G55" i="2" s="1"/>
  <c r="I55" i="2"/>
  <c r="G56" i="2" a="1"/>
  <c r="G56" i="2"/>
  <c r="I56" i="2"/>
  <c r="G57" i="2" a="1"/>
  <c r="G57" i="2" s="1"/>
  <c r="I57" i="2"/>
  <c r="G58" i="2" a="1"/>
  <c r="G58" i="2" s="1"/>
  <c r="I58" i="2"/>
  <c r="G59" i="2" a="1"/>
  <c r="G59" i="2" s="1"/>
  <c r="I59" i="2"/>
  <c r="G60" i="2" a="1"/>
  <c r="G60" i="2" s="1"/>
  <c r="I60" i="2"/>
  <c r="G61" i="2" a="1"/>
  <c r="G61" i="2" s="1"/>
  <c r="I61" i="2"/>
  <c r="G62" i="2" a="1"/>
  <c r="G62" i="2" s="1"/>
  <c r="I62" i="2"/>
  <c r="G63" i="2" a="1"/>
  <c r="G63" i="2" s="1"/>
  <c r="I63" i="2"/>
  <c r="G64" i="2" a="1"/>
  <c r="G64" i="2"/>
  <c r="I64" i="2"/>
  <c r="G65" i="2" a="1"/>
  <c r="G65" i="2" s="1"/>
  <c r="I65" i="2"/>
  <c r="G66" i="2" a="1"/>
  <c r="G66" i="2"/>
  <c r="I66" i="2"/>
  <c r="G67" i="2" a="1"/>
  <c r="G67" i="2" s="1"/>
  <c r="I67" i="2"/>
  <c r="G68" i="2" a="1"/>
  <c r="G68" i="2"/>
  <c r="I68" i="2"/>
  <c r="G69" i="2" a="1"/>
  <c r="G69" i="2" s="1"/>
  <c r="I69" i="2"/>
  <c r="G70" i="2" a="1"/>
  <c r="G70" i="2" s="1"/>
  <c r="I70" i="2"/>
  <c r="G71" i="2" a="1"/>
  <c r="G71" i="2" s="1"/>
  <c r="I71" i="2"/>
  <c r="G72" i="2" a="1"/>
  <c r="G72" i="2"/>
  <c r="I72" i="2"/>
  <c r="G73" i="2" a="1"/>
  <c r="G73" i="2" s="1"/>
  <c r="I73" i="2"/>
  <c r="G74" i="2" a="1"/>
  <c r="G74" i="2" s="1"/>
  <c r="I74" i="2"/>
  <c r="G75" i="2" a="1"/>
  <c r="G75" i="2" s="1"/>
  <c r="I75" i="2"/>
  <c r="G76" i="2" a="1"/>
  <c r="G76" i="2" s="1"/>
  <c r="I76" i="2"/>
  <c r="G77" i="2" a="1"/>
  <c r="G77" i="2" s="1"/>
  <c r="I77" i="2"/>
  <c r="G78" i="2" a="1"/>
  <c r="G78" i="2"/>
  <c r="I78" i="2"/>
  <c r="G79" i="2" a="1"/>
  <c r="G79" i="2" s="1"/>
  <c r="I79" i="2"/>
  <c r="G80" i="2" a="1"/>
  <c r="G80" i="2"/>
  <c r="I80" i="2"/>
  <c r="G81" i="2" a="1"/>
  <c r="G81" i="2" s="1"/>
  <c r="I81" i="2"/>
  <c r="G82" i="2" a="1"/>
  <c r="G82" i="2"/>
  <c r="I82" i="2"/>
  <c r="G83" i="2" a="1"/>
  <c r="G83" i="2" s="1"/>
  <c r="I83" i="2"/>
  <c r="G84" i="2" a="1"/>
  <c r="G84" i="2"/>
  <c r="I84" i="2"/>
  <c r="G85" i="2" a="1"/>
  <c r="G85" i="2" s="1"/>
  <c r="I85" i="2"/>
  <c r="G86" i="2" a="1"/>
  <c r="G86" i="2" s="1"/>
  <c r="I86" i="2"/>
  <c r="G87" i="2" a="1"/>
  <c r="G87" i="2" s="1"/>
  <c r="I87" i="2"/>
  <c r="G88" i="2" a="1"/>
  <c r="G88" i="2"/>
  <c r="I88" i="2"/>
  <c r="G89" i="2" a="1"/>
  <c r="G89" i="2" s="1"/>
  <c r="I89" i="2"/>
  <c r="G90" i="2" a="1"/>
  <c r="G90" i="2" s="1"/>
  <c r="I90" i="2"/>
  <c r="G91" i="2" a="1"/>
  <c r="G91" i="2" s="1"/>
  <c r="I91" i="2"/>
  <c r="G92" i="2" a="1"/>
  <c r="G92" i="2" s="1"/>
  <c r="I92" i="2"/>
  <c r="G93" i="2" a="1"/>
  <c r="G93" i="2" s="1"/>
  <c r="I93" i="2"/>
  <c r="G94" i="2" a="1"/>
  <c r="G94" i="2"/>
  <c r="I94" i="2"/>
  <c r="G95" i="2" a="1"/>
  <c r="G95" i="2" s="1"/>
  <c r="I95" i="2"/>
  <c r="G96" i="2" a="1"/>
  <c r="G96" i="2" s="1"/>
  <c r="I96" i="2"/>
  <c r="G97" i="2" a="1"/>
  <c r="G97" i="2" s="1"/>
  <c r="I97" i="2"/>
  <c r="G98" i="2" a="1"/>
  <c r="G98" i="2" s="1"/>
  <c r="I98" i="2"/>
  <c r="G99" i="2" a="1"/>
  <c r="G99" i="2" s="1"/>
  <c r="I99" i="2"/>
  <c r="G100" i="2" a="1"/>
  <c r="G100" i="2"/>
  <c r="I100" i="2"/>
  <c r="G101" i="2" a="1"/>
  <c r="G101" i="2" s="1"/>
  <c r="I101" i="2"/>
  <c r="G102" i="2" a="1"/>
  <c r="G102" i="2" s="1"/>
  <c r="I102" i="2"/>
  <c r="G103" i="2" a="1"/>
  <c r="G103" i="2" s="1"/>
  <c r="I103" i="2"/>
  <c r="G104" i="2" a="1"/>
  <c r="G104" i="2"/>
  <c r="I104" i="2"/>
  <c r="G105" i="2" a="1"/>
  <c r="G105" i="2" s="1"/>
  <c r="I105" i="2"/>
  <c r="G106" i="2" a="1"/>
  <c r="G106" i="2" s="1"/>
  <c r="I106" i="2"/>
  <c r="G107" i="2" a="1"/>
  <c r="G107" i="2" s="1"/>
  <c r="I107" i="2"/>
  <c r="G108" i="2" a="1"/>
  <c r="G108" i="2" s="1"/>
  <c r="I108" i="2"/>
  <c r="G109" i="2" a="1"/>
  <c r="G109" i="2" s="1"/>
  <c r="I109" i="2"/>
  <c r="G110" i="2" a="1"/>
  <c r="G110" i="2"/>
  <c r="I110" i="2"/>
  <c r="G111" i="2" a="1"/>
  <c r="G111" i="2" s="1"/>
  <c r="I111" i="2"/>
  <c r="G112" i="2" a="1"/>
  <c r="G112" i="2"/>
  <c r="I112" i="2"/>
  <c r="G113" i="2" a="1"/>
  <c r="G113" i="2" s="1"/>
  <c r="I113" i="2"/>
  <c r="G114" i="2" a="1"/>
  <c r="G114" i="2"/>
  <c r="I114" i="2"/>
  <c r="G115" i="2" a="1"/>
  <c r="G115" i="2" s="1"/>
  <c r="I115" i="2"/>
  <c r="G116" i="2" a="1"/>
  <c r="G116" i="2"/>
  <c r="I116" i="2"/>
  <c r="G117" i="2" a="1"/>
  <c r="G117" i="2" s="1"/>
  <c r="I117" i="2"/>
  <c r="G118" i="2" a="1"/>
  <c r="G118" i="2" s="1"/>
  <c r="I118" i="2"/>
  <c r="G119" i="2" a="1"/>
  <c r="G119" i="2" s="1"/>
  <c r="I119" i="2"/>
  <c r="G120" i="2" a="1"/>
  <c r="G120" i="2"/>
  <c r="I120" i="2"/>
  <c r="G121" i="2" a="1"/>
  <c r="G121" i="2" s="1"/>
  <c r="I121" i="2"/>
  <c r="G122" i="2" a="1"/>
  <c r="G122" i="2" s="1"/>
  <c r="I122" i="2"/>
  <c r="G123" i="2" a="1"/>
  <c r="G123" i="2" s="1"/>
  <c r="I123" i="2"/>
  <c r="G124" i="2" a="1"/>
  <c r="G124" i="2" s="1"/>
  <c r="I124" i="2"/>
  <c r="G125" i="2" a="1"/>
  <c r="G125" i="2" s="1"/>
  <c r="I125" i="2"/>
  <c r="G126" i="2" a="1"/>
  <c r="G126" i="2"/>
  <c r="I126" i="2"/>
  <c r="G127" i="2" a="1"/>
  <c r="G127" i="2" s="1"/>
  <c r="I127" i="2"/>
  <c r="G128" i="2" a="1"/>
  <c r="G128" i="2" s="1"/>
  <c r="I128" i="2"/>
  <c r="G129" i="2" a="1"/>
  <c r="G129" i="2" s="1"/>
  <c r="I129" i="2"/>
  <c r="G130" i="2" a="1"/>
  <c r="G130" i="2"/>
  <c r="I130" i="2"/>
  <c r="G131" i="2" a="1"/>
  <c r="G131" i="2" s="1"/>
  <c r="I131" i="2"/>
  <c r="G132" i="2" a="1"/>
  <c r="G132" i="2"/>
  <c r="I132" i="2"/>
  <c r="G133" i="2" a="1"/>
  <c r="G133" i="2" s="1"/>
  <c r="I133" i="2"/>
  <c r="G134" i="2" a="1"/>
  <c r="G134" i="2"/>
  <c r="I134" i="2"/>
  <c r="G135" i="2" a="1"/>
  <c r="G135" i="2" s="1"/>
  <c r="I135" i="2"/>
  <c r="G136" i="2" a="1"/>
  <c r="G136" i="2"/>
  <c r="I136" i="2"/>
  <c r="G137" i="2" a="1"/>
  <c r="G137" i="2" s="1"/>
  <c r="I137" i="2"/>
  <c r="G138" i="2" a="1"/>
  <c r="G138" i="2" s="1"/>
  <c r="I138" i="2"/>
  <c r="G139" i="2" a="1"/>
  <c r="G139" i="2" s="1"/>
  <c r="I139" i="2"/>
  <c r="G140" i="2" a="1"/>
  <c r="G140" i="2" s="1"/>
  <c r="I140" i="2"/>
  <c r="G141" i="2" a="1"/>
  <c r="G141" i="2" s="1"/>
  <c r="I141" i="2"/>
  <c r="G142" i="2" a="1"/>
  <c r="G142" i="2"/>
  <c r="I142" i="2"/>
  <c r="G143" i="2" a="1"/>
  <c r="G143" i="2" s="1"/>
  <c r="I143" i="2"/>
  <c r="G144" i="2" a="1"/>
  <c r="G144" i="2" s="1"/>
  <c r="I144" i="2"/>
  <c r="G145" i="2" a="1"/>
  <c r="G145" i="2" s="1"/>
  <c r="I145" i="2"/>
  <c r="G146" i="2" a="1"/>
  <c r="G146" i="2" s="1"/>
  <c r="I146" i="2"/>
  <c r="G147" i="2" a="1"/>
  <c r="G147" i="2" s="1"/>
  <c r="I147" i="2"/>
  <c r="G148" i="2" a="1"/>
  <c r="G148" i="2"/>
  <c r="I148" i="2"/>
  <c r="G149" i="2" a="1"/>
  <c r="G149" i="2" s="1"/>
  <c r="I149" i="2"/>
  <c r="G150" i="2" a="1"/>
  <c r="G150" i="2"/>
  <c r="I150" i="2"/>
  <c r="G151" i="2" a="1"/>
  <c r="G151" i="2" s="1"/>
  <c r="I151" i="2"/>
  <c r="G152" i="2" a="1"/>
  <c r="G152" i="2"/>
  <c r="I152" i="2"/>
  <c r="G153" i="2" a="1"/>
  <c r="G153" i="2" s="1"/>
  <c r="I153" i="2"/>
  <c r="G154" i="2" a="1"/>
  <c r="G154" i="2" s="1"/>
  <c r="I154" i="2"/>
  <c r="G155" i="2" a="1"/>
  <c r="G155" i="2" s="1"/>
  <c r="I155" i="2"/>
  <c r="G156" i="2" a="1"/>
  <c r="G156" i="2" s="1"/>
  <c r="I156" i="2"/>
  <c r="G157" i="2" a="1"/>
  <c r="G157" i="2" s="1"/>
  <c r="I157" i="2"/>
  <c r="G158" i="2" a="1"/>
  <c r="G158" i="2" s="1"/>
  <c r="I158" i="2"/>
  <c r="G159" i="2" a="1"/>
  <c r="G159" i="2" s="1"/>
  <c r="I159" i="2"/>
  <c r="G160" i="2" a="1"/>
  <c r="G160" i="2"/>
  <c r="I160" i="2"/>
  <c r="G161" i="2" a="1"/>
  <c r="G161" i="2" s="1"/>
  <c r="I161" i="2"/>
  <c r="G162" i="2" a="1"/>
  <c r="G162" i="2"/>
  <c r="I162" i="2"/>
  <c r="G163" i="2" a="1"/>
  <c r="G163" i="2" s="1"/>
  <c r="I163" i="2"/>
  <c r="G164" i="2" a="1"/>
  <c r="G164" i="2"/>
  <c r="I164" i="2"/>
  <c r="G165" i="2" a="1"/>
  <c r="G165" i="2" s="1"/>
  <c r="I165" i="2"/>
  <c r="G166" i="2" a="1"/>
  <c r="G166" i="2"/>
  <c r="I166" i="2"/>
  <c r="G167" i="2" a="1"/>
  <c r="G167" i="2" s="1"/>
  <c r="I167" i="2"/>
  <c r="G168" i="2" a="1"/>
  <c r="G168" i="2"/>
  <c r="I168" i="2"/>
  <c r="G169" i="2" a="1"/>
  <c r="G169" i="2" s="1"/>
  <c r="I169" i="2"/>
  <c r="G170" i="2" a="1"/>
  <c r="G170" i="2" s="1"/>
  <c r="I170" i="2"/>
  <c r="G171" i="2" a="1"/>
  <c r="G171" i="2" s="1"/>
  <c r="I171" i="2"/>
  <c r="G172" i="2" a="1"/>
  <c r="G172" i="2" s="1"/>
  <c r="I172" i="2"/>
  <c r="G173" i="2" a="1"/>
  <c r="G173" i="2" s="1"/>
  <c r="I173" i="2"/>
  <c r="G174" i="2" a="1"/>
  <c r="G174" i="2"/>
  <c r="I174" i="2"/>
  <c r="G175" i="2" a="1"/>
  <c r="G175" i="2" s="1"/>
  <c r="I175" i="2"/>
  <c r="G176" i="2" a="1"/>
  <c r="G176" i="2"/>
  <c r="I176" i="2"/>
  <c r="G177" i="2" a="1"/>
  <c r="G177" i="2" s="1"/>
  <c r="I177" i="2"/>
  <c r="G178" i="2" a="1"/>
  <c r="G178" i="2"/>
  <c r="I178" i="2"/>
  <c r="G179" i="2" a="1"/>
  <c r="G179" i="2" s="1"/>
  <c r="I179" i="2"/>
  <c r="G180" i="2" a="1"/>
  <c r="G180" i="2"/>
  <c r="I180" i="2"/>
  <c r="G181" i="2" a="1"/>
  <c r="G181" i="2" s="1"/>
  <c r="I181" i="2"/>
  <c r="G182" i="2" a="1"/>
  <c r="G182" i="2" s="1"/>
  <c r="I182" i="2"/>
  <c r="G183" i="2" a="1"/>
  <c r="G183" i="2" s="1"/>
  <c r="I183" i="2"/>
  <c r="G184" i="2" a="1"/>
  <c r="G184" i="2"/>
  <c r="I184" i="2"/>
  <c r="G185" i="2" a="1"/>
  <c r="G185" i="2" s="1"/>
  <c r="I185" i="2"/>
  <c r="G186" i="2" a="1"/>
  <c r="G186" i="2" s="1"/>
  <c r="I186" i="2"/>
  <c r="G187" i="2" a="1"/>
  <c r="G187" i="2" s="1"/>
  <c r="I187" i="2"/>
  <c r="G188" i="2" a="1"/>
  <c r="G188" i="2"/>
  <c r="I188" i="2"/>
  <c r="G189" i="2" a="1"/>
  <c r="G189" i="2" s="1"/>
  <c r="I189" i="2"/>
  <c r="G190" i="2" a="1"/>
  <c r="G190" i="2"/>
  <c r="I190" i="2"/>
  <c r="G191" i="2" a="1"/>
  <c r="G191" i="2" s="1"/>
  <c r="I191" i="2"/>
  <c r="G192" i="2" a="1"/>
  <c r="G192" i="2"/>
  <c r="I192" i="2"/>
  <c r="G193" i="2" a="1"/>
  <c r="G193" i="2" s="1"/>
  <c r="I193" i="2"/>
  <c r="G194" i="2" a="1"/>
  <c r="G194" i="2"/>
  <c r="I194" i="2"/>
  <c r="G195" i="2" a="1"/>
  <c r="G195" i="2" s="1"/>
  <c r="I195" i="2"/>
  <c r="G196" i="2" a="1"/>
  <c r="G196" i="2" s="1"/>
  <c r="I196" i="2"/>
  <c r="G197" i="2" a="1"/>
  <c r="G197" i="2" s="1"/>
  <c r="I197" i="2"/>
  <c r="G198" i="2" a="1"/>
  <c r="G198" i="2"/>
  <c r="I198" i="2"/>
  <c r="G199" i="2" a="1"/>
  <c r="G199" i="2" s="1"/>
  <c r="I199" i="2"/>
  <c r="G200" i="2" a="1"/>
  <c r="G200" i="2"/>
  <c r="I200" i="2"/>
  <c r="G201" i="2" a="1"/>
  <c r="G201" i="2" s="1"/>
  <c r="I201" i="2"/>
  <c r="G202" i="2" a="1"/>
  <c r="G202" i="2" s="1"/>
  <c r="I202" i="2"/>
  <c r="G203" i="2" a="1"/>
  <c r="G203" i="2" s="1"/>
  <c r="I203" i="2"/>
  <c r="G204" i="2" a="1"/>
  <c r="G204" i="2" s="1"/>
  <c r="I204" i="2"/>
  <c r="G205" i="2" a="1"/>
  <c r="G205" i="2"/>
  <c r="I205" i="2"/>
  <c r="G206" i="2" a="1"/>
  <c r="G206" i="2" s="1"/>
  <c r="I206" i="2"/>
  <c r="G207" i="2" a="1"/>
  <c r="G207" i="2" s="1"/>
  <c r="I207" i="2"/>
  <c r="G208" i="2" a="1"/>
  <c r="G208" i="2" s="1"/>
  <c r="I208" i="2"/>
  <c r="G209" i="2" a="1"/>
  <c r="G209" i="2" s="1"/>
  <c r="I209" i="2"/>
  <c r="G210" i="2" a="1"/>
  <c r="G210" i="2" s="1"/>
  <c r="I210" i="2"/>
  <c r="G211" i="2" a="1"/>
  <c r="G211" i="2" s="1"/>
  <c r="I211" i="2"/>
  <c r="G212" i="2" a="1"/>
  <c r="G212" i="2" s="1"/>
  <c r="I212" i="2"/>
  <c r="G213" i="2" a="1"/>
  <c r="G213" i="2" s="1"/>
  <c r="I213" i="2"/>
  <c r="G214" i="2" a="1"/>
  <c r="G214" i="2" s="1"/>
  <c r="I214" i="2"/>
  <c r="G215" i="2" a="1"/>
  <c r="G215" i="2"/>
  <c r="I215" i="2"/>
  <c r="G216" i="2" a="1"/>
  <c r="G216" i="2" s="1"/>
  <c r="I216" i="2"/>
  <c r="G217" i="2" a="1"/>
  <c r="G217" i="2"/>
  <c r="I217" i="2"/>
  <c r="G218" i="2" a="1"/>
  <c r="G218" i="2" s="1"/>
  <c r="I218" i="2"/>
  <c r="G219" i="2" a="1"/>
  <c r="G219" i="2"/>
  <c r="I219" i="2"/>
  <c r="G220" i="2" a="1"/>
  <c r="G220" i="2" s="1"/>
  <c r="I220" i="2"/>
  <c r="G221" i="2" a="1"/>
  <c r="G221" i="2"/>
  <c r="I221" i="2"/>
  <c r="G222" i="2" a="1"/>
  <c r="G222" i="2" s="1"/>
  <c r="I222" i="2"/>
  <c r="G223" i="2" a="1"/>
  <c r="G223" i="2" s="1"/>
  <c r="I223" i="2"/>
  <c r="G224" i="2" a="1"/>
  <c r="G224" i="2" s="1"/>
  <c r="I224" i="2"/>
  <c r="G225" i="2" a="1"/>
  <c r="G225" i="2" s="1"/>
  <c r="I225" i="2"/>
  <c r="G226" i="2" a="1"/>
  <c r="G226" i="2" s="1"/>
  <c r="I226" i="2"/>
  <c r="G227" i="2" a="1"/>
  <c r="G227" i="2"/>
  <c r="I227" i="2"/>
  <c r="G228" i="2" a="1"/>
  <c r="G228" i="2" s="1"/>
  <c r="I228" i="2"/>
  <c r="G229" i="2" a="1"/>
  <c r="G229" i="2"/>
  <c r="I229" i="2"/>
  <c r="G230" i="2" a="1"/>
  <c r="G230" i="2" s="1"/>
  <c r="I230" i="2"/>
  <c r="G231" i="2" a="1"/>
  <c r="G231" i="2"/>
  <c r="I231" i="2"/>
  <c r="G232" i="2" a="1"/>
  <c r="G232" i="2" s="1"/>
  <c r="I232" i="2"/>
  <c r="G233" i="2" a="1"/>
  <c r="G233" i="2"/>
  <c r="I233" i="2"/>
  <c r="G234" i="2" a="1"/>
  <c r="G234" i="2" s="1"/>
  <c r="I234" i="2"/>
  <c r="G235" i="2" a="1"/>
  <c r="G235" i="2" s="1"/>
  <c r="I235" i="2"/>
  <c r="G236" i="2" a="1"/>
  <c r="G236" i="2" s="1"/>
  <c r="I236" i="2"/>
  <c r="G237" i="2" a="1"/>
  <c r="G237" i="2"/>
  <c r="I237" i="2"/>
  <c r="G238" i="2" a="1"/>
  <c r="G238" i="2" s="1"/>
  <c r="I238" i="2"/>
  <c r="G239" i="2" a="1"/>
  <c r="G239" i="2" s="1"/>
  <c r="I239" i="2"/>
  <c r="G240" i="2" a="1"/>
  <c r="G240" i="2" s="1"/>
  <c r="I240" i="2"/>
  <c r="G241" i="2" a="1"/>
  <c r="G241" i="2" s="1"/>
  <c r="I241" i="2"/>
  <c r="G242" i="2" a="1"/>
  <c r="G242" i="2" s="1"/>
  <c r="I242" i="2"/>
  <c r="G243" i="2" a="1"/>
  <c r="G243" i="2"/>
  <c r="I243" i="2"/>
  <c r="G244" i="2" a="1"/>
  <c r="G244" i="2" s="1"/>
  <c r="I244" i="2"/>
  <c r="G245" i="2" a="1"/>
  <c r="G245" i="2"/>
  <c r="I245" i="2"/>
  <c r="G246" i="2" a="1"/>
  <c r="G246" i="2" s="1"/>
  <c r="I246" i="2"/>
  <c r="G247" i="2" a="1"/>
  <c r="G247" i="2"/>
  <c r="I247" i="2"/>
  <c r="G248" i="2" a="1"/>
  <c r="G248" i="2" s="1"/>
  <c r="I248" i="2"/>
  <c r="G249" i="2" a="1"/>
  <c r="G249" i="2"/>
  <c r="I249" i="2"/>
  <c r="G250" i="2" a="1"/>
  <c r="G250" i="2" s="1"/>
  <c r="I250" i="2"/>
  <c r="G251" i="2" a="1"/>
  <c r="G251" i="2" s="1"/>
  <c r="I251" i="2"/>
  <c r="G252" i="2" a="1"/>
  <c r="G252" i="2" s="1"/>
  <c r="I252" i="2"/>
  <c r="G253" i="2" a="1"/>
  <c r="G253" i="2"/>
  <c r="I253" i="2"/>
  <c r="G254" i="2" a="1"/>
  <c r="G254" i="2" s="1"/>
  <c r="I254" i="2"/>
  <c r="G255" i="2" a="1"/>
  <c r="G255" i="2" s="1"/>
  <c r="I255" i="2"/>
  <c r="G256" i="2" a="1"/>
  <c r="G256" i="2" s="1"/>
  <c r="I256" i="2"/>
  <c r="G257" i="2" a="1"/>
  <c r="G257" i="2" s="1"/>
  <c r="I257" i="2"/>
  <c r="G258" i="2" a="1"/>
  <c r="G258" i="2" s="1"/>
  <c r="I258" i="2"/>
  <c r="G259" i="2" a="1"/>
  <c r="G259" i="2" s="1"/>
  <c r="I259" i="2"/>
  <c r="G260" i="2" a="1"/>
  <c r="G260" i="2" s="1"/>
  <c r="I260" i="2"/>
  <c r="G261" i="2" a="1"/>
  <c r="G261" i="2" s="1"/>
  <c r="I261" i="2"/>
  <c r="G262" i="2" a="1"/>
  <c r="G262" i="2" s="1"/>
  <c r="I262" i="2"/>
  <c r="G263" i="2" a="1"/>
  <c r="G263" i="2"/>
  <c r="I263" i="2"/>
  <c r="G264" i="2" a="1"/>
  <c r="G264" i="2" s="1"/>
  <c r="I264" i="2"/>
  <c r="G265" i="2" a="1"/>
  <c r="G265" i="2"/>
  <c r="I265" i="2"/>
  <c r="G266" i="2" a="1"/>
  <c r="G266" i="2" s="1"/>
  <c r="I266" i="2"/>
  <c r="G267" i="2" a="1"/>
  <c r="G267" i="2"/>
  <c r="I267" i="2"/>
  <c r="G268" i="2" a="1"/>
  <c r="G268" i="2" s="1"/>
  <c r="I268" i="2"/>
  <c r="G269" i="2" a="1"/>
  <c r="G269" i="2"/>
  <c r="I269" i="2"/>
  <c r="G270" i="2" a="1"/>
  <c r="G270" i="2" s="1"/>
  <c r="I270" i="2"/>
  <c r="G271" i="2" a="1"/>
  <c r="G271" i="2" s="1"/>
  <c r="I271" i="2"/>
  <c r="G272" i="2" a="1"/>
  <c r="G272" i="2" s="1"/>
  <c r="I272" i="2"/>
  <c r="G273" i="2" a="1"/>
  <c r="G273" i="2" s="1"/>
  <c r="I273" i="2"/>
  <c r="G274" i="2" a="1"/>
  <c r="G274" i="2" s="1"/>
  <c r="I274" i="2"/>
  <c r="G275" i="2" a="1"/>
  <c r="G275" i="2"/>
  <c r="I275" i="2"/>
  <c r="G276" i="2" a="1"/>
  <c r="G276" i="2" s="1"/>
  <c r="I276" i="2"/>
  <c r="G277" i="2" a="1"/>
  <c r="G277" i="2"/>
  <c r="I277" i="2"/>
  <c r="G278" i="2" a="1"/>
  <c r="G278" i="2" s="1"/>
  <c r="I278" i="2"/>
  <c r="G279" i="2" a="1"/>
  <c r="G279" i="2"/>
  <c r="I279" i="2"/>
  <c r="G280" i="2" a="1"/>
  <c r="G280" i="2" s="1"/>
  <c r="I280" i="2"/>
  <c r="G281" i="2" a="1"/>
  <c r="G281" i="2"/>
  <c r="I281" i="2"/>
  <c r="G282" i="2" a="1"/>
  <c r="G282" i="2" s="1"/>
  <c r="I282" i="2"/>
  <c r="G283" i="2" a="1"/>
  <c r="G283" i="2"/>
  <c r="I283" i="2"/>
  <c r="G284" i="2" a="1"/>
  <c r="G284" i="2" s="1"/>
  <c r="I284" i="2"/>
  <c r="G285" i="2" a="1"/>
  <c r="G285" i="2"/>
  <c r="I285" i="2"/>
  <c r="G286" i="2" a="1"/>
  <c r="G286" i="2" s="1"/>
  <c r="I286" i="2"/>
  <c r="G287" i="2" a="1"/>
  <c r="G287" i="2" s="1"/>
  <c r="I287" i="2"/>
  <c r="G288" i="2" a="1"/>
  <c r="G288" i="2" s="1"/>
  <c r="I288" i="2"/>
  <c r="G289" i="2" a="1"/>
  <c r="G289" i="2" s="1"/>
  <c r="I289" i="2"/>
  <c r="G290" i="2" a="1"/>
  <c r="G290" i="2" s="1"/>
  <c r="I290" i="2"/>
  <c r="G291" i="2" a="1"/>
  <c r="G291" i="2"/>
  <c r="I291" i="2"/>
  <c r="G292" i="2" a="1"/>
  <c r="G292" i="2" s="1"/>
  <c r="I292" i="2"/>
  <c r="G293" i="2" a="1"/>
  <c r="G293" i="2"/>
  <c r="I293" i="2"/>
  <c r="G294" i="2" a="1"/>
  <c r="G294" i="2" s="1"/>
  <c r="I294" i="2"/>
  <c r="G295" i="2" a="1"/>
  <c r="G295" i="2"/>
  <c r="I295" i="2"/>
  <c r="G296" i="2" a="1"/>
  <c r="G296" i="2" s="1"/>
  <c r="I296" i="2"/>
  <c r="G297" i="2" a="1"/>
  <c r="G297" i="2"/>
  <c r="I297" i="2"/>
  <c r="G298" i="2" a="1"/>
  <c r="G298" i="2" s="1"/>
  <c r="I298" i="2"/>
  <c r="G299" i="2" a="1"/>
  <c r="G299" i="2"/>
  <c r="I299" i="2"/>
  <c r="G300" i="2" a="1"/>
  <c r="G300" i="2" s="1"/>
  <c r="I300" i="2"/>
  <c r="G301" i="2" a="1"/>
  <c r="G301" i="2"/>
  <c r="I301" i="2"/>
  <c r="G302" i="2" a="1"/>
  <c r="G302" i="2" s="1"/>
  <c r="I302" i="2"/>
  <c r="G303" i="2" a="1"/>
  <c r="G303" i="2" s="1"/>
  <c r="I303" i="2"/>
  <c r="G304" i="2" a="1"/>
  <c r="G304" i="2" s="1"/>
  <c r="I304" i="2"/>
  <c r="G305" i="2" a="1"/>
  <c r="G305" i="2" s="1"/>
  <c r="I305" i="2"/>
  <c r="G306" i="2" a="1"/>
  <c r="G306" i="2" s="1"/>
  <c r="I306" i="2"/>
  <c r="G307" i="2" a="1"/>
  <c r="G307" i="2"/>
  <c r="I307" i="2"/>
  <c r="G308" i="2" a="1"/>
  <c r="G308" i="2" s="1"/>
  <c r="I308" i="2"/>
  <c r="G309" i="2" a="1"/>
  <c r="G309" i="2"/>
  <c r="I309" i="2"/>
  <c r="G310" i="2" a="1"/>
  <c r="G310" i="2" s="1"/>
  <c r="I310" i="2"/>
  <c r="G311" i="2" a="1"/>
  <c r="G311" i="2" s="1"/>
  <c r="I311" i="2"/>
  <c r="G312" i="2" a="1"/>
  <c r="G312" i="2" s="1"/>
  <c r="I312" i="2"/>
  <c r="G313" i="2" a="1"/>
  <c r="G313" i="2"/>
  <c r="I313" i="2"/>
  <c r="G314" i="2" a="1"/>
  <c r="G314" i="2" s="1"/>
  <c r="I314" i="2"/>
  <c r="G315" i="2" a="1"/>
  <c r="G315" i="2"/>
  <c r="I315" i="2"/>
  <c r="G316" i="2" a="1"/>
  <c r="G316" i="2" s="1"/>
  <c r="I316" i="2"/>
  <c r="G317" i="2" a="1"/>
  <c r="G317" i="2"/>
  <c r="I317" i="2"/>
  <c r="G318" i="2" a="1"/>
  <c r="G318" i="2" s="1"/>
  <c r="I318" i="2"/>
  <c r="G319" i="2" a="1"/>
  <c r="G319" i="2" s="1"/>
  <c r="I319" i="2"/>
  <c r="G320" i="2" a="1"/>
  <c r="G320" i="2" s="1"/>
  <c r="I320" i="2"/>
  <c r="G321" i="2" a="1"/>
  <c r="G321" i="2" s="1"/>
  <c r="I321" i="2"/>
  <c r="G322" i="2" a="1"/>
  <c r="G322" i="2" s="1"/>
  <c r="I322" i="2"/>
  <c r="G323" i="2" a="1"/>
  <c r="G323" i="2" s="1"/>
  <c r="I323" i="2"/>
  <c r="G324" i="2" a="1"/>
  <c r="G324" i="2" s="1"/>
  <c r="I324" i="2"/>
  <c r="G325" i="2" a="1"/>
  <c r="G325" i="2" s="1"/>
  <c r="I325" i="2"/>
  <c r="G326" i="2" a="1"/>
  <c r="G326" i="2" s="1"/>
  <c r="I326" i="2"/>
  <c r="G327" i="2" a="1"/>
  <c r="G327" i="2" s="1"/>
  <c r="I327" i="2"/>
  <c r="G328" i="2" a="1"/>
  <c r="G328" i="2" s="1"/>
  <c r="I328" i="2"/>
  <c r="G329" i="2" a="1"/>
  <c r="G329" i="2"/>
  <c r="I329" i="2"/>
  <c r="G330" i="2" a="1"/>
  <c r="G330" i="2" s="1"/>
  <c r="I330" i="2"/>
  <c r="G331" i="2" a="1"/>
  <c r="G331" i="2"/>
  <c r="I331" i="2"/>
  <c r="G332" i="2" a="1"/>
  <c r="G332" i="2" s="1"/>
  <c r="I332" i="2"/>
  <c r="G333" i="2" a="1"/>
  <c r="G333" i="2"/>
  <c r="I333" i="2"/>
  <c r="G334" i="2" a="1"/>
  <c r="G334" i="2" s="1"/>
  <c r="I334" i="2"/>
  <c r="G335" i="2" a="1"/>
  <c r="G335" i="2" s="1"/>
  <c r="I335" i="2"/>
  <c r="G336" i="2" a="1"/>
  <c r="G336" i="2" s="1"/>
  <c r="I336" i="2"/>
  <c r="G337" i="2" a="1"/>
  <c r="G337" i="2" s="1"/>
  <c r="I337" i="2"/>
  <c r="G338" i="2" a="1"/>
  <c r="G338" i="2" s="1"/>
  <c r="I338" i="2"/>
  <c r="G339" i="2" a="1"/>
  <c r="G339" i="2" s="1"/>
  <c r="I339" i="2"/>
  <c r="G340" i="2" a="1"/>
  <c r="G340" i="2" s="1"/>
  <c r="I340" i="2"/>
  <c r="G341" i="2" a="1"/>
  <c r="G341" i="2"/>
  <c r="I341" i="2"/>
  <c r="G342" i="2" a="1"/>
  <c r="G342" i="2" s="1"/>
  <c r="I342" i="2"/>
  <c r="G343" i="2" a="1"/>
  <c r="G343" i="2"/>
  <c r="I343" i="2"/>
  <c r="G344" i="2" a="1"/>
  <c r="G344" i="2" s="1"/>
  <c r="I344" i="2"/>
  <c r="G345" i="2" a="1"/>
  <c r="G345" i="2"/>
  <c r="I345" i="2"/>
  <c r="G346" i="2" a="1"/>
  <c r="G346" i="2" s="1"/>
  <c r="I346" i="2"/>
  <c r="G347" i="2" a="1"/>
  <c r="G347" i="2"/>
  <c r="I347" i="2"/>
  <c r="G348" i="2" a="1"/>
  <c r="G348" i="2" s="1"/>
  <c r="I348" i="2"/>
  <c r="G349" i="2" a="1"/>
  <c r="G349" i="2"/>
  <c r="I349" i="2"/>
  <c r="G350" i="2" a="1"/>
  <c r="G350" i="2" s="1"/>
  <c r="I350" i="2"/>
  <c r="G351" i="2" a="1"/>
  <c r="G351" i="2" s="1"/>
  <c r="I351" i="2"/>
  <c r="G352" i="2" a="1"/>
  <c r="G352" i="2"/>
  <c r="I352" i="2"/>
  <c r="G353" i="2" a="1"/>
  <c r="G353" i="2" s="1"/>
  <c r="I353" i="2"/>
  <c r="G354" i="2" a="1"/>
  <c r="G354" i="2"/>
  <c r="I354" i="2"/>
  <c r="G355" i="2" a="1"/>
  <c r="G355" i="2" s="1"/>
  <c r="I355" i="2"/>
  <c r="G356" i="2" a="1"/>
  <c r="G356" i="2"/>
  <c r="I356" i="2"/>
  <c r="G357" i="2" a="1"/>
  <c r="G357" i="2" s="1"/>
  <c r="I357" i="2"/>
  <c r="G358" i="2" a="1"/>
  <c r="G358" i="2" s="1"/>
  <c r="I358" i="2"/>
  <c r="G359" i="2" a="1"/>
  <c r="G359" i="2" s="1"/>
  <c r="I359" i="2"/>
  <c r="G360" i="2" a="1"/>
  <c r="G360" i="2" s="1"/>
  <c r="I360" i="2"/>
  <c r="G361" i="2" a="1"/>
  <c r="G361" i="2" s="1"/>
  <c r="I361" i="2"/>
  <c r="G362" i="2" a="1"/>
  <c r="G362" i="2"/>
  <c r="I362" i="2"/>
  <c r="G363" i="2" a="1"/>
  <c r="G363" i="2" s="1"/>
  <c r="I363" i="2"/>
  <c r="G364" i="2" a="1"/>
  <c r="G364" i="2"/>
  <c r="I364" i="2"/>
  <c r="G365" i="2" a="1"/>
  <c r="G365" i="2" s="1"/>
  <c r="I365" i="2"/>
  <c r="G366" i="2" a="1"/>
  <c r="G366" i="2"/>
  <c r="I366" i="2"/>
  <c r="G367" i="2" a="1"/>
  <c r="G367" i="2" s="1"/>
  <c r="I367" i="2"/>
  <c r="G368" i="2" a="1"/>
  <c r="G368" i="2"/>
  <c r="I368" i="2"/>
  <c r="G369" i="2" a="1"/>
  <c r="G369" i="2" s="1"/>
  <c r="I369" i="2"/>
  <c r="G370" i="2" a="1"/>
  <c r="G370" i="2"/>
  <c r="I370" i="2"/>
  <c r="G371" i="2" a="1"/>
  <c r="G371" i="2" s="1"/>
  <c r="I371" i="2"/>
  <c r="G372" i="2" a="1"/>
  <c r="G372" i="2"/>
  <c r="I372" i="2"/>
  <c r="G373" i="2" a="1"/>
  <c r="G373" i="2" s="1"/>
  <c r="I373" i="2"/>
  <c r="G374" i="2" a="1"/>
  <c r="G374" i="2" s="1"/>
  <c r="I374" i="2"/>
  <c r="G375" i="2" a="1"/>
  <c r="G375" i="2" s="1"/>
  <c r="I375" i="2"/>
  <c r="G376" i="2" a="1"/>
  <c r="G376" i="2" s="1"/>
  <c r="I376" i="2"/>
  <c r="G377" i="2" a="1"/>
  <c r="G377" i="2" s="1"/>
  <c r="I377" i="2"/>
  <c r="G378" i="2" a="1"/>
  <c r="G378" i="2"/>
  <c r="I378" i="2"/>
  <c r="G379" i="2" a="1"/>
  <c r="G379" i="2" s="1"/>
  <c r="I379" i="2"/>
  <c r="G380" i="2" a="1"/>
  <c r="G380" i="2"/>
  <c r="I380" i="2"/>
  <c r="G381" i="2" a="1"/>
  <c r="G381" i="2" s="1"/>
  <c r="I381" i="2"/>
  <c r="G382" i="2" a="1"/>
  <c r="G382" i="2"/>
  <c r="I382" i="2"/>
  <c r="G383" i="2" a="1"/>
  <c r="G383" i="2" s="1"/>
  <c r="I383" i="2"/>
  <c r="G384" i="2" a="1"/>
  <c r="G384" i="2"/>
  <c r="I384" i="2"/>
  <c r="G385" i="2" a="1"/>
  <c r="G385" i="2" s="1"/>
  <c r="I385" i="2"/>
  <c r="G386" i="2" a="1"/>
  <c r="G386" i="2"/>
  <c r="I386" i="2"/>
  <c r="G387" i="2" a="1"/>
  <c r="G387" i="2" s="1"/>
  <c r="I387" i="2"/>
  <c r="G388" i="2" a="1"/>
  <c r="G388" i="2"/>
  <c r="I388" i="2"/>
  <c r="G389" i="2" a="1"/>
  <c r="G389" i="2" s="1"/>
  <c r="I389" i="2"/>
  <c r="G390" i="2" a="1"/>
  <c r="G390" i="2" s="1"/>
  <c r="I390" i="2"/>
  <c r="G391" i="2" a="1"/>
  <c r="G391" i="2" s="1"/>
  <c r="I391" i="2"/>
  <c r="G392" i="2" a="1"/>
  <c r="G392" i="2" s="1"/>
  <c r="I392" i="2"/>
  <c r="G393" i="2" a="1"/>
  <c r="G393" i="2" s="1"/>
  <c r="I393" i="2"/>
  <c r="G394" i="2" a="1"/>
  <c r="G394" i="2"/>
  <c r="I394" i="2"/>
  <c r="G395" i="2" a="1"/>
  <c r="G395" i="2" s="1"/>
  <c r="I395" i="2"/>
  <c r="G396" i="2" a="1"/>
  <c r="G396" i="2" s="1"/>
  <c r="I396" i="2"/>
  <c r="G397" i="2" a="1"/>
  <c r="G397" i="2" s="1"/>
  <c r="I397" i="2"/>
  <c r="G398" i="2" a="1"/>
  <c r="G398" i="2" s="1"/>
  <c r="I398" i="2"/>
  <c r="G399" i="2" a="1"/>
  <c r="G399" i="2" s="1"/>
  <c r="I399" i="2"/>
  <c r="G400" i="2" a="1"/>
  <c r="G400" i="2"/>
  <c r="I400" i="2"/>
  <c r="G401" i="2" a="1"/>
  <c r="G401" i="2" s="1"/>
  <c r="I401" i="2"/>
  <c r="G402" i="2" a="1"/>
  <c r="G402" i="2"/>
  <c r="I402" i="2"/>
  <c r="G403" i="2" a="1"/>
  <c r="G403" i="2" s="1"/>
  <c r="I403" i="2"/>
  <c r="G404" i="2" a="1"/>
  <c r="G404" i="2"/>
  <c r="I404" i="2"/>
  <c r="G405" i="2" a="1"/>
  <c r="G405" i="2" s="1"/>
  <c r="I405" i="2"/>
  <c r="G406" i="2" a="1"/>
  <c r="G406" i="2" s="1"/>
  <c r="I406" i="2"/>
  <c r="G407" i="2" a="1"/>
  <c r="G407" i="2" s="1"/>
  <c r="I407" i="2"/>
  <c r="G408" i="2" a="1"/>
  <c r="G408" i="2" s="1"/>
  <c r="I408" i="2"/>
  <c r="G409" i="2" a="1"/>
  <c r="G409" i="2" s="1"/>
  <c r="I409" i="2"/>
  <c r="G410" i="2" a="1"/>
  <c r="G410" i="2" s="1"/>
  <c r="I410" i="2"/>
  <c r="G411" i="2" a="1"/>
  <c r="G411" i="2" s="1"/>
  <c r="I411" i="2"/>
  <c r="G412" i="2" a="1"/>
  <c r="G412" i="2"/>
  <c r="I412" i="2"/>
  <c r="G413" i="2" a="1"/>
  <c r="G413" i="2" s="1"/>
  <c r="I413" i="2"/>
  <c r="G414" i="2" a="1"/>
  <c r="G414" i="2"/>
  <c r="I414" i="2"/>
  <c r="G415" i="2" a="1"/>
  <c r="G415" i="2" s="1"/>
  <c r="I415" i="2"/>
  <c r="G416" i="2" a="1"/>
  <c r="G416" i="2"/>
  <c r="I416" i="2"/>
  <c r="G417" i="2" a="1"/>
  <c r="G417" i="2" s="1"/>
  <c r="I417" i="2"/>
  <c r="G418" i="2" a="1"/>
  <c r="G418" i="2"/>
  <c r="I418" i="2"/>
  <c r="G419" i="2" a="1"/>
  <c r="G419" i="2" s="1"/>
  <c r="I419" i="2"/>
  <c r="G420" i="2" a="1"/>
  <c r="G420" i="2" s="1"/>
  <c r="I420" i="2"/>
  <c r="G421" i="2" a="1"/>
  <c r="G421" i="2" s="1"/>
  <c r="I421" i="2"/>
  <c r="G422" i="2" a="1"/>
  <c r="G422" i="2"/>
  <c r="I422" i="2"/>
  <c r="G423" i="2" a="1"/>
  <c r="G423" i="2" s="1"/>
  <c r="I423" i="2"/>
  <c r="G424" i="2" a="1"/>
  <c r="G424" i="2" s="1"/>
  <c r="I424" i="2"/>
  <c r="G425" i="2" a="1"/>
  <c r="G425" i="2" s="1"/>
  <c r="I425" i="2"/>
  <c r="G426" i="2" a="1"/>
  <c r="G426" i="2"/>
  <c r="I426" i="2"/>
  <c r="G427" i="2" a="1"/>
  <c r="G427" i="2" s="1"/>
  <c r="I427" i="2"/>
  <c r="G428" i="2" a="1"/>
  <c r="G428" i="2"/>
  <c r="I428" i="2"/>
  <c r="G429" i="2" a="1"/>
  <c r="G429" i="2" s="1"/>
  <c r="I429" i="2"/>
  <c r="G430" i="2" a="1"/>
  <c r="G430" i="2"/>
  <c r="I430" i="2"/>
  <c r="G431" i="2" a="1"/>
  <c r="G431" i="2" s="1"/>
  <c r="I431" i="2"/>
  <c r="G432" i="2" a="1"/>
  <c r="G432" i="2"/>
  <c r="I432" i="2"/>
  <c r="G433" i="2" a="1"/>
  <c r="G433" i="2" s="1"/>
  <c r="I433" i="2"/>
  <c r="G434" i="2" a="1"/>
  <c r="G434" i="2"/>
  <c r="I434" i="2"/>
  <c r="G435" i="2" a="1"/>
  <c r="G435" i="2" s="1"/>
  <c r="I435" i="2"/>
  <c r="G436" i="2" a="1"/>
  <c r="G436" i="2" s="1"/>
  <c r="I436" i="2"/>
  <c r="G437" i="2" a="1"/>
  <c r="G437" i="2" s="1"/>
  <c r="I437" i="2"/>
  <c r="G438" i="2" a="1"/>
  <c r="G438" i="2"/>
  <c r="I438" i="2"/>
  <c r="G439" i="2" a="1"/>
  <c r="G439" i="2" s="1"/>
  <c r="I439" i="2"/>
  <c r="G440" i="2" a="1"/>
  <c r="G440" i="2" s="1"/>
  <c r="I440" i="2"/>
  <c r="G441" i="2" a="1"/>
  <c r="G441" i="2" s="1"/>
  <c r="I441" i="2"/>
  <c r="G442" i="2" a="1"/>
  <c r="G442" i="2"/>
  <c r="I442" i="2"/>
  <c r="G443" i="2" a="1"/>
  <c r="G443" i="2" s="1"/>
  <c r="I443" i="2"/>
  <c r="G444" i="2" a="1"/>
  <c r="G444" i="2" s="1"/>
  <c r="I444" i="2"/>
  <c r="G445" i="2" a="1"/>
  <c r="G445" i="2" s="1"/>
  <c r="I445" i="2"/>
  <c r="G446" i="2" a="1"/>
  <c r="G446" i="2"/>
  <c r="I446" i="2"/>
  <c r="G447" i="2" a="1"/>
  <c r="G447" i="2" s="1"/>
  <c r="I447" i="2"/>
  <c r="G448" i="2" a="1"/>
  <c r="G448" i="2"/>
  <c r="I448" i="2"/>
  <c r="G449" i="2" a="1"/>
  <c r="G449" i="2" s="1"/>
  <c r="I449" i="2"/>
  <c r="G450" i="2" a="1"/>
  <c r="G450" i="2"/>
  <c r="I450" i="2"/>
  <c r="G451" i="2" a="1"/>
  <c r="G451" i="2" s="1"/>
  <c r="I451" i="2"/>
  <c r="G452" i="2" a="1"/>
  <c r="G452" i="2" s="1"/>
  <c r="I452" i="2"/>
  <c r="G453" i="2" a="1"/>
  <c r="G453" i="2" s="1"/>
  <c r="I453" i="2"/>
  <c r="G454" i="2" a="1"/>
  <c r="G454" i="2"/>
  <c r="I454" i="2"/>
  <c r="G455" i="2" a="1"/>
  <c r="G455" i="2" s="1"/>
  <c r="I455" i="2"/>
  <c r="G456" i="2" a="1"/>
  <c r="G456" i="2" s="1"/>
  <c r="I456" i="2"/>
  <c r="G457" i="2" a="1"/>
  <c r="G457" i="2" s="1"/>
  <c r="I457" i="2"/>
  <c r="G458" i="2" a="1"/>
  <c r="G458" i="2"/>
  <c r="I458" i="2"/>
  <c r="G459" i="2" a="1"/>
  <c r="G459" i="2" s="1"/>
  <c r="I459" i="2"/>
  <c r="G460" i="2" a="1"/>
  <c r="G460" i="2" s="1"/>
  <c r="I460" i="2"/>
  <c r="G461" i="2" a="1"/>
  <c r="G461" i="2" s="1"/>
  <c r="I461" i="2"/>
  <c r="G462" i="2" a="1"/>
  <c r="G462" i="2" s="1"/>
  <c r="I462" i="2"/>
  <c r="G463" i="2" a="1"/>
  <c r="G463" i="2" s="1"/>
  <c r="I463" i="2"/>
  <c r="G464" i="2" a="1"/>
  <c r="G464" i="2"/>
  <c r="I464" i="2"/>
  <c r="G465" i="2" a="1"/>
  <c r="G465" i="2" s="1"/>
  <c r="I465" i="2"/>
  <c r="G466" i="2" a="1"/>
  <c r="G466" i="2"/>
  <c r="I466" i="2"/>
  <c r="G467" i="2" a="1"/>
  <c r="G467" i="2" s="1"/>
  <c r="I467" i="2"/>
  <c r="G468" i="2" a="1"/>
  <c r="G468" i="2" s="1"/>
  <c r="I468" i="2"/>
  <c r="G469" i="2" a="1"/>
  <c r="G469" i="2" s="1"/>
  <c r="I469" i="2"/>
  <c r="G470" i="2" a="1"/>
  <c r="G470" i="2" s="1"/>
  <c r="I470" i="2"/>
  <c r="G471" i="2" a="1"/>
  <c r="G471" i="2" s="1"/>
  <c r="I471" i="2"/>
  <c r="G472" i="2" a="1"/>
  <c r="G472" i="2" s="1"/>
  <c r="I472" i="2"/>
  <c r="G473" i="2" a="1"/>
  <c r="G473" i="2" s="1"/>
  <c r="I473" i="2"/>
  <c r="G474" i="2" a="1"/>
  <c r="G474" i="2"/>
  <c r="I474" i="2"/>
  <c r="G475" i="2" a="1"/>
  <c r="G475" i="2" s="1"/>
  <c r="I475" i="2"/>
  <c r="G476" i="2" a="1"/>
  <c r="G476" i="2"/>
  <c r="I476" i="2"/>
  <c r="G477" i="2" a="1"/>
  <c r="G477" i="2" s="1"/>
  <c r="I477" i="2"/>
  <c r="G478" i="2" a="1"/>
  <c r="G478" i="2"/>
  <c r="I478" i="2"/>
  <c r="G479" i="2" a="1"/>
  <c r="G479" i="2" s="1"/>
  <c r="I479" i="2"/>
  <c r="G480" i="2" a="1"/>
  <c r="G480" i="2"/>
  <c r="I480" i="2"/>
  <c r="G481" i="2" a="1"/>
  <c r="G481" i="2" s="1"/>
  <c r="I481" i="2"/>
  <c r="G482" i="2" a="1"/>
  <c r="G482" i="2"/>
  <c r="I482" i="2"/>
  <c r="G483" i="2" a="1"/>
  <c r="G483" i="2" s="1"/>
  <c r="I483" i="2"/>
  <c r="G484" i="2" a="1"/>
  <c r="G484" i="2" s="1"/>
  <c r="I484" i="2"/>
  <c r="G485" i="2" a="1"/>
  <c r="G485" i="2" s="1"/>
  <c r="I485" i="2"/>
  <c r="G486" i="2" a="1"/>
  <c r="G486" i="2" s="1"/>
  <c r="I486" i="2"/>
  <c r="G487" i="2" a="1"/>
  <c r="G487" i="2" s="1"/>
  <c r="I487" i="2"/>
  <c r="G488" i="2" a="1"/>
  <c r="G488" i="2" s="1"/>
  <c r="I488" i="2"/>
  <c r="G489" i="2" a="1"/>
  <c r="G489" i="2" s="1"/>
  <c r="I489" i="2"/>
  <c r="G490" i="2" a="1"/>
  <c r="G490" i="2"/>
  <c r="I490" i="2"/>
  <c r="G491" i="2" a="1"/>
  <c r="G491" i="2" s="1"/>
  <c r="I491" i="2"/>
  <c r="G492" i="2" a="1"/>
  <c r="G492" i="2" s="1"/>
  <c r="I492" i="2"/>
  <c r="G493" i="2" a="1"/>
  <c r="G493" i="2" s="1"/>
  <c r="I493" i="2"/>
  <c r="G494" i="2" a="1"/>
  <c r="G494" i="2"/>
  <c r="I494" i="2"/>
  <c r="G495" i="2" a="1"/>
  <c r="G495" i="2" s="1"/>
  <c r="I495" i="2"/>
  <c r="G496" i="2" a="1"/>
  <c r="G496" i="2"/>
  <c r="I496" i="2"/>
  <c r="G497" i="2" a="1"/>
  <c r="G497" i="2" s="1"/>
  <c r="I497" i="2"/>
  <c r="G498" i="2" a="1"/>
  <c r="G498" i="2"/>
  <c r="I498" i="2"/>
  <c r="G499" i="2" a="1"/>
  <c r="G499" i="2" s="1"/>
  <c r="I499" i="2"/>
  <c r="G500" i="2" a="1"/>
  <c r="G500" i="2" s="1"/>
  <c r="I500" i="2"/>
  <c r="G501" i="2" a="1"/>
  <c r="G501" i="2" s="1"/>
  <c r="I501" i="2"/>
  <c r="G502" i="2" a="1"/>
  <c r="G502" i="2" s="1"/>
  <c r="I502" i="2"/>
  <c r="G503" i="2" a="1"/>
  <c r="G503" i="2" s="1"/>
  <c r="I503" i="2"/>
  <c r="G504" i="2" a="1"/>
  <c r="G504" i="2" s="1"/>
  <c r="I504" i="2"/>
  <c r="G505" i="2" a="1"/>
  <c r="G505" i="2" s="1"/>
  <c r="I505" i="2"/>
  <c r="G506" i="2" a="1"/>
  <c r="G506" i="2" s="1"/>
  <c r="I506" i="2"/>
  <c r="G507" i="2" a="1"/>
  <c r="G507" i="2" s="1"/>
  <c r="I507" i="2"/>
  <c r="G508" i="2" a="1"/>
  <c r="G508" i="2" s="1"/>
  <c r="I508" i="2"/>
  <c r="G509" i="2" a="1"/>
  <c r="G509" i="2" s="1"/>
  <c r="I509" i="2"/>
  <c r="G510" i="2" a="1"/>
  <c r="G510" i="2"/>
  <c r="I510" i="2"/>
  <c r="G511" i="2" a="1"/>
  <c r="G511" i="2" s="1"/>
  <c r="I511" i="2"/>
  <c r="G512" i="2" a="1"/>
  <c r="G512" i="2"/>
  <c r="I512" i="2"/>
  <c r="G513" i="2" a="1"/>
  <c r="G513" i="2" s="1"/>
  <c r="I513" i="2"/>
  <c r="G514" i="2" a="1"/>
  <c r="G514" i="2"/>
  <c r="I514" i="2"/>
  <c r="G515" i="2" a="1"/>
  <c r="G515" i="2" s="1"/>
  <c r="I515" i="2"/>
  <c r="G516" i="2" a="1"/>
  <c r="G516" i="2" s="1"/>
  <c r="I516" i="2"/>
  <c r="G517" i="2" a="1"/>
  <c r="G517" i="2" s="1"/>
  <c r="I517" i="2"/>
  <c r="G518" i="2" a="1"/>
  <c r="G518" i="2" s="1"/>
  <c r="I518" i="2"/>
  <c r="G519" i="2" a="1"/>
  <c r="G519" i="2" s="1"/>
  <c r="I519" i="2"/>
  <c r="G520" i="2" a="1"/>
  <c r="G520" i="2" s="1"/>
  <c r="I520" i="2"/>
  <c r="G521" i="2" a="1"/>
  <c r="G521" i="2" s="1"/>
  <c r="I521" i="2"/>
  <c r="G522" i="2" a="1"/>
  <c r="G522" i="2"/>
  <c r="I522" i="2"/>
  <c r="G523" i="2" a="1"/>
  <c r="G523" i="2" s="1"/>
  <c r="I523" i="2"/>
  <c r="G524" i="2" a="1"/>
  <c r="G524" i="2"/>
  <c r="I524" i="2"/>
  <c r="G525" i="2" a="1"/>
  <c r="G525" i="2" s="1"/>
  <c r="I525" i="2"/>
  <c r="G526" i="2" a="1"/>
  <c r="G526" i="2"/>
  <c r="I526" i="2"/>
  <c r="G527" i="2" a="1"/>
  <c r="G527" i="2" s="1"/>
  <c r="I527" i="2"/>
  <c r="G528" i="2" a="1"/>
  <c r="G528" i="2"/>
  <c r="I528" i="2"/>
  <c r="G529" i="2" a="1"/>
  <c r="G529" i="2" s="1"/>
  <c r="I529" i="2"/>
  <c r="G530" i="2" a="1"/>
  <c r="G530" i="2"/>
  <c r="I530" i="2"/>
  <c r="G531" i="2" a="1"/>
  <c r="G531" i="2" s="1"/>
  <c r="I531" i="2"/>
  <c r="G532" i="2" a="1"/>
  <c r="G532" i="2" s="1"/>
  <c r="I532" i="2"/>
  <c r="G533" i="2" a="1"/>
  <c r="G533" i="2" s="1"/>
  <c r="I533" i="2"/>
  <c r="G534" i="2" a="1"/>
  <c r="G534" i="2" s="1"/>
  <c r="I534" i="2"/>
  <c r="G535" i="2" a="1"/>
  <c r="G535" i="2" s="1"/>
  <c r="I535" i="2"/>
  <c r="G536" i="2" a="1"/>
  <c r="G536" i="2" s="1"/>
  <c r="I536" i="2"/>
  <c r="G537" i="2" a="1"/>
  <c r="G537" i="2" s="1"/>
  <c r="I537" i="2"/>
  <c r="G538" i="2" a="1"/>
  <c r="G538" i="2"/>
  <c r="I538" i="2"/>
  <c r="G539" i="2" a="1"/>
  <c r="G539" i="2" s="1"/>
  <c r="I539" i="2"/>
  <c r="G540" i="2" a="1"/>
  <c r="G540" i="2"/>
  <c r="I540" i="2"/>
  <c r="G541" i="2" a="1"/>
  <c r="G541" i="2" s="1"/>
  <c r="I541" i="2"/>
  <c r="G542" i="2" a="1"/>
  <c r="G542" i="2" s="1"/>
  <c r="I542" i="2"/>
  <c r="G543" i="2" a="1"/>
  <c r="G543" i="2" s="1"/>
  <c r="I543" i="2"/>
  <c r="G544" i="2" a="1"/>
  <c r="G544" i="2"/>
  <c r="I544" i="2"/>
  <c r="G545" i="2" a="1"/>
  <c r="G545" i="2" s="1"/>
  <c r="I545" i="2"/>
  <c r="G546" i="2" a="1"/>
  <c r="G546" i="2"/>
  <c r="I546" i="2"/>
  <c r="G547" i="2" a="1"/>
  <c r="G547" i="2" s="1"/>
  <c r="I547" i="2"/>
  <c r="G548" i="2" a="1"/>
  <c r="G548" i="2"/>
  <c r="I548" i="2"/>
  <c r="G549" i="2" a="1"/>
  <c r="G549" i="2" s="1"/>
  <c r="I549" i="2"/>
  <c r="G550" i="2" a="1"/>
  <c r="G550" i="2" s="1"/>
  <c r="I550" i="2"/>
  <c r="G551" i="2" a="1"/>
  <c r="G551" i="2" s="1"/>
  <c r="I551" i="2"/>
  <c r="G552" i="2" a="1"/>
  <c r="G552" i="2" s="1"/>
  <c r="I552" i="2"/>
  <c r="G553" i="2" a="1"/>
  <c r="G553" i="2" s="1"/>
  <c r="I553" i="2"/>
  <c r="G554" i="2" a="1"/>
  <c r="G554" i="2" s="1"/>
  <c r="I554" i="2"/>
  <c r="G555" i="2" a="1"/>
  <c r="G555" i="2" s="1"/>
  <c r="I555" i="2"/>
  <c r="G556" i="2" a="1"/>
  <c r="G556" i="2" s="1"/>
  <c r="I556" i="2"/>
  <c r="G557" i="2" a="1"/>
  <c r="G557" i="2" s="1"/>
  <c r="I557" i="2"/>
  <c r="G558" i="2" a="1"/>
  <c r="G558" i="2"/>
  <c r="I558" i="2"/>
  <c r="G559" i="2" a="1"/>
  <c r="G559" i="2" s="1"/>
  <c r="I559" i="2"/>
  <c r="G560" i="2" a="1"/>
  <c r="G560" i="2"/>
  <c r="I560" i="2"/>
  <c r="G561" i="2" a="1"/>
  <c r="G561" i="2" s="1"/>
  <c r="I561" i="2"/>
  <c r="G562" i="2" a="1"/>
  <c r="G562" i="2"/>
  <c r="I562" i="2"/>
  <c r="G563" i="2" a="1"/>
  <c r="G563" i="2" s="1"/>
  <c r="I563" i="2"/>
  <c r="G564" i="2" a="1"/>
  <c r="G564" i="2" s="1"/>
  <c r="I564" i="2"/>
  <c r="G565" i="2" a="1"/>
  <c r="G565" i="2" s="1"/>
  <c r="I565" i="2"/>
  <c r="G566" i="2" a="1"/>
  <c r="G566" i="2"/>
  <c r="I566" i="2"/>
  <c r="G567" i="2" a="1"/>
  <c r="G567" i="2" s="1"/>
  <c r="I567" i="2"/>
  <c r="G568" i="2" a="1"/>
  <c r="G568" i="2" s="1"/>
  <c r="I568" i="2"/>
  <c r="G569" i="2" a="1"/>
  <c r="G569" i="2" s="1"/>
  <c r="I569" i="2"/>
  <c r="G570" i="2" a="1"/>
  <c r="G570" i="2"/>
  <c r="I570" i="2"/>
  <c r="G571" i="2" a="1"/>
  <c r="G571" i="2" s="1"/>
  <c r="I571" i="2"/>
  <c r="G572" i="2" a="1"/>
  <c r="G572" i="2"/>
  <c r="I572" i="2"/>
  <c r="G573" i="2" a="1"/>
  <c r="G573" i="2" s="1"/>
  <c r="I573" i="2"/>
  <c r="G574" i="2" a="1"/>
  <c r="G574" i="2"/>
  <c r="I574" i="2"/>
  <c r="G575" i="2" a="1"/>
  <c r="G575" i="2" s="1"/>
  <c r="I575" i="2"/>
  <c r="G576" i="2" a="1"/>
  <c r="G576" i="2"/>
  <c r="I576" i="2"/>
  <c r="G577" i="2" a="1"/>
  <c r="G577" i="2" s="1"/>
  <c r="I577" i="2"/>
  <c r="G578" i="2" a="1"/>
  <c r="G578" i="2"/>
  <c r="I578" i="2"/>
  <c r="G579" i="2" a="1"/>
  <c r="G579" i="2" s="1"/>
  <c r="I579" i="2"/>
  <c r="G580" i="2" a="1"/>
  <c r="G580" i="2" s="1"/>
  <c r="I580" i="2"/>
  <c r="G581" i="2" a="1"/>
  <c r="G581" i="2" s="1"/>
  <c r="I581" i="2"/>
  <c r="G582" i="2" a="1"/>
  <c r="G582" i="2"/>
  <c r="I582" i="2"/>
  <c r="G583" i="2" a="1"/>
  <c r="G583" i="2" s="1"/>
  <c r="I583" i="2"/>
  <c r="G584" i="2" a="1"/>
  <c r="G584" i="2" s="1"/>
  <c r="I584" i="2"/>
  <c r="G585" i="2" a="1"/>
  <c r="G585" i="2" s="1"/>
  <c r="I585" i="2"/>
  <c r="G586" i="2" a="1"/>
  <c r="G586" i="2"/>
  <c r="I586" i="2"/>
  <c r="G587" i="2" a="1"/>
  <c r="G587" i="2" s="1"/>
  <c r="I587" i="2"/>
  <c r="G588" i="2" a="1"/>
  <c r="G588" i="2"/>
  <c r="I588" i="2"/>
  <c r="G589" i="2" a="1"/>
  <c r="G589" i="2" s="1"/>
  <c r="I589" i="2"/>
  <c r="G590" i="2" a="1"/>
  <c r="G590" i="2" s="1"/>
  <c r="I590" i="2"/>
  <c r="G591" i="2" a="1"/>
  <c r="G591" i="2" s="1"/>
  <c r="I591" i="2"/>
  <c r="G592" i="2" a="1"/>
  <c r="G592" i="2"/>
  <c r="I592" i="2"/>
  <c r="G593" i="2" a="1"/>
  <c r="G593" i="2" s="1"/>
  <c r="I593" i="2"/>
  <c r="G594" i="2" a="1"/>
  <c r="G594" i="2" s="1"/>
  <c r="I594" i="2"/>
  <c r="G595" i="2" a="1"/>
  <c r="G595" i="2" s="1"/>
  <c r="I595" i="2"/>
  <c r="G596" i="2" a="1"/>
  <c r="G596" i="2" s="1"/>
  <c r="I596" i="2"/>
  <c r="G597" i="2" a="1"/>
  <c r="G597" i="2" s="1"/>
  <c r="I597" i="2"/>
  <c r="G598" i="2" a="1"/>
  <c r="G598" i="2"/>
  <c r="I598" i="2"/>
  <c r="G599" i="2" a="1"/>
  <c r="G599" i="2" s="1"/>
  <c r="I599" i="2"/>
  <c r="G600" i="2" a="1"/>
  <c r="G600" i="2" s="1"/>
  <c r="I600" i="2"/>
  <c r="G601" i="2" a="1"/>
  <c r="G601" i="2" s="1"/>
  <c r="I601" i="2"/>
  <c r="G602" i="2" a="1"/>
  <c r="G602" i="2"/>
  <c r="I602" i="2"/>
  <c r="G603" i="2" a="1"/>
  <c r="G603" i="2" s="1"/>
  <c r="I603" i="2"/>
  <c r="G604" i="2" a="1"/>
  <c r="G604" i="2" s="1"/>
  <c r="I604" i="2"/>
  <c r="G605" i="2" a="1"/>
  <c r="G605" i="2" s="1"/>
  <c r="I605" i="2"/>
  <c r="G606" i="2" a="1"/>
  <c r="G606" i="2" s="1"/>
  <c r="I606" i="2"/>
  <c r="G607" i="2" a="1"/>
  <c r="G607" i="2" s="1"/>
  <c r="I607" i="2"/>
  <c r="G608" i="2" a="1"/>
  <c r="G608" i="2"/>
  <c r="I608" i="2"/>
  <c r="G609" i="2" a="1"/>
  <c r="G609" i="2" s="1"/>
  <c r="I609" i="2"/>
  <c r="G610" i="2" a="1"/>
  <c r="G610" i="2" s="1"/>
  <c r="I610" i="2"/>
  <c r="G611" i="2" a="1"/>
  <c r="G611" i="2" s="1"/>
  <c r="I611" i="2"/>
  <c r="G612" i="2" a="1"/>
  <c r="G612" i="2" s="1"/>
  <c r="I612" i="2"/>
  <c r="G613" i="2" a="1"/>
  <c r="G613" i="2" s="1"/>
  <c r="I613" i="2"/>
  <c r="G614" i="2" a="1"/>
  <c r="G614" i="2"/>
  <c r="I614" i="2"/>
  <c r="G615" i="2" a="1"/>
  <c r="G615" i="2" s="1"/>
  <c r="I615" i="2"/>
  <c r="G616" i="2" a="1"/>
  <c r="G616" i="2" s="1"/>
  <c r="I616" i="2"/>
  <c r="G617" i="2" a="1"/>
  <c r="G617" i="2" s="1"/>
  <c r="I617" i="2"/>
  <c r="G618" i="2" a="1"/>
  <c r="G618" i="2"/>
  <c r="I618" i="2"/>
  <c r="G619" i="2" a="1"/>
  <c r="G619" i="2" s="1"/>
  <c r="I619" i="2"/>
  <c r="G620" i="2" a="1"/>
  <c r="G620" i="2"/>
  <c r="I620" i="2"/>
  <c r="G621" i="2" a="1"/>
  <c r="G621" i="2" s="1"/>
  <c r="I621" i="2"/>
  <c r="G622" i="2" a="1"/>
  <c r="G622" i="2"/>
  <c r="I622" i="2"/>
  <c r="G623" i="2" a="1"/>
  <c r="G623" i="2" s="1"/>
  <c r="I623" i="2"/>
  <c r="G624" i="2" a="1"/>
  <c r="G624" i="2"/>
  <c r="I624" i="2"/>
  <c r="G625" i="2" a="1"/>
  <c r="G625" i="2" s="1"/>
  <c r="I625" i="2"/>
  <c r="G626" i="2" a="1"/>
  <c r="G626" i="2" s="1"/>
  <c r="I626" i="2"/>
  <c r="G627" i="2" a="1"/>
  <c r="G627" i="2" s="1"/>
  <c r="I627" i="2"/>
  <c r="G628" i="2" a="1"/>
  <c r="G628" i="2" s="1"/>
  <c r="I628" i="2"/>
  <c r="G629" i="2" a="1"/>
  <c r="G629" i="2" s="1"/>
  <c r="I629" i="2"/>
  <c r="G630" i="2" a="1"/>
  <c r="G630" i="2"/>
  <c r="I630" i="2"/>
  <c r="G631" i="2" a="1"/>
  <c r="G631" i="2" s="1"/>
  <c r="I631" i="2"/>
  <c r="G632" i="2" a="1"/>
  <c r="G632" i="2" s="1"/>
  <c r="I632" i="2"/>
  <c r="G633" i="2" a="1"/>
  <c r="G633" i="2" s="1"/>
  <c r="I633" i="2"/>
  <c r="G634" i="2" a="1"/>
  <c r="G634" i="2"/>
  <c r="I634" i="2"/>
  <c r="G635" i="2" a="1"/>
  <c r="G635" i="2" s="1"/>
  <c r="I635" i="2"/>
  <c r="G636" i="2" a="1"/>
  <c r="G636" i="2" s="1"/>
  <c r="I636" i="2"/>
  <c r="G637" i="2" a="1"/>
  <c r="G637" i="2" s="1"/>
  <c r="I637" i="2"/>
  <c r="G638" i="2" a="1"/>
  <c r="G638" i="2"/>
  <c r="I638" i="2"/>
  <c r="G639" i="2" a="1"/>
  <c r="G639" i="2" s="1"/>
  <c r="I639" i="2"/>
  <c r="G640" i="2" a="1"/>
  <c r="G640" i="2"/>
  <c r="I640" i="2"/>
  <c r="G641" i="2" a="1"/>
  <c r="G641" i="2" s="1"/>
  <c r="I641" i="2"/>
  <c r="G642" i="2" a="1"/>
  <c r="G642" i="2" s="1"/>
  <c r="I642" i="2"/>
  <c r="G643" i="2" a="1"/>
  <c r="G643" i="2" s="1"/>
  <c r="I643" i="2"/>
  <c r="G644" i="2" a="1"/>
  <c r="G644" i="2" s="1"/>
  <c r="I644" i="2"/>
  <c r="G645" i="2" a="1"/>
  <c r="G645" i="2" s="1"/>
  <c r="I645" i="2"/>
  <c r="G646" i="2" a="1"/>
  <c r="G646" i="2"/>
  <c r="I646" i="2"/>
  <c r="G647" i="2" a="1"/>
  <c r="G647" i="2" s="1"/>
  <c r="I647" i="2"/>
  <c r="G648" i="2" a="1"/>
  <c r="G648" i="2" s="1"/>
  <c r="I648" i="2"/>
  <c r="G649" i="2" a="1"/>
  <c r="G649" i="2" s="1"/>
  <c r="I649" i="2"/>
  <c r="G650" i="2" a="1"/>
  <c r="G650" i="2" s="1"/>
  <c r="I650" i="2"/>
  <c r="G651" i="2" a="1"/>
  <c r="G651" i="2" s="1"/>
  <c r="I651" i="2"/>
  <c r="G652" i="2" a="1"/>
  <c r="G652" i="2" s="1"/>
  <c r="I652" i="2"/>
  <c r="G653" i="2" a="1"/>
  <c r="G653" i="2" s="1"/>
  <c r="I653" i="2"/>
  <c r="G654" i="2" a="1"/>
  <c r="G654" i="2"/>
  <c r="I654" i="2"/>
  <c r="G655" i="2" a="1"/>
  <c r="G655" i="2" s="1"/>
  <c r="I655" i="2"/>
  <c r="G656" i="2" a="1"/>
  <c r="G656" i="2"/>
  <c r="I656" i="2"/>
  <c r="G657" i="2" a="1"/>
  <c r="G657" i="2" s="1"/>
  <c r="I657" i="2"/>
  <c r="G658" i="2" a="1"/>
  <c r="G658" i="2" s="1"/>
  <c r="I658" i="2"/>
  <c r="G659" i="2" a="1"/>
  <c r="G659" i="2" s="1"/>
  <c r="I659" i="2"/>
  <c r="G660" i="2" a="1"/>
  <c r="G660" i="2" s="1"/>
  <c r="I660" i="2"/>
  <c r="G661" i="2" a="1"/>
  <c r="G661" i="2" s="1"/>
  <c r="I661" i="2"/>
  <c r="G662" i="2" a="1"/>
  <c r="G662" i="2"/>
  <c r="I662" i="2"/>
  <c r="G663" i="2" a="1"/>
  <c r="G663" i="2" s="1"/>
  <c r="I663" i="2"/>
  <c r="G664" i="2" a="1"/>
  <c r="G664" i="2" s="1"/>
  <c r="I664" i="2"/>
  <c r="G665" i="2" a="1"/>
  <c r="G665" i="2" s="1"/>
  <c r="I665" i="2"/>
  <c r="G666" i="2" a="1"/>
  <c r="G666" i="2"/>
  <c r="I666" i="2"/>
  <c r="G667" i="2" a="1"/>
  <c r="G667" i="2" s="1"/>
  <c r="I667" i="2"/>
  <c r="G668" i="2" a="1"/>
  <c r="G668" i="2"/>
  <c r="I668" i="2"/>
  <c r="G669" i="2" a="1"/>
  <c r="G669" i="2" s="1"/>
  <c r="I669" i="2"/>
  <c r="G670" i="2" a="1"/>
  <c r="G670" i="2"/>
  <c r="I670" i="2"/>
  <c r="G671" i="2" a="1"/>
  <c r="G671" i="2" s="1"/>
  <c r="I671" i="2"/>
  <c r="G672" i="2" a="1"/>
  <c r="G672" i="2" s="1"/>
  <c r="I672" i="2"/>
  <c r="G673" i="2" a="1"/>
  <c r="G673" i="2" s="1"/>
  <c r="I673" i="2"/>
  <c r="G674" i="2" a="1"/>
  <c r="G674" i="2"/>
  <c r="I674" i="2"/>
  <c r="G675" i="2" a="1"/>
  <c r="G675" i="2" s="1"/>
  <c r="I675" i="2"/>
  <c r="G676" i="2" a="1"/>
  <c r="G676" i="2" s="1"/>
  <c r="I676" i="2"/>
  <c r="G677" i="2" a="1"/>
  <c r="G677" i="2" s="1"/>
  <c r="I677" i="2"/>
  <c r="G678" i="2" a="1"/>
  <c r="G678" i="2" s="1"/>
  <c r="I678" i="2"/>
  <c r="G679" i="2" a="1"/>
  <c r="G679" i="2" s="1"/>
  <c r="I679" i="2"/>
  <c r="G680" i="2" a="1"/>
  <c r="G680" i="2"/>
  <c r="I680" i="2"/>
  <c r="G681" i="2" a="1"/>
  <c r="G681" i="2" s="1"/>
  <c r="I681" i="2"/>
  <c r="G682" i="2" a="1"/>
  <c r="G682" i="2"/>
  <c r="I682" i="2"/>
  <c r="G683" i="2" a="1"/>
  <c r="G683" i="2" s="1"/>
  <c r="I683" i="2"/>
  <c r="G684" i="2" a="1"/>
  <c r="G684" i="2"/>
  <c r="I684" i="2"/>
  <c r="G685" i="2" a="1"/>
  <c r="G685" i="2" s="1"/>
  <c r="I685" i="2"/>
  <c r="G686" i="2" a="1"/>
  <c r="G686" i="2"/>
  <c r="I686" i="2"/>
  <c r="G687" i="2" a="1"/>
  <c r="G687" i="2" s="1"/>
  <c r="I687" i="2"/>
  <c r="G688" i="2" a="1"/>
  <c r="G688" i="2" s="1"/>
  <c r="I688" i="2"/>
  <c r="G689" i="2" a="1"/>
  <c r="G689" i="2" s="1"/>
  <c r="I689" i="2"/>
  <c r="G690" i="2" a="1"/>
  <c r="G690" i="2"/>
  <c r="I690" i="2"/>
  <c r="G691" i="2" a="1"/>
  <c r="G691" i="2" s="1"/>
  <c r="I691" i="2"/>
  <c r="G692" i="2" a="1"/>
  <c r="G692" i="2" s="1"/>
  <c r="I692" i="2"/>
  <c r="G693" i="2" a="1"/>
  <c r="G693" i="2" s="1"/>
  <c r="I693" i="2"/>
  <c r="G694" i="2" a="1"/>
  <c r="G694" i="2" s="1"/>
  <c r="I694" i="2"/>
  <c r="G695" i="2" a="1"/>
  <c r="G695" i="2" s="1"/>
  <c r="I695" i="2"/>
  <c r="G696" i="2" a="1"/>
  <c r="G696" i="2"/>
  <c r="I696" i="2"/>
  <c r="G697" i="2" a="1"/>
  <c r="G697" i="2" s="1"/>
  <c r="I697" i="2"/>
  <c r="G698" i="2" a="1"/>
  <c r="G698" i="2"/>
  <c r="I698" i="2"/>
  <c r="G699" i="2" a="1"/>
  <c r="G699" i="2" s="1"/>
  <c r="I699" i="2"/>
  <c r="G700" i="2" a="1"/>
  <c r="G700" i="2"/>
  <c r="I700" i="2"/>
  <c r="G701" i="2" a="1"/>
  <c r="G701" i="2" s="1"/>
  <c r="I701" i="2"/>
  <c r="G702" i="2" a="1"/>
  <c r="G702" i="2"/>
  <c r="I702" i="2"/>
  <c r="G703" i="2" a="1"/>
  <c r="G703" i="2" s="1"/>
  <c r="I703" i="2"/>
  <c r="G704" i="2" a="1"/>
  <c r="G704" i="2" s="1"/>
  <c r="I704" i="2"/>
  <c r="G705" i="2" a="1"/>
  <c r="G705" i="2" s="1"/>
  <c r="I705" i="2"/>
  <c r="G706" i="2" a="1"/>
  <c r="G706" i="2"/>
  <c r="I706" i="2"/>
  <c r="G707" i="2" a="1"/>
  <c r="G707" i="2" s="1"/>
  <c r="I707" i="2"/>
  <c r="G708" i="2" a="1"/>
  <c r="G708" i="2" s="1"/>
  <c r="I708" i="2"/>
  <c r="G709" i="2" a="1"/>
  <c r="G709" i="2" s="1"/>
  <c r="I709" i="2"/>
  <c r="G710" i="2" a="1"/>
  <c r="G710" i="2" s="1"/>
  <c r="I710" i="2"/>
  <c r="G711" i="2" a="1"/>
  <c r="G711" i="2" s="1"/>
  <c r="I711" i="2"/>
  <c r="G712" i="2" a="1"/>
  <c r="G712" i="2"/>
  <c r="I712" i="2"/>
  <c r="G713" i="2" a="1"/>
  <c r="G713" i="2" s="1"/>
  <c r="I713" i="2"/>
  <c r="G714" i="2" a="1"/>
  <c r="G714" i="2"/>
  <c r="I714" i="2"/>
  <c r="G715" i="2" a="1"/>
  <c r="G715" i="2" s="1"/>
  <c r="I715" i="2"/>
  <c r="G716" i="2" a="1"/>
  <c r="G716" i="2"/>
  <c r="I716" i="2"/>
  <c r="G717" i="2" a="1"/>
  <c r="G717" i="2" s="1"/>
  <c r="I717" i="2"/>
  <c r="G718" i="2" a="1"/>
  <c r="G718" i="2"/>
  <c r="I718" i="2"/>
  <c r="G719" i="2" a="1"/>
  <c r="G719" i="2" s="1"/>
  <c r="I719" i="2"/>
  <c r="G720" i="2" a="1"/>
  <c r="G720" i="2" s="1"/>
  <c r="I720" i="2"/>
  <c r="G721" i="2" a="1"/>
  <c r="G721" i="2" s="1"/>
  <c r="I721" i="2"/>
  <c r="G722" i="2" a="1"/>
  <c r="G722" i="2"/>
  <c r="I722" i="2"/>
  <c r="G723" i="2" a="1"/>
  <c r="G723" i="2" s="1"/>
  <c r="I723" i="2"/>
  <c r="G724" i="2" a="1"/>
  <c r="G724" i="2" s="1"/>
  <c r="I724" i="2"/>
  <c r="G725" i="2" a="1"/>
  <c r="G725" i="2" s="1"/>
  <c r="I725" i="2"/>
  <c r="G726" i="2" a="1"/>
  <c r="G726" i="2" s="1"/>
  <c r="I726" i="2"/>
  <c r="G727" i="2" a="1"/>
  <c r="G727" i="2" s="1"/>
  <c r="I727" i="2"/>
  <c r="G728" i="2" a="1"/>
  <c r="G728" i="2"/>
  <c r="I728" i="2"/>
  <c r="G729" i="2" a="1"/>
  <c r="G729" i="2" s="1"/>
  <c r="I729" i="2"/>
  <c r="G730" i="2" a="1"/>
  <c r="G730" i="2"/>
  <c r="I730" i="2"/>
  <c r="G731" i="2" a="1"/>
  <c r="G731" i="2" s="1"/>
  <c r="I731" i="2"/>
  <c r="G732" i="2" a="1"/>
  <c r="G732" i="2"/>
  <c r="I732" i="2"/>
  <c r="G733" i="2" a="1"/>
  <c r="G733" i="2" s="1"/>
  <c r="I733" i="2"/>
  <c r="G734" i="2" a="1"/>
  <c r="G734" i="2"/>
  <c r="I734" i="2"/>
  <c r="G735" i="2" a="1"/>
  <c r="G735" i="2" s="1"/>
  <c r="I735" i="2"/>
  <c r="G736" i="2" a="1"/>
  <c r="G736" i="2" s="1"/>
  <c r="I736" i="2"/>
  <c r="G737" i="2" a="1"/>
  <c r="G737" i="2" s="1"/>
  <c r="I737" i="2"/>
  <c r="G738" i="2" a="1"/>
  <c r="G738" i="2"/>
  <c r="I738" i="2"/>
  <c r="G739" i="2" a="1"/>
  <c r="G739" i="2" s="1"/>
  <c r="I739" i="2"/>
  <c r="G740" i="2" a="1"/>
  <c r="G740" i="2" s="1"/>
  <c r="I740" i="2"/>
  <c r="G741" i="2" a="1"/>
  <c r="G741" i="2" s="1"/>
  <c r="I741" i="2"/>
  <c r="G742" i="2" a="1"/>
  <c r="G742" i="2" s="1"/>
  <c r="I742" i="2"/>
  <c r="G743" i="2" a="1"/>
  <c r="G743" i="2" s="1"/>
  <c r="I743" i="2"/>
  <c r="G744" i="2" a="1"/>
  <c r="G744" i="2"/>
  <c r="I744" i="2"/>
  <c r="G745" i="2" a="1"/>
  <c r="G745" i="2" s="1"/>
  <c r="I745" i="2"/>
  <c r="G746" i="2" a="1"/>
  <c r="G746" i="2"/>
  <c r="I746" i="2"/>
  <c r="G747" i="2" a="1"/>
  <c r="G747" i="2" s="1"/>
  <c r="I747" i="2"/>
  <c r="G748" i="2" a="1"/>
  <c r="G748" i="2"/>
  <c r="I748" i="2"/>
  <c r="G749" i="2" a="1"/>
  <c r="G749" i="2" s="1"/>
  <c r="I749" i="2"/>
  <c r="G750" i="2" a="1"/>
  <c r="G750" i="2"/>
  <c r="I750" i="2"/>
  <c r="G751" i="2" a="1"/>
  <c r="G751" i="2" s="1"/>
  <c r="I751" i="2"/>
  <c r="G752" i="2" a="1"/>
  <c r="G752" i="2" s="1"/>
  <c r="I752" i="2"/>
  <c r="G753" i="2" a="1"/>
  <c r="G753" i="2" s="1"/>
  <c r="I753" i="2"/>
  <c r="G754" i="2" a="1"/>
  <c r="G754" i="2"/>
  <c r="I754" i="2"/>
  <c r="G755" i="2" a="1"/>
  <c r="G755" i="2" s="1"/>
  <c r="I755" i="2"/>
  <c r="G756" i="2" a="1"/>
  <c r="G756" i="2" s="1"/>
  <c r="I756" i="2"/>
  <c r="G757" i="2" a="1"/>
  <c r="G757" i="2" s="1"/>
  <c r="I757" i="2"/>
  <c r="G758" i="2" a="1"/>
  <c r="G758" i="2" s="1"/>
  <c r="I758" i="2"/>
  <c r="G759" i="2" a="1"/>
  <c r="G759" i="2" s="1"/>
  <c r="I759" i="2"/>
  <c r="G760" i="2" a="1"/>
  <c r="G760" i="2"/>
  <c r="I760" i="2"/>
  <c r="G761" i="2" a="1"/>
  <c r="G761" i="2" s="1"/>
  <c r="I761" i="2"/>
  <c r="G762" i="2" a="1"/>
  <c r="G762" i="2"/>
  <c r="I762" i="2"/>
  <c r="G763" i="2" a="1"/>
  <c r="G763" i="2" s="1"/>
  <c r="I763" i="2"/>
  <c r="G764" i="2" a="1"/>
  <c r="G764" i="2"/>
  <c r="I764" i="2"/>
  <c r="G765" i="2" a="1"/>
  <c r="G765" i="2" s="1"/>
  <c r="I765" i="2"/>
  <c r="G766" i="2" a="1"/>
  <c r="G766" i="2"/>
  <c r="I766" i="2"/>
  <c r="G767" i="2" a="1"/>
  <c r="G767" i="2" s="1"/>
  <c r="I767" i="2"/>
  <c r="G768" i="2" a="1"/>
  <c r="G768" i="2" s="1"/>
  <c r="I768" i="2"/>
  <c r="G769" i="2" a="1"/>
  <c r="G769" i="2" s="1"/>
  <c r="I769" i="2"/>
  <c r="G770" i="2" a="1"/>
  <c r="G770" i="2"/>
  <c r="I770" i="2"/>
  <c r="G771" i="2" a="1"/>
  <c r="G771" i="2" s="1"/>
  <c r="I771" i="2"/>
  <c r="G772" i="2" a="1"/>
  <c r="G772" i="2" s="1"/>
  <c r="I772" i="2"/>
  <c r="G773" i="2" a="1"/>
  <c r="G773" i="2" s="1"/>
  <c r="I773" i="2"/>
  <c r="G774" i="2" a="1"/>
  <c r="G774" i="2" s="1"/>
  <c r="I774" i="2"/>
  <c r="G775" i="2" a="1"/>
  <c r="G775" i="2" s="1"/>
  <c r="I775" i="2"/>
  <c r="G776" i="2" a="1"/>
  <c r="G776" i="2"/>
  <c r="I776" i="2"/>
  <c r="G777" i="2" a="1"/>
  <c r="G777" i="2" s="1"/>
  <c r="I777" i="2"/>
  <c r="G778" i="2" a="1"/>
  <c r="G778" i="2"/>
  <c r="I778" i="2"/>
  <c r="G779" i="2" a="1"/>
  <c r="G779" i="2" s="1"/>
  <c r="I779" i="2"/>
  <c r="G780" i="2" a="1"/>
  <c r="G780" i="2"/>
  <c r="I780" i="2"/>
  <c r="G781" i="2" a="1"/>
  <c r="G781" i="2" s="1"/>
  <c r="I781" i="2"/>
  <c r="G782" i="2" a="1"/>
  <c r="G782" i="2"/>
  <c r="I782" i="2"/>
  <c r="G783" i="2" a="1"/>
  <c r="G783" i="2" s="1"/>
  <c r="I783" i="2"/>
  <c r="G784" i="2" a="1"/>
  <c r="G784" i="2" s="1"/>
  <c r="I784" i="2"/>
  <c r="G785" i="2" a="1"/>
  <c r="G785" i="2" s="1"/>
  <c r="I785" i="2"/>
  <c r="G786" i="2" a="1"/>
  <c r="G786" i="2"/>
  <c r="I786" i="2"/>
  <c r="G787" i="2" a="1"/>
  <c r="G787" i="2" s="1"/>
  <c r="I787" i="2"/>
  <c r="G788" i="2" a="1"/>
  <c r="G788" i="2" s="1"/>
  <c r="I788" i="2"/>
  <c r="G789" i="2" a="1"/>
  <c r="G789" i="2" s="1"/>
  <c r="I789" i="2"/>
  <c r="G790" i="2" a="1"/>
  <c r="G790" i="2" s="1"/>
  <c r="I790" i="2"/>
  <c r="G791" i="2" a="1"/>
  <c r="G791" i="2" s="1"/>
  <c r="I791" i="2"/>
  <c r="G792" i="2" a="1"/>
  <c r="G792" i="2"/>
  <c r="I792" i="2"/>
  <c r="G793" i="2" a="1"/>
  <c r="G793" i="2" s="1"/>
  <c r="I793" i="2"/>
  <c r="G794" i="2" a="1"/>
  <c r="G794" i="2"/>
  <c r="I794" i="2"/>
  <c r="G795" i="2" a="1"/>
  <c r="G795" i="2" s="1"/>
  <c r="I795" i="2"/>
  <c r="G796" i="2" a="1"/>
  <c r="G796" i="2"/>
  <c r="I796" i="2"/>
  <c r="G797" i="2" a="1"/>
  <c r="G797" i="2" s="1"/>
  <c r="I797" i="2"/>
  <c r="G798" i="2" a="1"/>
  <c r="G798" i="2"/>
  <c r="I798" i="2"/>
  <c r="G799" i="2" a="1"/>
  <c r="G799" i="2" s="1"/>
  <c r="I799" i="2"/>
  <c r="G800" i="2" a="1"/>
  <c r="G800" i="2" s="1"/>
  <c r="I800" i="2"/>
  <c r="G801" i="2" a="1"/>
  <c r="G801" i="2" s="1"/>
  <c r="I801" i="2"/>
  <c r="G802" i="2" a="1"/>
  <c r="G802" i="2"/>
  <c r="I802" i="2"/>
  <c r="G803" i="2" a="1"/>
  <c r="G803" i="2" s="1"/>
  <c r="I803" i="2"/>
  <c r="G804" i="2" a="1"/>
  <c r="G804" i="2" s="1"/>
  <c r="I804" i="2"/>
  <c r="G805" i="2" a="1"/>
  <c r="G805" i="2" s="1"/>
  <c r="I805" i="2"/>
  <c r="G806" i="2" a="1"/>
  <c r="G806" i="2" s="1"/>
  <c r="I806" i="2"/>
  <c r="G807" i="2" a="1"/>
  <c r="G807" i="2" s="1"/>
  <c r="I807" i="2"/>
  <c r="G808" i="2" a="1"/>
  <c r="G808" i="2"/>
  <c r="I808" i="2"/>
  <c r="G809" i="2" a="1"/>
  <c r="G809" i="2" s="1"/>
  <c r="I809" i="2"/>
  <c r="G810" i="2" a="1"/>
  <c r="G810" i="2"/>
  <c r="I810" i="2"/>
  <c r="G811" i="2" a="1"/>
  <c r="G811" i="2" s="1"/>
  <c r="I811" i="2"/>
  <c r="G812" i="2" a="1"/>
  <c r="G812" i="2"/>
  <c r="I812" i="2"/>
  <c r="G813" i="2" a="1"/>
  <c r="G813" i="2" s="1"/>
  <c r="I813" i="2"/>
  <c r="G814" i="2" a="1"/>
  <c r="G814" i="2"/>
  <c r="I814" i="2"/>
  <c r="G815" i="2" a="1"/>
  <c r="G815" i="2" s="1"/>
  <c r="I815" i="2"/>
  <c r="G816" i="2" a="1"/>
  <c r="G816" i="2" s="1"/>
  <c r="I816" i="2"/>
  <c r="G817" i="2" a="1"/>
  <c r="G817" i="2" s="1"/>
  <c r="I817" i="2"/>
  <c r="G818" i="2" a="1"/>
  <c r="G818" i="2"/>
  <c r="I818" i="2"/>
  <c r="G819" i="2" a="1"/>
  <c r="G819" i="2" s="1"/>
  <c r="I819" i="2"/>
  <c r="G820" i="2" a="1"/>
  <c r="G820" i="2" s="1"/>
  <c r="I820" i="2"/>
  <c r="G821" i="2" a="1"/>
  <c r="G821" i="2" s="1"/>
  <c r="I821" i="2"/>
  <c r="G822" i="2" a="1"/>
  <c r="G822" i="2" s="1"/>
  <c r="I822" i="2"/>
  <c r="G823" i="2" a="1"/>
  <c r="G823" i="2" s="1"/>
  <c r="I823" i="2"/>
  <c r="G824" i="2" a="1"/>
  <c r="G824" i="2"/>
  <c r="I824" i="2"/>
  <c r="G825" i="2" a="1"/>
  <c r="G825" i="2" s="1"/>
  <c r="I825" i="2"/>
  <c r="G826" i="2" a="1"/>
  <c r="G826" i="2"/>
  <c r="I826" i="2"/>
  <c r="G827" i="2" a="1"/>
  <c r="G827" i="2"/>
  <c r="I827" i="2"/>
  <c r="G828" i="2" a="1"/>
  <c r="G828" i="2"/>
  <c r="I828" i="2"/>
  <c r="G829" i="2" a="1"/>
  <c r="G829" i="2"/>
  <c r="I829" i="2"/>
  <c r="G830" i="2" a="1"/>
  <c r="G830" i="2"/>
  <c r="I830" i="2"/>
  <c r="G831" i="2" a="1"/>
  <c r="G831" i="2"/>
  <c r="I831" i="2"/>
  <c r="G832" i="2" a="1"/>
  <c r="G832" i="2"/>
  <c r="I832" i="2"/>
  <c r="G833" i="2" a="1"/>
  <c r="G833" i="2"/>
  <c r="I833" i="2"/>
  <c r="G834" i="2" a="1"/>
  <c r="G834" i="2"/>
  <c r="I834" i="2"/>
  <c r="G835" i="2" a="1"/>
  <c r="G835" i="2"/>
  <c r="I835" i="2"/>
  <c r="G836" i="2" a="1"/>
  <c r="G836" i="2"/>
  <c r="I836" i="2"/>
  <c r="G837" i="2" a="1"/>
  <c r="G837" i="2"/>
  <c r="I837" i="2"/>
  <c r="G838" i="2" a="1"/>
  <c r="G838" i="2"/>
  <c r="I838" i="2"/>
  <c r="G839" i="2" a="1"/>
  <c r="G839" i="2"/>
  <c r="I839" i="2"/>
  <c r="G840" i="2" a="1"/>
  <c r="G840" i="2"/>
  <c r="I840" i="2"/>
  <c r="G841" i="2" a="1"/>
  <c r="G841" i="2"/>
  <c r="I841" i="2"/>
  <c r="G842" i="2" a="1"/>
  <c r="G842" i="2"/>
  <c r="I842" i="2"/>
  <c r="G843" i="2" a="1"/>
  <c r="G843" i="2"/>
  <c r="I843" i="2"/>
  <c r="G844" i="2" a="1"/>
  <c r="G844" i="2"/>
  <c r="I844" i="2"/>
  <c r="G845" i="2" a="1"/>
  <c r="G845" i="2"/>
  <c r="I845" i="2"/>
  <c r="G846" i="2" a="1"/>
  <c r="G846" i="2"/>
  <c r="I846" i="2"/>
  <c r="G847" i="2" a="1"/>
  <c r="G847" i="2"/>
  <c r="I847" i="2"/>
  <c r="G848" i="2" a="1"/>
  <c r="G848" i="2"/>
  <c r="I848" i="2"/>
  <c r="G849" i="2" a="1"/>
  <c r="G849" i="2"/>
  <c r="I849" i="2"/>
  <c r="G850" i="2" a="1"/>
  <c r="G850" i="2"/>
  <c r="I850" i="2"/>
  <c r="G851" i="2" a="1"/>
  <c r="G851" i="2"/>
  <c r="I851" i="2"/>
  <c r="G852" i="2" a="1"/>
  <c r="G852" i="2"/>
  <c r="I852" i="2"/>
  <c r="G853" i="2" a="1"/>
  <c r="G853" i="2"/>
  <c r="I853" i="2"/>
  <c r="G854" i="2" a="1"/>
  <c r="G854" i="2"/>
  <c r="I854" i="2"/>
  <c r="G855" i="2" a="1"/>
  <c r="G855" i="2"/>
  <c r="I855" i="2"/>
  <c r="G856" i="2" a="1"/>
  <c r="G856" i="2"/>
  <c r="I856" i="2"/>
  <c r="G857" i="2" a="1"/>
  <c r="G857" i="2"/>
  <c r="I857" i="2"/>
  <c r="G858" i="2" a="1"/>
  <c r="G858" i="2"/>
  <c r="I858" i="2"/>
  <c r="G859" i="2" a="1"/>
  <c r="G859" i="2"/>
  <c r="I859" i="2"/>
  <c r="G860" i="2" a="1"/>
  <c r="G860" i="2"/>
  <c r="I860" i="2"/>
  <c r="G861" i="2" a="1"/>
  <c r="G861" i="2"/>
  <c r="I861" i="2"/>
  <c r="G862" i="2" a="1"/>
  <c r="G862" i="2"/>
  <c r="I862" i="2"/>
  <c r="G863" i="2" a="1"/>
  <c r="G863" i="2"/>
  <c r="I863" i="2"/>
  <c r="G864" i="2" a="1"/>
  <c r="G864" i="2"/>
  <c r="I864" i="2"/>
  <c r="G865" i="2" a="1"/>
  <c r="G865" i="2"/>
  <c r="I865" i="2"/>
  <c r="G866" i="2" a="1"/>
  <c r="G866" i="2"/>
  <c r="I866" i="2"/>
  <c r="G867" i="2" a="1"/>
  <c r="G867" i="2"/>
  <c r="I867" i="2"/>
  <c r="G868" i="2" a="1"/>
  <c r="G868" i="2"/>
  <c r="I868" i="2"/>
  <c r="G869" i="2" a="1"/>
  <c r="G869" i="2"/>
  <c r="I869" i="2"/>
  <c r="G870" i="2" a="1"/>
  <c r="G870" i="2"/>
  <c r="I870" i="2"/>
  <c r="G871" i="2" a="1"/>
  <c r="G871" i="2"/>
  <c r="I871" i="2"/>
  <c r="G872" i="2" a="1"/>
  <c r="G872" i="2"/>
  <c r="I872" i="2"/>
  <c r="G873" i="2" a="1"/>
  <c r="G873" i="2"/>
  <c r="I873" i="2"/>
  <c r="G874" i="2" a="1"/>
  <c r="G874" i="2" s="1"/>
  <c r="I874" i="2"/>
  <c r="G875" i="2" a="1"/>
  <c r="G875" i="2"/>
  <c r="I875" i="2"/>
  <c r="G876" i="2" a="1"/>
  <c r="G876" i="2"/>
  <c r="I876" i="2"/>
  <c r="G877" i="2" a="1"/>
  <c r="G877" i="2"/>
  <c r="I877" i="2"/>
  <c r="G878" i="2" a="1"/>
  <c r="G878" i="2"/>
  <c r="I878" i="2"/>
  <c r="G879" i="2" a="1"/>
  <c r="G879" i="2"/>
  <c r="I879" i="2"/>
  <c r="G880" i="2" a="1"/>
  <c r="G880" i="2"/>
  <c r="I880" i="2"/>
  <c r="G881" i="2" a="1"/>
  <c r="G881" i="2"/>
  <c r="I881" i="2"/>
  <c r="G882" i="2" a="1"/>
  <c r="G882" i="2"/>
  <c r="I882" i="2"/>
  <c r="G883" i="2" a="1"/>
  <c r="G883" i="2"/>
  <c r="I883" i="2"/>
  <c r="G884" i="2" a="1"/>
  <c r="G884" i="2"/>
  <c r="I884" i="2"/>
  <c r="G885" i="2" a="1"/>
  <c r="G885" i="2"/>
  <c r="I885" i="2"/>
  <c r="G886" i="2" a="1"/>
  <c r="G886" i="2"/>
  <c r="I886" i="2"/>
  <c r="G887" i="2" a="1"/>
  <c r="G887" i="2"/>
  <c r="I887" i="2"/>
  <c r="G888" i="2" a="1"/>
  <c r="G888" i="2"/>
  <c r="I888" i="2"/>
  <c r="G889" i="2" a="1"/>
  <c r="G889" i="2"/>
  <c r="I889" i="2"/>
  <c r="G890" i="2" a="1"/>
  <c r="G890" i="2"/>
  <c r="I890" i="2"/>
  <c r="G891" i="2" a="1"/>
  <c r="G891" i="2"/>
  <c r="I891" i="2"/>
  <c r="G892" i="2" a="1"/>
  <c r="G892" i="2"/>
  <c r="I892" i="2"/>
  <c r="G893" i="2" a="1"/>
  <c r="G893" i="2"/>
  <c r="I893" i="2"/>
  <c r="G894" i="2" a="1"/>
  <c r="G894" i="2"/>
  <c r="I894" i="2"/>
  <c r="G895" i="2" a="1"/>
  <c r="G895" i="2"/>
  <c r="I895" i="2"/>
  <c r="G896" i="2" a="1"/>
  <c r="G896" i="2"/>
  <c r="I896" i="2"/>
  <c r="G897" i="2" a="1"/>
  <c r="G897" i="2"/>
  <c r="I897" i="2"/>
  <c r="G898" i="2" a="1"/>
  <c r="G898" i="2"/>
  <c r="I898" i="2"/>
  <c r="G899" i="2" a="1"/>
  <c r="G899" i="2"/>
  <c r="I899" i="2"/>
  <c r="G900" i="2" a="1"/>
  <c r="G900" i="2"/>
  <c r="I900" i="2"/>
  <c r="G901" i="2" a="1"/>
  <c r="G901" i="2"/>
  <c r="I901" i="2"/>
  <c r="G902" i="2" a="1"/>
  <c r="G902" i="2"/>
  <c r="I902" i="2"/>
  <c r="G903" i="2" a="1"/>
  <c r="G903" i="2"/>
  <c r="I903" i="2"/>
  <c r="G904" i="2" a="1"/>
  <c r="G904" i="2"/>
  <c r="I904" i="2"/>
  <c r="G905" i="2" a="1"/>
  <c r="G905" i="2"/>
  <c r="I905" i="2"/>
  <c r="G906" i="2" a="1"/>
  <c r="G906" i="2"/>
  <c r="I906" i="2"/>
  <c r="G907" i="2" a="1"/>
  <c r="G907" i="2"/>
  <c r="I907" i="2"/>
  <c r="G908" i="2" a="1"/>
  <c r="G908" i="2"/>
  <c r="I908" i="2"/>
  <c r="G909" i="2" a="1"/>
  <c r="G909" i="2"/>
  <c r="I909" i="2"/>
  <c r="G910" i="2" a="1"/>
  <c r="G910" i="2"/>
  <c r="I910" i="2"/>
  <c r="G911" i="2" a="1"/>
  <c r="G911" i="2"/>
  <c r="I911" i="2"/>
  <c r="G912" i="2" a="1"/>
  <c r="G912" i="2"/>
  <c r="I912" i="2"/>
  <c r="G913" i="2" a="1"/>
  <c r="G913" i="2"/>
  <c r="I913" i="2"/>
  <c r="G914" i="2" a="1"/>
  <c r="G914" i="2"/>
  <c r="I914" i="2"/>
  <c r="G915" i="2" a="1"/>
  <c r="G915" i="2"/>
  <c r="I915" i="2"/>
  <c r="G916" i="2" a="1"/>
  <c r="G916" i="2"/>
  <c r="I916" i="2"/>
  <c r="G917" i="2" a="1"/>
  <c r="G917" i="2"/>
  <c r="I917" i="2"/>
  <c r="G918" i="2" a="1"/>
  <c r="G918" i="2"/>
  <c r="I918" i="2"/>
  <c r="G919" i="2" a="1"/>
  <c r="G919" i="2"/>
  <c r="I919" i="2"/>
  <c r="G920" i="2" a="1"/>
  <c r="G920" i="2"/>
  <c r="I920" i="2"/>
  <c r="G921" i="2" a="1"/>
  <c r="G921" i="2"/>
  <c r="I921" i="2"/>
  <c r="G922" i="2" a="1"/>
  <c r="G922" i="2"/>
  <c r="I922" i="2"/>
  <c r="G923" i="2" a="1"/>
  <c r="G923" i="2"/>
  <c r="I923" i="2"/>
  <c r="G924" i="2" a="1"/>
  <c r="G924" i="2"/>
  <c r="I924" i="2"/>
  <c r="G925" i="2" a="1"/>
  <c r="G925" i="2"/>
  <c r="I925" i="2"/>
  <c r="G926" i="2" a="1"/>
  <c r="G926" i="2"/>
  <c r="I926" i="2"/>
  <c r="G927" i="2" a="1"/>
  <c r="G927" i="2"/>
  <c r="I927" i="2"/>
  <c r="G928" i="2" a="1"/>
  <c r="G928" i="2"/>
  <c r="I928" i="2"/>
  <c r="G929" i="2" a="1"/>
  <c r="G929" i="2"/>
  <c r="I929" i="2"/>
  <c r="G930" i="2" a="1"/>
  <c r="G930" i="2"/>
  <c r="I930" i="2"/>
  <c r="G931" i="2" a="1"/>
  <c r="G931" i="2"/>
  <c r="I931" i="2"/>
  <c r="G932" i="2" a="1"/>
  <c r="G932" i="2"/>
  <c r="I932" i="2"/>
  <c r="G933" i="2" a="1"/>
  <c r="G933" i="2"/>
  <c r="I933" i="2"/>
  <c r="G934" i="2" a="1"/>
  <c r="G934" i="2"/>
  <c r="I934" i="2"/>
  <c r="G935" i="2" a="1"/>
  <c r="G935" i="2"/>
  <c r="I935" i="2"/>
  <c r="G936" i="2" a="1"/>
  <c r="G936" i="2"/>
  <c r="I936" i="2"/>
  <c r="G937" i="2" a="1"/>
  <c r="G937" i="2"/>
  <c r="I937" i="2"/>
  <c r="G938" i="2" a="1"/>
  <c r="G938" i="2"/>
  <c r="I938" i="2"/>
  <c r="G939" i="2" a="1"/>
  <c r="G939" i="2"/>
  <c r="I939" i="2"/>
  <c r="G940" i="2" a="1"/>
  <c r="G940" i="2"/>
  <c r="I940" i="2"/>
  <c r="G941" i="2" a="1"/>
  <c r="G941" i="2"/>
  <c r="I941" i="2"/>
  <c r="G942" i="2" a="1"/>
  <c r="G942" i="2"/>
  <c r="I942" i="2"/>
  <c r="G943" i="2" a="1"/>
  <c r="G943" i="2"/>
  <c r="I943" i="2"/>
  <c r="G944" i="2" a="1"/>
  <c r="G944" i="2"/>
  <c r="I944" i="2"/>
  <c r="G945" i="2" a="1"/>
  <c r="G945" i="2"/>
  <c r="I945" i="2"/>
  <c r="G946" i="2" a="1"/>
  <c r="G946" i="2"/>
  <c r="I946" i="2"/>
  <c r="G947" i="2" a="1"/>
  <c r="G947" i="2" s="1"/>
  <c r="I947" i="2"/>
  <c r="G948" i="2" a="1"/>
  <c r="G948" i="2"/>
  <c r="I948" i="2"/>
  <c r="G949" i="2" a="1"/>
  <c r="G949" i="2" s="1"/>
  <c r="I949" i="2"/>
  <c r="G950" i="2" a="1"/>
  <c r="G950" i="2"/>
  <c r="I950" i="2"/>
  <c r="G951" i="2" a="1"/>
  <c r="G951" i="2" s="1"/>
  <c r="I951" i="2"/>
  <c r="G952" i="2" a="1"/>
  <c r="G952" i="2"/>
  <c r="I952" i="2"/>
  <c r="G953" i="2" a="1"/>
  <c r="G953" i="2" s="1"/>
  <c r="I953" i="2"/>
  <c r="G954" i="2" a="1"/>
  <c r="G954" i="2"/>
  <c r="I954" i="2"/>
  <c r="G955" i="2" a="1"/>
  <c r="G955" i="2" s="1"/>
  <c r="I955" i="2"/>
  <c r="G956" i="2" a="1"/>
  <c r="G956" i="2"/>
  <c r="I956" i="2"/>
  <c r="G957" i="2" a="1"/>
  <c r="G957" i="2" s="1"/>
  <c r="I957" i="2"/>
  <c r="G958" i="2" a="1"/>
  <c r="G958" i="2"/>
  <c r="I958" i="2"/>
  <c r="G959" i="2" a="1"/>
  <c r="G959" i="2" s="1"/>
  <c r="I959" i="2"/>
  <c r="G960" i="2" a="1"/>
  <c r="G960" i="2"/>
  <c r="I960" i="2"/>
  <c r="G961" i="2" a="1"/>
  <c r="G961" i="2" s="1"/>
  <c r="I961" i="2"/>
  <c r="G962" i="2" a="1"/>
  <c r="G962" i="2"/>
  <c r="I962" i="2"/>
  <c r="G963" i="2" a="1"/>
  <c r="G963" i="2" s="1"/>
  <c r="I963" i="2"/>
  <c r="G964" i="2" a="1"/>
  <c r="G964" i="2"/>
  <c r="I964" i="2"/>
  <c r="G965" i="2" a="1"/>
  <c r="G965" i="2" s="1"/>
  <c r="I965" i="2"/>
  <c r="G966" i="2" a="1"/>
  <c r="G966" i="2"/>
  <c r="I966" i="2"/>
  <c r="G967" i="2" a="1"/>
  <c r="G967" i="2" s="1"/>
  <c r="I967" i="2"/>
  <c r="G968" i="2" a="1"/>
  <c r="G968" i="2"/>
  <c r="I968" i="2"/>
  <c r="G969" i="2" a="1"/>
  <c r="G969" i="2" s="1"/>
  <c r="I969" i="2"/>
  <c r="G970" i="2" a="1"/>
  <c r="G970" i="2"/>
  <c r="I970" i="2"/>
  <c r="G971" i="2" a="1"/>
  <c r="G971" i="2" s="1"/>
  <c r="I971" i="2"/>
  <c r="G972" i="2" a="1"/>
  <c r="G972" i="2"/>
  <c r="I972" i="2"/>
  <c r="G973" i="2" a="1"/>
  <c r="G973" i="2" s="1"/>
  <c r="I973" i="2"/>
  <c r="G974" i="2" a="1"/>
  <c r="G974" i="2"/>
  <c r="I974" i="2"/>
  <c r="G975" i="2" a="1"/>
  <c r="G975" i="2" s="1"/>
  <c r="I975" i="2"/>
  <c r="G976" i="2" a="1"/>
  <c r="G976" i="2"/>
  <c r="I976" i="2"/>
  <c r="G977" i="2" a="1"/>
  <c r="G977" i="2" s="1"/>
  <c r="I977" i="2"/>
  <c r="G978" i="2" a="1"/>
  <c r="G978" i="2"/>
  <c r="I978" i="2"/>
  <c r="G979" i="2" a="1"/>
  <c r="G979" i="2" s="1"/>
  <c r="I979" i="2"/>
  <c r="G980" i="2" a="1"/>
  <c r="G980" i="2"/>
  <c r="I980" i="2"/>
  <c r="G981" i="2" a="1"/>
  <c r="G981" i="2" s="1"/>
  <c r="I981" i="2"/>
  <c r="G982" i="2" a="1"/>
  <c r="G982" i="2"/>
  <c r="I982" i="2"/>
  <c r="G983" i="2" a="1"/>
  <c r="G983" i="2" s="1"/>
  <c r="I983" i="2"/>
  <c r="G984" i="2" a="1"/>
  <c r="G984" i="2"/>
  <c r="I984" i="2"/>
  <c r="G985" i="2" a="1"/>
  <c r="G985" i="2" s="1"/>
  <c r="I985" i="2"/>
  <c r="G986" i="2" a="1"/>
  <c r="G986" i="2"/>
  <c r="I986" i="2"/>
  <c r="G987" i="2" a="1"/>
  <c r="G987" i="2" s="1"/>
  <c r="I987" i="2"/>
  <c r="G988" i="2" a="1"/>
  <c r="G988" i="2"/>
  <c r="I988" i="2"/>
  <c r="G989" i="2" a="1"/>
  <c r="G989" i="2" s="1"/>
  <c r="I989" i="2"/>
  <c r="G990" i="2" a="1"/>
  <c r="G990" i="2"/>
  <c r="I990" i="2"/>
  <c r="G991" i="2" a="1"/>
  <c r="G991" i="2" s="1"/>
  <c r="I991" i="2"/>
  <c r="G992" i="2" a="1"/>
  <c r="G992" i="2"/>
  <c r="I992" i="2"/>
  <c r="G993" i="2" a="1"/>
  <c r="G993" i="2" s="1"/>
  <c r="I993" i="2"/>
  <c r="G994" i="2" a="1"/>
  <c r="G994" i="2"/>
  <c r="I994" i="2"/>
  <c r="G995" i="2" a="1"/>
  <c r="G995" i="2" s="1"/>
  <c r="I995" i="2"/>
  <c r="G996" i="2" a="1"/>
  <c r="G996" i="2"/>
  <c r="I996" i="2"/>
  <c r="G997" i="2" a="1"/>
  <c r="G997" i="2" s="1"/>
  <c r="I997" i="2"/>
  <c r="G998" i="2" a="1"/>
  <c r="G998" i="2"/>
  <c r="I998" i="2"/>
  <c r="G999" i="2" a="1"/>
  <c r="G999" i="2" s="1"/>
  <c r="I999" i="2"/>
  <c r="G1000" i="2" a="1"/>
  <c r="G1000" i="2"/>
  <c r="I1000" i="2"/>
  <c r="G25" i="2" a="1"/>
  <c r="G25" i="2"/>
  <c r="I25" i="2"/>
  <c r="G26" i="2" a="1"/>
  <c r="G26" i="2"/>
  <c r="I26" i="2"/>
  <c r="G27" i="2" a="1"/>
  <c r="G27" i="2"/>
  <c r="I27" i="2"/>
  <c r="G28" i="2" a="1"/>
  <c r="G28" i="2"/>
  <c r="I28" i="2"/>
  <c r="G29" i="2" a="1"/>
  <c r="G29" i="2" s="1"/>
  <c r="I29" i="2"/>
  <c r="G30" i="2" a="1"/>
  <c r="G30" i="2"/>
  <c r="I30" i="2"/>
  <c r="G31" i="2" a="1"/>
  <c r="G31" i="2"/>
  <c r="I31" i="2"/>
  <c r="G32" i="2" a="1"/>
  <c r="G32" i="2"/>
  <c r="I32" i="2"/>
  <c r="G3" i="2" a="1"/>
  <c r="G3" i="2" s="1"/>
  <c r="I3" i="2"/>
  <c r="I4" i="2"/>
  <c r="G5" i="2" a="1"/>
  <c r="G5" i="2" s="1"/>
  <c r="I5" i="2"/>
  <c r="G6" i="2" a="1"/>
  <c r="G6" i="2" s="1"/>
  <c r="I6" i="2"/>
  <c r="G7" i="2" a="1"/>
  <c r="G7" i="2" s="1"/>
  <c r="I7" i="2"/>
  <c r="J7" i="2" s="1"/>
  <c r="G8" i="2" a="1"/>
  <c r="G8" i="2"/>
  <c r="I8" i="2"/>
  <c r="G9" i="2" a="1"/>
  <c r="G9" i="2" s="1"/>
  <c r="I9" i="2"/>
  <c r="G10" i="2" a="1"/>
  <c r="G10" i="2"/>
  <c r="I10" i="2"/>
  <c r="G11" i="2" a="1"/>
  <c r="G11" i="2" s="1"/>
  <c r="I11" i="2"/>
  <c r="G12" i="2" a="1"/>
  <c r="G12" i="2"/>
  <c r="I12" i="2"/>
  <c r="G13" i="2" a="1"/>
  <c r="G13" i="2" s="1"/>
  <c r="I13" i="2"/>
  <c r="G14" i="2" a="1"/>
  <c r="G14" i="2"/>
  <c r="I14" i="2"/>
  <c r="G15" i="2" a="1"/>
  <c r="G15" i="2" s="1"/>
  <c r="I15" i="2"/>
  <c r="G16" i="2" a="1"/>
  <c r="G16" i="2"/>
  <c r="I16" i="2"/>
  <c r="G17" i="2" a="1"/>
  <c r="G17" i="2" s="1"/>
  <c r="I17" i="2"/>
  <c r="G18" i="2" a="1"/>
  <c r="G18" i="2"/>
  <c r="I18" i="2"/>
  <c r="G19" i="2" a="1"/>
  <c r="G19" i="2" s="1"/>
  <c r="I19" i="2"/>
  <c r="G20" i="2" a="1"/>
  <c r="G20" i="2"/>
  <c r="I20" i="2"/>
  <c r="G21" i="2" a="1"/>
  <c r="G21" i="2" s="1"/>
  <c r="I21" i="2"/>
  <c r="G22" i="2" a="1"/>
  <c r="G22" i="2"/>
  <c r="I22" i="2"/>
  <c r="G23" i="2" a="1"/>
  <c r="G23" i="2" s="1"/>
  <c r="I23" i="2"/>
  <c r="G24" i="2" a="1"/>
  <c r="G24" i="2" s="1"/>
  <c r="I24" i="2"/>
  <c r="G2" i="2" l="1" a="1"/>
  <c r="G2" i="2" s="1"/>
  <c r="I2" i="2" s="1"/>
  <c r="F5" i="9"/>
  <c r="F6"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<sst xmlns="http://schemas.openxmlformats.org/spreadsheetml/2006/main" count="250" uniqueCount="74">
  <si>
    <t>Bet Type</t>
  </si>
  <si>
    <t>Moneyline</t>
  </si>
  <si>
    <t>Total</t>
  </si>
  <si>
    <t>Arbitrage</t>
  </si>
  <si>
    <t>Sportsbook</t>
  </si>
  <si>
    <t>FanDuel</t>
  </si>
  <si>
    <t>DraftKings</t>
  </si>
  <si>
    <t>Bet365</t>
  </si>
  <si>
    <t>Pinnacle</t>
  </si>
  <si>
    <t>League</t>
  </si>
  <si>
    <t>NFL</t>
  </si>
  <si>
    <t>NBA</t>
  </si>
  <si>
    <t>MLB</t>
  </si>
  <si>
    <t>NCAAF</t>
  </si>
  <si>
    <t>eSports</t>
  </si>
  <si>
    <t>Soccer</t>
  </si>
  <si>
    <t>NCAAB</t>
  </si>
  <si>
    <t>Date</t>
  </si>
  <si>
    <t>Type</t>
  </si>
  <si>
    <t>Odds</t>
  </si>
  <si>
    <t>Selection</t>
  </si>
  <si>
    <t>Stake</t>
  </si>
  <si>
    <t>Result</t>
  </si>
  <si>
    <t>Return</t>
  </si>
  <si>
    <t>Net Profit</t>
  </si>
  <si>
    <t>ROI %</t>
  </si>
  <si>
    <t xml:space="preserve">Result </t>
  </si>
  <si>
    <t>Win</t>
  </si>
  <si>
    <t>Decimal</t>
  </si>
  <si>
    <t>Loss</t>
  </si>
  <si>
    <t>Push</t>
  </si>
  <si>
    <t>Grand Total</t>
  </si>
  <si>
    <t>NHL</t>
  </si>
  <si>
    <t>Net Returns</t>
  </si>
  <si>
    <t>Win Rate</t>
  </si>
  <si>
    <t>Total staked</t>
  </si>
  <si>
    <t>Average stake</t>
  </si>
  <si>
    <t>Total stakes</t>
  </si>
  <si>
    <t>Table 2</t>
  </si>
  <si>
    <t>Parlay</t>
  </si>
  <si>
    <t>Bet share</t>
  </si>
  <si>
    <t>Net Return</t>
  </si>
  <si>
    <t>Profit share</t>
  </si>
  <si>
    <t>Live bet</t>
  </si>
  <si>
    <t>Row Labels</t>
  </si>
  <si>
    <t>Sum of Stake</t>
  </si>
  <si>
    <t>Column Labels</t>
  </si>
  <si>
    <t xml:space="preserve">Count of Result </t>
  </si>
  <si>
    <t>Sum of Return</t>
  </si>
  <si>
    <t>Table 4</t>
  </si>
  <si>
    <t>Spread</t>
  </si>
  <si>
    <t>Prop</t>
  </si>
  <si>
    <t>Sum of ROI</t>
  </si>
  <si>
    <t>UFC</t>
  </si>
  <si>
    <t>ATP</t>
  </si>
  <si>
    <t>ATP2</t>
  </si>
  <si>
    <t>UFC2</t>
  </si>
  <si>
    <t>Summary</t>
  </si>
  <si>
    <t>W/L Table</t>
  </si>
  <si>
    <t>-250--126</t>
  </si>
  <si>
    <t>-125--1</t>
  </si>
  <si>
    <t>0-124</t>
  </si>
  <si>
    <t>Progress</t>
  </si>
  <si>
    <t>Goal</t>
  </si>
  <si>
    <t>Remaining</t>
  </si>
  <si>
    <t>(blank)</t>
  </si>
  <si>
    <t>Giannis u30.5 points</t>
  </si>
  <si>
    <t>Mahomes o200.5 passing yards</t>
  </si>
  <si>
    <t>Spirit -1.5 maps</t>
  </si>
  <si>
    <t>GSP</t>
  </si>
  <si>
    <t>Djokovic/Nadal u22.5</t>
  </si>
  <si>
    <t>Raptors/Bucks o224.5 points</t>
  </si>
  <si>
    <t>Jan</t>
  </si>
  <si>
    <t>&lt;-250 or (blank)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</si>
</sst>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8" formatCode="&quot;$&quot;#,##0.00_);[Red]\(&quot;$&quot;#,##0.00\)"/>
    <numFmt numFmtId="44" formatCode="_(&quot;$&quot;* #,##0.00_);_(&quot;$&quot;* \(#,##0.00\);_(&quot;$&quot;* &quot;-&quot;??_);_(@_)"/>
    <numFmt numFmtId="164" formatCode="\+0;\-0"/>
    <numFmt numFmtId="165" formatCode="&quot;$&quot;#,##0.00"/>
    <numFmt numFmtId="166" formatCode="m/d/yyyy;@"/>
    <numFmt numFmtId="167" formatCode="&quot;$&quot;#,##0"/>
    <numFmt numFmtId="169" formatCode="_(&quot;$&quot;* #,##0_);_(&quot;$&quot;* \(#,##0\);_(&quot;$&quot;* &quot;-&quot;??_);_(@_)"/>
  </numFmts>
  <fonts count="6" x14ac:knownFonts="1">
    <font>
      <sz val="12"/>
      <color theme="1"/>
      <name val="Aptos Narrow"/>
      <family val="2"/>
      <scheme val="minor"/>
    </font>
    <font>
      <sz val="8"/>
      <name val="Aptos Narrow"/>
      <family val="2"/>
      <scheme val="minor"/>
    </font>
    <font>
      <sz val="12"/>
      <color rgb="FF0070C0"/>
      <name val="Aptos Narrow"/>
      <family val="2"/>
      <scheme val="minor"/>
    </font>
    <font>
      <sz val="12"/>
      <color rgb="FF000000"/>
      <name val="Aptos Narrow"/>
      <family val="2"/>
      <scheme val="minor"/>
    </font>
    <font>
      <sz val="14"/>
      <color rgb="FF000000"/>
      <name val="Aptos Narrow"/>
      <family val="2"/>
      <scheme val="minor"/>
    </font>
    <font>
      <sz val="12"/>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5" fillId="0" borderId="0" applyFont="0" applyFill="0" applyBorder="0" applyAlignment="0" applyProtection="0"/>
    <xf numFmtId="9" fontId="5" fillId="0" borderId="0" applyFont="0" applyFill="0" applyBorder="0" applyAlignment="0" applyProtection="0"/>
  </cellStyleXfs>
  <cellXfs count="35">
    <xf numFmtId="0" fontId="0" fillId="0" borderId="0" xfId="0"/>
    <xf numFmtId="0" fontId="0" fillId="0" borderId="1" xfId="0" applyBorder="1"/>
    <xf numFmtId="165" fontId="0" fillId="0" borderId="1" xfId="0" applyNumberFormat="1" applyBorder="1"/>
    <xf numFmtId="2" fontId="0" fillId="0" borderId="1" xfId="0" applyNumberFormat="1" applyBorder="1"/>
    <xf numFmtId="8" fontId="0" fillId="0" borderId="1" xfId="0" applyNumberFormat="1" applyBorder="1"/>
    <xf numFmtId="0" fontId="0" fillId="0" borderId="0" xfId="0" applyAlignment="1">
      <alignment horizontal="center" vertical="center"/>
    </xf>
    <xf numFmtId="0" fontId="2" fillId="0" borderId="1" xfId="0" applyFont="1" applyBorder="1"/>
    <xf numFmtId="44" fontId="2" fillId="0" borderId="1" xfId="0" applyNumberFormat="1" applyFont="1" applyBorder="1"/>
    <xf numFmtId="164" fontId="2" fillId="0" borderId="1" xfId="0" applyNumberFormat="1" applyFont="1" applyBorder="1"/>
    <xf numFmtId="6" fontId="2" fillId="0" borderId="1" xfId="0" applyNumberFormat="1" applyFont="1" applyBorder="1"/>
    <xf numFmtId="0" fontId="2" fillId="0" borderId="0" xfId="0" applyFont="1"/>
    <xf numFmtId="0" fontId="0" fillId="0" borderId="0" xfId="0" pivotButton="1" applyAlignment="1">
      <alignment horizontal="center"/>
    </xf>
    <xf numFmtId="0" fontId="0" fillId="0" borderId="0" xfId="0" applyAlignment="1">
      <alignment horizontal="center"/>
    </xf>
    <xf numFmtId="8" fontId="0" fillId="0" borderId="0" xfId="0" applyNumberFormat="1" applyAlignment="1">
      <alignment horizontal="center"/>
    </xf>
    <xf numFmtId="10" fontId="0" fillId="0" borderId="0" xfId="0" applyNumberFormat="1" applyAlignment="1">
      <alignment horizontal="center"/>
    </xf>
    <xf numFmtId="0" fontId="0" fillId="0" borderId="0" xfId="0" pivotButton="1"/>
    <xf numFmtId="0" fontId="0" fillId="0" borderId="0" xfId="0" applyAlignment="1">
      <alignment horizontal="left"/>
    </xf>
    <xf numFmtId="8" fontId="0" fillId="0" borderId="0" xfId="0" applyNumberFormat="1"/>
    <xf numFmtId="10" fontId="0" fillId="0" borderId="0" xfId="0" applyNumberFormat="1"/>
    <xf numFmtId="0" fontId="3" fillId="0" borderId="0" xfId="0" applyFont="1"/>
    <xf numFmtId="165" fontId="0" fillId="0" borderId="0" xfId="0" applyNumberFormat="1"/>
    <xf numFmtId="40" fontId="0" fillId="0" borderId="0" xfId="0" pivotButton="1" applyNumberFormat="1"/>
    <xf numFmtId="40" fontId="0" fillId="0" borderId="0" xfId="0" applyNumberFormat="1"/>
    <xf numFmtId="40" fontId="0" fillId="0" borderId="0" xfId="0" applyNumberFormat="1" applyAlignment="1">
      <alignment horizontal="left"/>
    </xf>
    <xf numFmtId="14" fontId="0" fillId="0" borderId="0" xfId="0" applyNumberFormat="1" applyAlignment="1">
      <alignment horizontal="left"/>
    </xf>
    <xf numFmtId="0" fontId="4" fillId="0" borderId="0" xfId="0" applyFont="1" applyAlignment="1">
      <alignment horizontal="center" vertical="center" readingOrder="1"/>
    </xf>
    <xf numFmtId="166" fontId="2" fillId="0" borderId="0" xfId="0" applyNumberFormat="1" applyFont="1" applyAlignment="1">
      <alignment horizontal="center" vertical="center"/>
    </xf>
    <xf numFmtId="166" fontId="2" fillId="0" borderId="1" xfId="0" applyNumberFormat="1" applyFont="1" applyBorder="1" applyAlignment="1">
      <alignment horizontal="left"/>
    </xf>
    <xf numFmtId="166" fontId="2" fillId="0" borderId="0" xfId="0" applyNumberFormat="1" applyFont="1"/>
    <xf numFmtId="44" fontId="0" fillId="0" borderId="0" xfId="0" applyNumberFormat="1"/>
    <xf numFmtId="167" fontId="0" fillId="0" borderId="0" xfId="0" applyNumberFormat="1"/>
    <xf numFmtId="9" fontId="0" fillId="0" borderId="0" xfId="2" applyFont="1"/>
    <xf numFmtId="169" fontId="0" fillId="0" borderId="0" xfId="1" applyNumberFormat="1" applyFont="1"/>
    <xf numFmtId="0" fontId="0" fillId="0" borderId="0" xfId="0" applyNumberFormat="1"/>
    <xf numFmtId="0" fontId="0" fillId="0" borderId="0" xfId="0" applyNumberFormat="1" applyAlignment="1">
      <alignment horizontal="center"/>
    </xf>
  </cellXfs>
  <cellStyles count="3">
    <cellStyle name="Currency" xfId="1" builtinId="4"/>
    <cellStyle name="Normal" xfId="0" builtinId="0"/>
    <cellStyle name="Percent" xfId="2" builtinId="5"/>
  </cellStyles>
  <dxfs count="535">
    <dxf>
      <numFmt numFmtId="14" formatCode="0.00%"/>
    </dxf>
    <dxf>
      <numFmt numFmtId="165" formatCode="&quot;$&quot;#,##0.00"/>
    </dxf>
    <dxf>
      <numFmt numFmtId="12" formatCode="&quot;$&quot;#,##0.00_);[Red]\(&quot;$&quot;#,##0.00\)"/>
    </dxf>
    <dxf>
      <numFmt numFmtId="165" formatCode="&quot;$&quot;#,##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8" formatCode="#,##0.00_);[Red]\(#,##0.00\)"/>
    </dxf>
    <dxf>
      <numFmt numFmtId="8" formatCode="#,##0.00_);[Red]\(#,##0.00\)"/>
    </dxf>
    <dxf>
      <numFmt numFmtId="8" formatCode="#,##0.00_);[Red]\(#,##0.00\)"/>
    </dxf>
    <dxf>
      <numFmt numFmtId="8" formatCode="#,##0.00_);[Red]\(#,##0.00\)"/>
    </dxf>
    <dxf>
      <numFmt numFmtId="8" formatCode="#,##0.00_);[Red]\(#,##0.00\)"/>
    </dxf>
    <dxf>
      <numFmt numFmtId="8" formatCode="#,##0.00_);[Red]\(#,##0.00\)"/>
    </dxf>
    <dxf>
      <numFmt numFmtId="12" formatCode="&quot;$&quot;#,##0.00_);[Red]\(&quot;$&quot;#,##0.00\)"/>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4" formatCode="0.00%"/>
    </dxf>
    <dxf>
      <numFmt numFmtId="14" formatCode="0.00%"/>
    </dxf>
    <dxf>
      <numFmt numFmtId="165" formatCode="&quot;$&quot;#,##0.00"/>
    </dxf>
    <dxf>
      <numFmt numFmtId="167" formatCode="&quot;$&quot;#,##0"/>
    </dxf>
    <dxf>
      <numFmt numFmtId="165" formatCode="&quot;$&quot;#,##0.00"/>
    </dxf>
    <dxf>
      <numFmt numFmtId="12" formatCode="&quot;$&quot;#,##0.00_);[Red]\(&quot;$&quot;#,##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numFmt numFmtId="165" formatCode="&quot;$&quot;#,##0.00"/>
    </dxf>
    <dxf>
      <numFmt numFmtId="165" formatCode="&quot;$&quot;#,##0.00"/>
    </dxf>
    <dxf>
      <numFmt numFmtId="165" formatCode="&quot;$&quot;#,##0.00"/>
    </dxf>
    <dxf>
      <numFmt numFmtId="14" formatCode="0.00%"/>
    </dxf>
    <dxf>
      <numFmt numFmtId="165" formatCode="&quot;$&quot;#,##0.00"/>
    </dxf>
    <dxf>
      <numFmt numFmtId="12" formatCode="&quot;$&quot;#,##0.00_);[Red]\(&quot;$&quot;#,##0.00\)"/>
    </dxf>
    <dxf>
      <numFmt numFmtId="165" formatCode="&quot;$&quot;#,##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8" formatCode="#,##0.00_);[Red]\(#,##0.00\)"/>
    </dxf>
    <dxf>
      <numFmt numFmtId="8" formatCode="#,##0.00_);[Red]\(#,##0.00\)"/>
    </dxf>
    <dxf>
      <numFmt numFmtId="8" formatCode="#,##0.00_);[Red]\(#,##0.00\)"/>
    </dxf>
    <dxf>
      <numFmt numFmtId="8" formatCode="#,##0.00_);[Red]\(#,##0.00\)"/>
    </dxf>
    <dxf>
      <numFmt numFmtId="8" formatCode="#,##0.00_);[Red]\(#,##0.00\)"/>
    </dxf>
    <dxf>
      <numFmt numFmtId="8" formatCode="#,##0.00_);[Red]\(#,##0.00\)"/>
    </dxf>
    <dxf>
      <numFmt numFmtId="12" formatCode="&quot;$&quot;#,##0.00_);[Red]\(&quot;$&quot;#,##0.00\)"/>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4" formatCode="0.00%"/>
    </dxf>
    <dxf>
      <numFmt numFmtId="14" formatCode="0.00%"/>
    </dxf>
    <dxf>
      <numFmt numFmtId="165" formatCode="&quot;$&quot;#,##0.00"/>
    </dxf>
    <dxf>
      <numFmt numFmtId="167" formatCode="&quot;$&quot;#,##0"/>
    </dxf>
    <dxf>
      <numFmt numFmtId="165" formatCode="&quot;$&quot;#,##0.00"/>
    </dxf>
    <dxf>
      <numFmt numFmtId="12" formatCode="&quot;$&quot;#,##0.00_);[Red]\(&quot;$&quot;#,##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numFmt numFmtId="165" formatCode="&quot;$&quot;#,##0.00"/>
    </dxf>
    <dxf>
      <numFmt numFmtId="12" formatCode="&quot;$&quot;#,##0.00_);[Red]\(&quot;$&quot;#,##0.00\)"/>
    </dxf>
    <dxf>
      <numFmt numFmtId="14" formatCode="0.00%"/>
    </dxf>
    <dxf>
      <numFmt numFmtId="165" formatCode="&quot;$&quot;#,##0.00"/>
    </dxf>
    <dxf>
      <numFmt numFmtId="12" formatCode="&quot;$&quot;#,##0.00_);[Red]\(&quot;$&quot;#,##0.00\)"/>
    </dxf>
    <dxf>
      <numFmt numFmtId="165" formatCode="&quot;$&quot;#,##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8" formatCode="#,##0.00_);[Red]\(#,##0.00\)"/>
    </dxf>
    <dxf>
      <numFmt numFmtId="8" formatCode="#,##0.00_);[Red]\(#,##0.00\)"/>
    </dxf>
    <dxf>
      <numFmt numFmtId="8" formatCode="#,##0.00_);[Red]\(#,##0.00\)"/>
    </dxf>
    <dxf>
      <numFmt numFmtId="8" formatCode="#,##0.00_);[Red]\(#,##0.00\)"/>
    </dxf>
    <dxf>
      <numFmt numFmtId="8" formatCode="#,##0.00_);[Red]\(#,##0.00\)"/>
    </dxf>
    <dxf>
      <numFmt numFmtId="8" formatCode="#,##0.00_);[Red]\(#,##0.00\)"/>
    </dxf>
    <dxf>
      <numFmt numFmtId="12" formatCode="&quot;$&quot;#,##0.00_);[Red]\(&quot;$&quot;#,##0.00\)"/>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4" formatCode="0.00%"/>
    </dxf>
    <dxf>
      <numFmt numFmtId="14" formatCode="0.00%"/>
    </dxf>
    <dxf>
      <numFmt numFmtId="165" formatCode="&quot;$&quot;#,##0.00"/>
    </dxf>
    <dxf>
      <numFmt numFmtId="167" formatCode="&quot;$&quot;#,##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numFmt numFmtId="14" formatCode="0.00%"/>
    </dxf>
    <dxf>
      <numFmt numFmtId="165" formatCode="&quot;$&quot;#,##0.00"/>
    </dxf>
    <dxf>
      <numFmt numFmtId="12" formatCode="&quot;$&quot;#,##0.00_);[Red]\(&quot;$&quot;#,##0.00\)"/>
    </dxf>
    <dxf>
      <numFmt numFmtId="165" formatCode="&quot;$&quot;#,##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8" formatCode="#,##0.00_);[Red]\(#,##0.00\)"/>
    </dxf>
    <dxf>
      <numFmt numFmtId="8" formatCode="#,##0.00_);[Red]\(#,##0.00\)"/>
    </dxf>
    <dxf>
      <numFmt numFmtId="8" formatCode="#,##0.00_);[Red]\(#,##0.00\)"/>
    </dxf>
    <dxf>
      <numFmt numFmtId="8" formatCode="#,##0.00_);[Red]\(#,##0.00\)"/>
    </dxf>
    <dxf>
      <numFmt numFmtId="8" formatCode="#,##0.00_);[Red]\(#,##0.00\)"/>
    </dxf>
    <dxf>
      <numFmt numFmtId="8" formatCode="#,##0.00_);[Red]\(#,##0.00\)"/>
    </dxf>
    <dxf>
      <numFmt numFmtId="12" formatCode="&quot;$&quot;#,##0.00_);[Red]\(&quot;$&quot;#,##0.00\)"/>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4" formatCode="0.00%"/>
    </dxf>
    <dxf>
      <numFmt numFmtId="14" formatCode="0.00%"/>
    </dxf>
    <dxf>
      <numFmt numFmtId="165" formatCode="&quot;$&quot;#,##0.00"/>
    </dxf>
    <dxf>
      <numFmt numFmtId="167" formatCode="&quot;$&quot;#,##0"/>
    </dxf>
    <dxf>
      <numFmt numFmtId="165" formatCode="&quot;$&quot;#,##0.00"/>
    </dxf>
    <dxf>
      <numFmt numFmtId="12" formatCode="&quot;$&quot;#,##0.00_);[Red]\(&quot;$&quot;#,##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numFmt numFmtId="14" formatCode="0.00%"/>
    </dxf>
    <dxf>
      <numFmt numFmtId="165" formatCode="&quot;$&quot;#,##0.00"/>
    </dxf>
    <dxf>
      <numFmt numFmtId="12" formatCode="&quot;$&quot;#,##0.00_);[Red]\(&quot;$&quot;#,##0.00\)"/>
    </dxf>
    <dxf>
      <numFmt numFmtId="165" formatCode="&quot;$&quot;#,##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8" formatCode="#,##0.00_);[Red]\(#,##0.00\)"/>
    </dxf>
    <dxf>
      <numFmt numFmtId="8" formatCode="#,##0.00_);[Red]\(#,##0.00\)"/>
    </dxf>
    <dxf>
      <numFmt numFmtId="8" formatCode="#,##0.00_);[Red]\(#,##0.00\)"/>
    </dxf>
    <dxf>
      <numFmt numFmtId="8" formatCode="#,##0.00_);[Red]\(#,##0.00\)"/>
    </dxf>
    <dxf>
      <numFmt numFmtId="8" formatCode="#,##0.00_);[Red]\(#,##0.00\)"/>
    </dxf>
    <dxf>
      <numFmt numFmtId="0" formatCode="General"/>
    </dxf>
    <dxf>
      <numFmt numFmtId="8" formatCode="#,##0.00_);[Red]\(#,##0.00\)"/>
    </dxf>
    <dxf>
      <numFmt numFmtId="8" formatCode="#,##0.00_);[Red]\(#,##0.00\)"/>
    </dxf>
    <dxf>
      <numFmt numFmtId="8" formatCode="#,##0.00_);[Red]\(#,##0.00\)"/>
    </dxf>
    <dxf>
      <numFmt numFmtId="8" formatCode="#,##0.00_);[Red]\(#,##0.00\)"/>
    </dxf>
    <dxf>
      <numFmt numFmtId="8" formatCode="#,##0.00_);[Red]\(#,##0.00\)"/>
    </dxf>
    <dxf>
      <numFmt numFmtId="8" formatCode="#,##0.00_);[Red]\(#,##0.00\)"/>
    </dxf>
    <dxf>
      <numFmt numFmtId="12" formatCode="&quot;$&quot;#,##0.00_);[Red]\(&quot;$&quot;#,##0.00\)"/>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4" formatCode="0.00%"/>
    </dxf>
    <dxf>
      <numFmt numFmtId="14" formatCode="0.00%"/>
    </dxf>
    <dxf>
      <numFmt numFmtId="165" formatCode="&quot;$&quot;#,##0.00"/>
    </dxf>
    <dxf>
      <numFmt numFmtId="167" formatCode="&quot;$&quot;#,##0"/>
    </dxf>
    <dxf>
      <numFmt numFmtId="165" formatCode="&quot;$&quot;#,##0.00"/>
    </dxf>
    <dxf>
      <numFmt numFmtId="12" formatCode="&quot;$&quot;#,##0.00_);[Red]\(&quot;$&quot;#,##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2" formatCode="&quot;$&quot;#,##0.00_);[Red]\(&quot;$&quot;#,##0.00\)"/>
    </dxf>
    <dxf>
      <numFmt numFmtId="12" formatCode="&quot;$&quot;#,##0.00_);[Red]\(&quot;$&quot;#,##0.00\)"/>
    </dxf>
    <dxf>
      <alignment horizontal="center"/>
    </dxf>
    <dxf>
      <alignment horizontal="center"/>
    </dxf>
    <dxf>
      <alignment horizontal="center"/>
    </dxf>
    <dxf>
      <alignment horizontal="center"/>
    </dxf>
    <dxf>
      <alignment horizontal="center"/>
    </dxf>
    <dxf>
      <alignment horizontal="center"/>
    </dxf>
    <dxf>
      <numFmt numFmtId="165" formatCode="&quot;$&quot;#,##0.00"/>
    </dxf>
    <dxf>
      <numFmt numFmtId="12" formatCode="&quot;$&quot;#,##0.00_);[Red]\(&quot;$&quot;#,##0.00\)"/>
    </dxf>
    <dxf>
      <numFmt numFmtId="165" formatCode="&quot;$&quot;#,##0.00"/>
    </dxf>
    <dxf>
      <numFmt numFmtId="165" formatCode="&quot;$&quot;#,##0.00"/>
    </dxf>
    <dxf>
      <numFmt numFmtId="165" formatCode="&quot;$&quot;#,##0.00"/>
    </dxf>
    <dxf>
      <numFmt numFmtId="165" formatCode="&quot;$&quot;#,##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rgb="FF0070C0"/>
        <name val="Aptos Narrow"/>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dxf>
    <dxf>
      <numFmt numFmtId="12" formatCode="&quot;$&quot;#,##0.00_);[Red]\(&quot;$&quot;#,##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rgb="FF0070C0"/>
        <name val="Aptos Narrow"/>
        <family val="2"/>
        <scheme val="minor"/>
      </font>
      <numFmt numFmtId="164" formatCode="\+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0070C0"/>
        <name val="Aptos Narrow"/>
        <family val="2"/>
        <scheme val="minor"/>
      </font>
      <numFmt numFmtId="34" formatCode="_(&quot;$&quot;* #,##0.00_);_(&quot;$&quot;* \(#,##0.00\);_(&quot;$&quot;* &quot;-&quot;??_);_(@_)"/>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0070C0"/>
        <name val="Aptos Narrow"/>
        <family val="2"/>
        <scheme val="minor"/>
      </font>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0070C0"/>
        <name val="Aptos Narrow"/>
        <family val="2"/>
        <scheme val="minor"/>
      </font>
      <numFmt numFmtId="166" formatCode="m/d/yyyy;@"/>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s>
  <tableStyles count="0" defaultTableStyle="TableStyleMedium2" defaultPivotStyle="PivotStyleLight16"/>
  <colors>
    <mruColors>
      <color rgb="FFFFFC00"/>
      <color rgb="FFEBEBEB"/>
      <color rgb="FFFF7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Visuals!PivotTable7</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Wager ($)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 for Visuals'!$T$26:$T$27</c:f>
              <c:strCache>
                <c:ptCount val="1"/>
                <c:pt idx="0">
                  <c:v>Prop</c:v>
                </c:pt>
              </c:strCache>
            </c:strRef>
          </c:tx>
          <c:spPr>
            <a:solidFill>
              <a:schemeClr val="accent1"/>
            </a:solidFill>
            <a:ln>
              <a:noFill/>
            </a:ln>
            <a:effectLst/>
          </c:spPr>
          <c:invertIfNegative val="0"/>
          <c:cat>
            <c:strRef>
              <c:f>'PT for Visuals'!$S$28:$S$31</c:f>
              <c:strCache>
                <c:ptCount val="3"/>
                <c:pt idx="0">
                  <c:v>eSports</c:v>
                </c:pt>
                <c:pt idx="1">
                  <c:v>NBA</c:v>
                </c:pt>
                <c:pt idx="2">
                  <c:v>NFL</c:v>
                </c:pt>
              </c:strCache>
            </c:strRef>
          </c:cat>
          <c:val>
            <c:numRef>
              <c:f>'PT for Visuals'!$T$28:$T$31</c:f>
              <c:numCache>
                <c:formatCode>_("$"* #,##0.00_);_("$"* \(#,##0.00\);_("$"* "-"??_);_(@_)</c:formatCode>
                <c:ptCount val="3"/>
                <c:pt idx="1">
                  <c:v>110</c:v>
                </c:pt>
                <c:pt idx="2">
                  <c:v>140</c:v>
                </c:pt>
              </c:numCache>
            </c:numRef>
          </c:val>
          <c:extLst>
            <c:ext xmlns:c16="http://schemas.microsoft.com/office/drawing/2014/chart" uri="{C3380CC4-5D6E-409C-BE32-E72D297353CC}">
              <c16:uniqueId val="{00000000-4488-8948-8EF0-CE5997C293FA}"/>
            </c:ext>
          </c:extLst>
        </c:ser>
        <c:ser>
          <c:idx val="1"/>
          <c:order val="1"/>
          <c:tx>
            <c:strRef>
              <c:f>'PT for Visuals'!$U$26:$U$27</c:f>
              <c:strCache>
                <c:ptCount val="1"/>
                <c:pt idx="0">
                  <c:v>Spread</c:v>
                </c:pt>
              </c:strCache>
            </c:strRef>
          </c:tx>
          <c:spPr>
            <a:solidFill>
              <a:schemeClr val="accent2"/>
            </a:solidFill>
            <a:ln>
              <a:noFill/>
            </a:ln>
            <a:effectLst/>
          </c:spPr>
          <c:invertIfNegative val="0"/>
          <c:cat>
            <c:strRef>
              <c:f>'PT for Visuals'!$S$28:$S$31</c:f>
              <c:strCache>
                <c:ptCount val="3"/>
                <c:pt idx="0">
                  <c:v>eSports</c:v>
                </c:pt>
                <c:pt idx="1">
                  <c:v>NBA</c:v>
                </c:pt>
                <c:pt idx="2">
                  <c:v>NFL</c:v>
                </c:pt>
              </c:strCache>
            </c:strRef>
          </c:cat>
          <c:val>
            <c:numRef>
              <c:f>'PT for Visuals'!$U$28:$U$31</c:f>
              <c:numCache>
                <c:formatCode>_("$"* #,##0.00_);_("$"* \(#,##0.00\);_("$"* "-"??_);_(@_)</c:formatCode>
                <c:ptCount val="3"/>
                <c:pt idx="0">
                  <c:v>120</c:v>
                </c:pt>
              </c:numCache>
            </c:numRef>
          </c:val>
          <c:extLst>
            <c:ext xmlns:c16="http://schemas.microsoft.com/office/drawing/2014/chart" uri="{C3380CC4-5D6E-409C-BE32-E72D297353CC}">
              <c16:uniqueId val="{00000001-FBE6-D94F-B7E5-BCB2366DAA0E}"/>
            </c:ext>
          </c:extLst>
        </c:ser>
        <c:ser>
          <c:idx val="2"/>
          <c:order val="2"/>
          <c:tx>
            <c:strRef>
              <c:f>'PT for Visuals'!$V$26:$V$27</c:f>
              <c:strCache>
                <c:ptCount val="1"/>
                <c:pt idx="0">
                  <c:v>Total</c:v>
                </c:pt>
              </c:strCache>
            </c:strRef>
          </c:tx>
          <c:spPr>
            <a:solidFill>
              <a:schemeClr val="accent3"/>
            </a:solidFill>
            <a:ln>
              <a:noFill/>
            </a:ln>
            <a:effectLst/>
          </c:spPr>
          <c:invertIfNegative val="0"/>
          <c:cat>
            <c:strRef>
              <c:f>'PT for Visuals'!$S$28:$S$31</c:f>
              <c:strCache>
                <c:ptCount val="3"/>
                <c:pt idx="0">
                  <c:v>eSports</c:v>
                </c:pt>
                <c:pt idx="1">
                  <c:v>NBA</c:v>
                </c:pt>
                <c:pt idx="2">
                  <c:v>NFL</c:v>
                </c:pt>
              </c:strCache>
            </c:strRef>
          </c:cat>
          <c:val>
            <c:numRef>
              <c:f>'PT for Visuals'!$V$28:$V$31</c:f>
              <c:numCache>
                <c:formatCode>_("$"* #,##0.00_);_("$"* \(#,##0.00\);_("$"* "-"??_);_(@_)</c:formatCode>
                <c:ptCount val="3"/>
                <c:pt idx="1">
                  <c:v>50</c:v>
                </c:pt>
              </c:numCache>
            </c:numRef>
          </c:val>
          <c:extLst>
            <c:ext xmlns:c16="http://schemas.microsoft.com/office/drawing/2014/chart" uri="{C3380CC4-5D6E-409C-BE32-E72D297353CC}">
              <c16:uniqueId val="{00000002-FBE6-D94F-B7E5-BCB2366DAA0E}"/>
            </c:ext>
          </c:extLst>
        </c:ser>
        <c:dLbls>
          <c:showLegendKey val="0"/>
          <c:showVal val="0"/>
          <c:showCatName val="0"/>
          <c:showSerName val="0"/>
          <c:showPercent val="0"/>
          <c:showBubbleSize val="0"/>
        </c:dLbls>
        <c:gapWidth val="219"/>
        <c:overlap val="-27"/>
        <c:axId val="1915612272"/>
        <c:axId val="474837247"/>
      </c:barChart>
      <c:catAx>
        <c:axId val="191561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37247"/>
        <c:crossesAt val="0"/>
        <c:auto val="1"/>
        <c:lblAlgn val="ctr"/>
        <c:lblOffset val="100"/>
        <c:noMultiLvlLbl val="0"/>
      </c:catAx>
      <c:valAx>
        <c:axId val="4748372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612272"/>
        <c:crosses val="autoZero"/>
        <c:crossBetween val="between"/>
      </c:valAx>
      <c:spPr>
        <a:noFill/>
        <a:ln>
          <a:noFill/>
        </a:ln>
        <a:effectLst/>
      </c:spPr>
    </c:plotArea>
    <c:legend>
      <c:legendPos val="r"/>
      <c:layout>
        <c:manualLayout>
          <c:xMode val="edge"/>
          <c:yMode val="edge"/>
          <c:x val="0.87835011532649332"/>
          <c:y val="0.27715820912585565"/>
          <c:w val="8.6548795036984011E-2"/>
          <c:h val="0.18648041499349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Visuals!PivotTable14</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ROI</a:t>
            </a:r>
            <a:r>
              <a:rPr lang="en-US" baseline="0"/>
              <a:t> % by Odds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solidFill>
              <a:schemeClr val="tx1"/>
            </a:solidFill>
          </a:ln>
          <a:effectLst/>
        </c:spPr>
        <c:dLbl>
          <c:idx val="0"/>
          <c:layout>
            <c:manualLayout>
              <c:x val="-6.1574803149606297E-2"/>
              <c:y val="-0.124137931034482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 for Visuals'!$I$22</c:f>
              <c:strCache>
                <c:ptCount val="1"/>
                <c:pt idx="0">
                  <c:v>Total</c:v>
                </c:pt>
              </c:strCache>
            </c:strRef>
          </c:tx>
          <c:spPr>
            <a:solidFill>
              <a:srgbClr val="196B24"/>
            </a:solidFill>
            <a:ln>
              <a:solidFill>
                <a:schemeClr val="tx1"/>
              </a:solidFill>
            </a:ln>
            <a:effectLst/>
          </c:spPr>
          <c:invertIfNegative val="1"/>
          <c:dPt>
            <c:idx val="0"/>
            <c:invertIfNegative val="0"/>
            <c:bubble3D val="0"/>
            <c:extLst>
              <c:ext xmlns:c16="http://schemas.microsoft.com/office/drawing/2014/chart" uri="{C3380CC4-5D6E-409C-BE32-E72D297353CC}">
                <c16:uniqueId val="{00000001-762E-1A44-9A24-BEA2C910A0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 for Visuals'!$H$23:$H$27</c:f>
              <c:strCache>
                <c:ptCount val="4"/>
                <c:pt idx="0">
                  <c:v>&lt;-250 or (blank)</c:v>
                </c:pt>
                <c:pt idx="1">
                  <c:v>-250--126</c:v>
                </c:pt>
                <c:pt idx="2">
                  <c:v>-125--1</c:v>
                </c:pt>
                <c:pt idx="3">
                  <c:v>0-124</c:v>
                </c:pt>
              </c:strCache>
            </c:strRef>
          </c:cat>
          <c:val>
            <c:numRef>
              <c:f>'PT for Visuals'!$I$23:$I$27</c:f>
              <c:numCache>
                <c:formatCode>0.00%</c:formatCode>
                <c:ptCount val="4"/>
                <c:pt idx="0">
                  <c:v>#N/A</c:v>
                </c:pt>
                <c:pt idx="1">
                  <c:v>0.6312292358803987</c:v>
                </c:pt>
                <c:pt idx="2">
                  <c:v>0.89912280701754388</c:v>
                </c:pt>
                <c:pt idx="3">
                  <c:v>-1</c:v>
                </c:pt>
              </c:numCache>
            </c:numRef>
          </c:val>
          <c:extLst>
            <c:ext xmlns:c14="http://schemas.microsoft.com/office/drawing/2007/8/2/chart" uri="{6F2FDCE9-48DA-4B69-8628-5D25D57E5C99}">
              <c14:invertSolidFillFmt>
                <c14:spPr xmlns:c14="http://schemas.microsoft.com/office/drawing/2007/8/2/chart">
                  <a:solidFill>
                    <a:srgbClr val="C00000"/>
                  </a:solidFill>
                  <a:ln>
                    <a:solidFill>
                      <a:schemeClr val="tx1"/>
                    </a:solidFill>
                  </a:ln>
                  <a:effectLst/>
                </c14:spPr>
              </c14:invertSolidFillFmt>
            </c:ext>
            <c:ext xmlns:c16="http://schemas.microsoft.com/office/drawing/2014/chart" uri="{C3380CC4-5D6E-409C-BE32-E72D297353CC}">
              <c16:uniqueId val="{00000000-762E-1A44-9A24-BEA2C910A094}"/>
            </c:ext>
          </c:extLst>
        </c:ser>
        <c:dLbls>
          <c:showLegendKey val="0"/>
          <c:showVal val="0"/>
          <c:showCatName val="0"/>
          <c:showSerName val="0"/>
          <c:showPercent val="0"/>
          <c:showBubbleSize val="0"/>
        </c:dLbls>
        <c:gapWidth val="40"/>
        <c:axId val="884006495"/>
        <c:axId val="265134415"/>
      </c:barChart>
      <c:catAx>
        <c:axId val="884006495"/>
        <c:scaling>
          <c:orientation val="minMax"/>
        </c:scaling>
        <c:delete val="0"/>
        <c:axPos val="l"/>
        <c:numFmt formatCode="#,##0.0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134415"/>
        <c:crosses val="autoZero"/>
        <c:auto val="1"/>
        <c:lblAlgn val="ctr"/>
        <c:lblOffset val="100"/>
        <c:noMultiLvlLbl val="0"/>
      </c:catAx>
      <c:valAx>
        <c:axId val="26513441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00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Visuals!PivotTable20</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Net Return</a:t>
            </a:r>
            <a:r>
              <a:rPr lang="en-US" baseline="0">
                <a:solidFill>
                  <a:schemeClr val="tx1"/>
                </a:solidFill>
              </a:rPr>
              <a:t> by Type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 for Visuals'!$L$28</c:f>
              <c:strCache>
                <c:ptCount val="1"/>
                <c:pt idx="0">
                  <c:v>Total</c:v>
                </c:pt>
              </c:strCache>
            </c:strRef>
          </c:tx>
          <c:spPr>
            <a:solidFill>
              <a:srgbClr val="196B24"/>
            </a:solidFill>
            <a:ln>
              <a:solidFill>
                <a:schemeClr val="tx1"/>
              </a:solidFill>
            </a:ln>
            <a:effectLst/>
          </c:spPr>
          <c:invertIfNegative val="1"/>
          <c:cat>
            <c:strRef>
              <c:f>'PT for Visuals'!$K$29:$K$34</c:f>
              <c:strCache>
                <c:ptCount val="5"/>
                <c:pt idx="0">
                  <c:v>Moneyline</c:v>
                </c:pt>
                <c:pt idx="1">
                  <c:v>Prop</c:v>
                </c:pt>
                <c:pt idx="2">
                  <c:v>Spread</c:v>
                </c:pt>
                <c:pt idx="3">
                  <c:v>Total</c:v>
                </c:pt>
                <c:pt idx="4">
                  <c:v>(blank)</c:v>
                </c:pt>
              </c:strCache>
            </c:strRef>
          </c:cat>
          <c:val>
            <c:numRef>
              <c:f>'PT for Visuals'!$L$29:$L$34</c:f>
              <c:numCache>
                <c:formatCode>"$"#,##0.00_);[Red]\("$"#,##0.00\)</c:formatCode>
                <c:ptCount val="5"/>
                <c:pt idx="0">
                  <c:v>35.714285714285722</c:v>
                </c:pt>
                <c:pt idx="1">
                  <c:v>200</c:v>
                </c:pt>
                <c:pt idx="2">
                  <c:v>-120</c:v>
                </c:pt>
                <c:pt idx="3">
                  <c:v>-36.140350877192986</c:v>
                </c:pt>
                <c:pt idx="4">
                  <c:v>0</c:v>
                </c:pt>
              </c:numCache>
            </c:numRef>
          </c:val>
          <c:extLst>
            <c:ext xmlns:c14="http://schemas.microsoft.com/office/drawing/2007/8/2/chart" uri="{6F2FDCE9-48DA-4B69-8628-5D25D57E5C99}">
              <c14:invertSolidFillFmt>
                <c14:spPr xmlns:c14="http://schemas.microsoft.com/office/drawing/2007/8/2/chart">
                  <a:solidFill>
                    <a:srgbClr val="C00000"/>
                  </a:solidFill>
                  <a:ln>
                    <a:solidFill>
                      <a:schemeClr val="tx1"/>
                    </a:solidFill>
                  </a:ln>
                  <a:effectLst/>
                </c14:spPr>
              </c14:invertSolidFillFmt>
            </c:ext>
            <c:ext xmlns:c16="http://schemas.microsoft.com/office/drawing/2014/chart" uri="{C3380CC4-5D6E-409C-BE32-E72D297353CC}">
              <c16:uniqueId val="{00000000-CA0A-EC4D-A01F-9ADD2D7C82A3}"/>
            </c:ext>
          </c:extLst>
        </c:ser>
        <c:dLbls>
          <c:showLegendKey val="0"/>
          <c:showVal val="0"/>
          <c:showCatName val="0"/>
          <c:showSerName val="0"/>
          <c:showPercent val="0"/>
          <c:showBubbleSize val="0"/>
        </c:dLbls>
        <c:gapWidth val="40"/>
        <c:axId val="1287542991"/>
        <c:axId val="1034149919"/>
      </c:barChart>
      <c:catAx>
        <c:axId val="1287542991"/>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149919"/>
        <c:crosses val="autoZero"/>
        <c:auto val="1"/>
        <c:lblAlgn val="ctr"/>
        <c:lblOffset val="100"/>
        <c:noMultiLvlLbl val="0"/>
      </c:catAx>
      <c:valAx>
        <c:axId val="1034149919"/>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42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Visuals!PivotTable22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ROI</a:t>
            </a:r>
            <a:r>
              <a:rPr lang="en-US" baseline="0">
                <a:solidFill>
                  <a:schemeClr val="tx1"/>
                </a:solidFill>
              </a:rPr>
              <a:t> % by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 for Visuals'!$C$27</c:f>
              <c:strCache>
                <c:ptCount val="1"/>
                <c:pt idx="0">
                  <c:v>Total</c:v>
                </c:pt>
              </c:strCache>
            </c:strRef>
          </c:tx>
          <c:spPr>
            <a:solidFill>
              <a:srgbClr val="196B24"/>
            </a:solidFill>
            <a:ln>
              <a:solidFill>
                <a:schemeClr val="tx1"/>
              </a:solidFill>
            </a:ln>
            <a:effectLst/>
          </c:spPr>
          <c:invertIfNegative val="1"/>
          <c:cat>
            <c:strRef>
              <c:f>'PT for Visuals'!$B$28:$B$33</c:f>
              <c:strCache>
                <c:ptCount val="5"/>
                <c:pt idx="0">
                  <c:v>Moneyline</c:v>
                </c:pt>
                <c:pt idx="1">
                  <c:v>Prop</c:v>
                </c:pt>
                <c:pt idx="2">
                  <c:v>Spread</c:v>
                </c:pt>
                <c:pt idx="3">
                  <c:v>Total</c:v>
                </c:pt>
                <c:pt idx="4">
                  <c:v>(blank)</c:v>
                </c:pt>
              </c:strCache>
            </c:strRef>
          </c:cat>
          <c:val>
            <c:numRef>
              <c:f>'PT for Visuals'!$C$28:$C$33</c:f>
              <c:numCache>
                <c:formatCode>0.00%</c:formatCode>
                <c:ptCount val="5"/>
                <c:pt idx="0">
                  <c:v>0.47619047619047628</c:v>
                </c:pt>
                <c:pt idx="1">
                  <c:v>0.8</c:v>
                </c:pt>
                <c:pt idx="2">
                  <c:v>-1</c:v>
                </c:pt>
                <c:pt idx="3">
                  <c:v>-0.27800269905533065</c:v>
                </c:pt>
                <c:pt idx="4">
                  <c:v>#N/A</c:v>
                </c:pt>
              </c:numCache>
            </c:numRef>
          </c:val>
          <c:extLst>
            <c:ext xmlns:c14="http://schemas.microsoft.com/office/drawing/2007/8/2/chart" uri="{6F2FDCE9-48DA-4B69-8628-5D25D57E5C99}">
              <c14:invertSolidFillFmt>
                <c14:spPr xmlns:c14="http://schemas.microsoft.com/office/drawing/2007/8/2/chart">
                  <a:solidFill>
                    <a:srgbClr val="C00000"/>
                  </a:solidFill>
                  <a:ln>
                    <a:solidFill>
                      <a:schemeClr val="tx1"/>
                    </a:solidFill>
                  </a:ln>
                  <a:effectLst/>
                </c14:spPr>
              </c14:invertSolidFillFmt>
            </c:ext>
            <c:ext xmlns:c16="http://schemas.microsoft.com/office/drawing/2014/chart" uri="{C3380CC4-5D6E-409C-BE32-E72D297353CC}">
              <c16:uniqueId val="{00000000-0E12-3B4D-A0B1-CDCC055C7566}"/>
            </c:ext>
          </c:extLst>
        </c:ser>
        <c:dLbls>
          <c:showLegendKey val="0"/>
          <c:showVal val="0"/>
          <c:showCatName val="0"/>
          <c:showSerName val="0"/>
          <c:showPercent val="0"/>
          <c:showBubbleSize val="0"/>
        </c:dLbls>
        <c:gapWidth val="40"/>
        <c:axId val="1280087551"/>
        <c:axId val="125606816"/>
      </c:barChart>
      <c:catAx>
        <c:axId val="1280087551"/>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06816"/>
        <c:crosses val="autoZero"/>
        <c:auto val="1"/>
        <c:lblAlgn val="ctr"/>
        <c:lblOffset val="100"/>
        <c:noMultiLvlLbl val="0"/>
      </c:catAx>
      <c:valAx>
        <c:axId val="12560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087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917638459749492E-2"/>
          <c:y val="0.13285165987417402"/>
          <c:w val="0.64187780324927735"/>
          <c:h val="0.7644474340204962"/>
        </c:manualLayout>
      </c:layout>
      <c:doughnutChart>
        <c:varyColors val="1"/>
        <c:ser>
          <c:idx val="0"/>
          <c:order val="0"/>
          <c:dPt>
            <c:idx val="0"/>
            <c:bubble3D val="0"/>
            <c:spPr>
              <a:solidFill>
                <a:srgbClr val="00B0F0"/>
              </a:solidFill>
              <a:ln w="19050">
                <a:solidFill>
                  <a:schemeClr val="lt1"/>
                </a:solidFill>
              </a:ln>
              <a:effectLst/>
            </c:spPr>
            <c:extLst>
              <c:ext xmlns:c16="http://schemas.microsoft.com/office/drawing/2014/chart" uri="{C3380CC4-5D6E-409C-BE32-E72D297353CC}">
                <c16:uniqueId val="{00000001-E1F8-CB4C-B3DD-564879CC8CE8}"/>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E1F8-CB4C-B3DD-564879CC8CE8}"/>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 for Visuals'!$E$5:$E$6</c:f>
              <c:strCache>
                <c:ptCount val="2"/>
                <c:pt idx="0">
                  <c:v>Progress</c:v>
                </c:pt>
                <c:pt idx="1">
                  <c:v>Remaining</c:v>
                </c:pt>
              </c:strCache>
            </c:strRef>
          </c:cat>
          <c:val>
            <c:numRef>
              <c:f>'PT for Visuals'!$F$5:$F$6</c:f>
              <c:numCache>
                <c:formatCode>0%</c:formatCode>
                <c:ptCount val="2"/>
                <c:pt idx="0">
                  <c:v>3.9786967418546371E-2</c:v>
                </c:pt>
                <c:pt idx="1">
                  <c:v>0.96021303258145363</c:v>
                </c:pt>
              </c:numCache>
            </c:numRef>
          </c:val>
          <c:extLst>
            <c:ext xmlns:c16="http://schemas.microsoft.com/office/drawing/2014/chart" uri="{C3380CC4-5D6E-409C-BE32-E72D297353CC}">
              <c16:uniqueId val="{00000004-E1F8-CB4C-B3DD-564879CC8CE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1353699458453768"/>
          <c:y val="0.20414513512444116"/>
          <c:w val="0.26114654971925977"/>
          <c:h val="0.28015194080639422"/>
        </c:manualLayout>
      </c:layout>
      <c:overlay val="0"/>
      <c:spPr>
        <a:noFill/>
        <a:ln>
          <a:noFill/>
        </a:ln>
        <a:effectLst>
          <a:glow rad="38100">
            <a:schemeClr val="accent1">
              <a:alpha val="40000"/>
            </a:schemeClr>
          </a:glow>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Visuals!PivotTable21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Wager ($)</a:t>
            </a:r>
            <a:r>
              <a:rPr lang="en-US" baseline="0">
                <a:solidFill>
                  <a:schemeClr val="tx1"/>
                </a:solidFill>
              </a:rPr>
              <a:t> Distribution by League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25532461166089648"/>
          <c:y val="0.16836742768962923"/>
          <c:w val="0.54034651796930044"/>
          <c:h val="0.69783444782969961"/>
        </c:manualLayout>
      </c:layout>
      <c:doughnutChart>
        <c:varyColors val="1"/>
        <c:ser>
          <c:idx val="0"/>
          <c:order val="0"/>
          <c:tx>
            <c:strRef>
              <c:f>'PT for Visuals'!$C$13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91-E041-9977-F72AA42C98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91-E041-9977-F72AA42C987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291-E041-9977-F72AA42C9877}"/>
              </c:ext>
            </c:extLst>
          </c:dPt>
          <c:cat>
            <c:strRef>
              <c:f>'PT for Visuals'!$B$14:$B$17</c:f>
              <c:strCache>
                <c:ptCount val="3"/>
                <c:pt idx="0">
                  <c:v>eSports</c:v>
                </c:pt>
                <c:pt idx="1">
                  <c:v>NBA</c:v>
                </c:pt>
                <c:pt idx="2">
                  <c:v>NFL</c:v>
                </c:pt>
              </c:strCache>
            </c:strRef>
          </c:cat>
          <c:val>
            <c:numRef>
              <c:f>'PT for Visuals'!$C$14:$C$17</c:f>
              <c:numCache>
                <c:formatCode>0.00%</c:formatCode>
                <c:ptCount val="3"/>
                <c:pt idx="0">
                  <c:v>0.2857142857142857</c:v>
                </c:pt>
                <c:pt idx="1">
                  <c:v>0.38095238095238093</c:v>
                </c:pt>
                <c:pt idx="2">
                  <c:v>0.33333333333333331</c:v>
                </c:pt>
              </c:numCache>
            </c:numRef>
          </c:val>
          <c:extLst>
            <c:ext xmlns:c16="http://schemas.microsoft.com/office/drawing/2014/chart" uri="{C3380CC4-5D6E-409C-BE32-E72D297353CC}">
              <c16:uniqueId val="{00000006-9291-E041-9977-F72AA42C987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[Sportsbetting Tracker.xlsm]PT for Visuals!PivotTable24</c:name>
    <c:fmtId val="3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6B2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 for Visuals'!$O$24</c:f>
              <c:strCache>
                <c:ptCount val="1"/>
                <c:pt idx="0">
                  <c:v>Total</c:v>
                </c:pt>
              </c:strCache>
            </c:strRef>
          </c:tx>
          <c:spPr>
            <a:solidFill>
              <a:srgbClr val="196B24"/>
            </a:solidFill>
            <a:ln>
              <a:solidFill>
                <a:schemeClr val="tx1"/>
              </a:solidFill>
            </a:ln>
            <a:effectLst/>
          </c:spPr>
          <c:invertIfNegative val="1"/>
          <c:cat>
            <c:strRef>
              <c:f>'PT for Visuals'!$N$25:$N$26</c:f>
              <c:strCache>
                <c:ptCount val="1"/>
                <c:pt idx="0">
                  <c:v>Jan</c:v>
                </c:pt>
              </c:strCache>
            </c:strRef>
          </c:cat>
          <c:val>
            <c:numRef>
              <c:f>'PT for Visuals'!$O$25:$O$26</c:f>
              <c:numCache>
                <c:formatCode>"$"#,##0.00_);[Red]\("$"#,##0.00\)</c:formatCode>
                <c:ptCount val="1"/>
                <c:pt idx="0">
                  <c:v>79.573934837092736</c:v>
                </c:pt>
              </c:numCache>
            </c:numRef>
          </c:val>
          <c:extLst>
            <c:ext xmlns:c14="http://schemas.microsoft.com/office/drawing/2007/8/2/chart" uri="{6F2FDCE9-48DA-4B69-8628-5D25D57E5C99}">
              <c14:invertSolidFillFmt>
                <c14:spPr xmlns:c14="http://schemas.microsoft.com/office/drawing/2007/8/2/chart">
                  <a:solidFill>
                    <a:srgbClr val="C00000"/>
                  </a:solidFill>
                  <a:ln>
                    <a:solidFill>
                      <a:schemeClr val="tx1"/>
                    </a:solidFill>
                  </a:ln>
                  <a:effectLst/>
                </c14:spPr>
              </c14:invertSolidFillFmt>
            </c:ext>
            <c:ext xmlns:c16="http://schemas.microsoft.com/office/drawing/2014/chart" uri="{C3380CC4-5D6E-409C-BE32-E72D297353CC}">
              <c16:uniqueId val="{00000000-1752-B245-8A04-A7E3143F396B}"/>
            </c:ext>
          </c:extLst>
        </c:ser>
        <c:dLbls>
          <c:showLegendKey val="0"/>
          <c:showVal val="0"/>
          <c:showCatName val="0"/>
          <c:showSerName val="0"/>
          <c:showPercent val="0"/>
          <c:showBubbleSize val="0"/>
        </c:dLbls>
        <c:gapWidth val="219"/>
        <c:overlap val="-27"/>
        <c:axId val="642723168"/>
        <c:axId val="677774736"/>
      </c:barChart>
      <c:catAx>
        <c:axId val="64272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74736"/>
        <c:crosses val="autoZero"/>
        <c:auto val="1"/>
        <c:lblAlgn val="ctr"/>
        <c:lblOffset val="100"/>
        <c:noMultiLvlLbl val="0"/>
      </c:catAx>
      <c:valAx>
        <c:axId val="6777747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72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228599</xdr:colOff>
      <xdr:row>1</xdr:row>
      <xdr:rowOff>38100</xdr:rowOff>
    </xdr:from>
    <xdr:to>
      <xdr:col>6</xdr:col>
      <xdr:colOff>774700</xdr:colOff>
      <xdr:row>14</xdr:row>
      <xdr:rowOff>63500</xdr:rowOff>
    </xdr:to>
    <xdr:grpSp>
      <xdr:nvGrpSpPr>
        <xdr:cNvPr id="39" name="Group 38">
          <a:extLst>
            <a:ext uri="{FF2B5EF4-FFF2-40B4-BE49-F238E27FC236}">
              <a16:creationId xmlns:a16="http://schemas.microsoft.com/office/drawing/2014/main" id="{7BEEE883-88B9-F8E0-A952-85AF6EB99EAA}"/>
            </a:ext>
          </a:extLst>
        </xdr:cNvPr>
        <xdr:cNvGrpSpPr/>
      </xdr:nvGrpSpPr>
      <xdr:grpSpPr>
        <a:xfrm>
          <a:off x="228599" y="241300"/>
          <a:ext cx="5499101" cy="2667000"/>
          <a:chOff x="1714683" y="127000"/>
          <a:chExt cx="4687047" cy="2844800"/>
        </a:xfrm>
      </xdr:grpSpPr>
      <xdr:grpSp>
        <xdr:nvGrpSpPr>
          <xdr:cNvPr id="29" name="Group 28">
            <a:extLst>
              <a:ext uri="{FF2B5EF4-FFF2-40B4-BE49-F238E27FC236}">
                <a16:creationId xmlns:a16="http://schemas.microsoft.com/office/drawing/2014/main" id="{4F8E592B-9A74-D7BE-B124-7EAF3C004179}"/>
              </a:ext>
            </a:extLst>
          </xdr:cNvPr>
          <xdr:cNvGrpSpPr/>
        </xdr:nvGrpSpPr>
        <xdr:grpSpPr>
          <a:xfrm>
            <a:off x="1714683" y="127000"/>
            <a:ext cx="4687047" cy="2844800"/>
            <a:chOff x="914583" y="1016000"/>
            <a:chExt cx="4687047" cy="2844800"/>
          </a:xfrm>
        </xdr:grpSpPr>
        <xdr:sp macro="" textlink="">
          <xdr:nvSpPr>
            <xdr:cNvPr id="2" name="Rectangle 1">
              <a:extLst>
                <a:ext uri="{FF2B5EF4-FFF2-40B4-BE49-F238E27FC236}">
                  <a16:creationId xmlns:a16="http://schemas.microsoft.com/office/drawing/2014/main" id="{E68C6928-656B-47F9-C2C9-0FC92C6D38D6}"/>
                </a:ext>
              </a:extLst>
            </xdr:cNvPr>
            <xdr:cNvSpPr/>
          </xdr:nvSpPr>
          <xdr:spPr>
            <a:xfrm>
              <a:off x="914583" y="1016000"/>
              <a:ext cx="4687047" cy="2844800"/>
            </a:xfrm>
            <a:prstGeom prst="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accent4">
                    <a:lumMod val="40000"/>
                    <a:lumOff val="60000"/>
                  </a:schemeClr>
                </a:solidFill>
              </a:endParaRPr>
            </a:p>
          </xdr:txBody>
        </xdr:sp>
        <xdr:sp macro="" textlink="'PT for Visuals'!B3">
          <xdr:nvSpPr>
            <xdr:cNvPr id="5" name="Rounded Rectangle 4">
              <a:extLst>
                <a:ext uri="{FF2B5EF4-FFF2-40B4-BE49-F238E27FC236}">
                  <a16:creationId xmlns:a16="http://schemas.microsoft.com/office/drawing/2014/main" id="{3C51E9EF-9AA5-2246-9EC5-58D484A4F776}"/>
                </a:ext>
              </a:extLst>
            </xdr:cNvPr>
            <xdr:cNvSpPr/>
          </xdr:nvSpPr>
          <xdr:spPr>
            <a:xfrm>
              <a:off x="1054100" y="2400300"/>
              <a:ext cx="990600" cy="1270000"/>
            </a:xfrm>
            <a:prstGeom prst="round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3093AE68-F7B7-9646-818C-2DC4C1FF7ECA}" type="TxLink">
                <a:rPr lang="en-US" sz="1600" b="1" i="0" u="none" strike="noStrike" kern="1200">
                  <a:solidFill>
                    <a:srgbClr val="000000"/>
                  </a:solidFill>
                  <a:latin typeface="Aptos Narrow"/>
                </a:rPr>
                <a:t>$79.57</a:t>
              </a:fld>
              <a:endParaRPr lang="en-US" sz="2000" b="1" i="0" u="none" strike="noStrike" kern="1200">
                <a:solidFill>
                  <a:srgbClr val="000000"/>
                </a:solidFill>
                <a:latin typeface="Aptos Narrow"/>
              </a:endParaRPr>
            </a:p>
          </xdr:txBody>
        </xdr:sp>
        <xdr:sp macro="" textlink="">
          <xdr:nvSpPr>
            <xdr:cNvPr id="11" name="Rounded Rectangle 10">
              <a:extLst>
                <a:ext uri="{FF2B5EF4-FFF2-40B4-BE49-F238E27FC236}">
                  <a16:creationId xmlns:a16="http://schemas.microsoft.com/office/drawing/2014/main" id="{76A5F0AF-6DF6-354C-86A6-E3A9CD569BF7}"/>
                </a:ext>
              </a:extLst>
            </xdr:cNvPr>
            <xdr:cNvSpPr/>
          </xdr:nvSpPr>
          <xdr:spPr>
            <a:xfrm>
              <a:off x="1054100" y="1295400"/>
              <a:ext cx="4330700" cy="774700"/>
            </a:xfrm>
            <a:prstGeom prst="round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ysClr val="windowText" lastClr="000000"/>
                </a:solidFill>
              </a:endParaRPr>
            </a:p>
          </xdr:txBody>
        </xdr:sp>
        <xdr:sp macro="" textlink="'PT for Visuals'!D3">
          <xdr:nvSpPr>
            <xdr:cNvPr id="21" name="Rounded Rectangle 20">
              <a:extLst>
                <a:ext uri="{FF2B5EF4-FFF2-40B4-BE49-F238E27FC236}">
                  <a16:creationId xmlns:a16="http://schemas.microsoft.com/office/drawing/2014/main" id="{822D7056-3CEB-FF47-8C81-41A0CA97A422}"/>
                </a:ext>
              </a:extLst>
            </xdr:cNvPr>
            <xdr:cNvSpPr/>
          </xdr:nvSpPr>
          <xdr:spPr>
            <a:xfrm>
              <a:off x="2201333" y="2400300"/>
              <a:ext cx="990600" cy="1270000"/>
            </a:xfrm>
            <a:prstGeom prst="round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C239A584-8832-AE42-81CE-C9754086A0A4}" type="TxLink">
                <a:rPr lang="en-US" sz="1600" b="1" i="0" u="none" strike="noStrike" kern="1200">
                  <a:solidFill>
                    <a:srgbClr val="000000"/>
                  </a:solidFill>
                  <a:latin typeface="Aptos Narrow"/>
                </a:rPr>
                <a:t>6</a:t>
              </a:fld>
              <a:endParaRPr lang="en-US" sz="1800" b="1" kern="1200">
                <a:solidFill>
                  <a:sysClr val="windowText" lastClr="000000"/>
                </a:solidFill>
              </a:endParaRPr>
            </a:p>
          </xdr:txBody>
        </xdr:sp>
        <xdr:sp macro="" textlink="'PT for Visuals'!F3">
          <xdr:nvSpPr>
            <xdr:cNvPr id="22" name="Rounded Rectangle 21">
              <a:extLst>
                <a:ext uri="{FF2B5EF4-FFF2-40B4-BE49-F238E27FC236}">
                  <a16:creationId xmlns:a16="http://schemas.microsoft.com/office/drawing/2014/main" id="{E096CEF0-FB75-AE40-81B6-16E3F9AA2B24}"/>
                </a:ext>
              </a:extLst>
            </xdr:cNvPr>
            <xdr:cNvSpPr/>
          </xdr:nvSpPr>
          <xdr:spPr>
            <a:xfrm>
              <a:off x="3302000" y="2400300"/>
              <a:ext cx="990600" cy="1270000"/>
            </a:xfrm>
            <a:prstGeom prst="round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05419DD3-CAEA-054E-A8CB-B731683CBB65}" type="TxLink">
                <a:rPr lang="en-US" sz="1600" b="1" i="0" u="none" strike="noStrike" kern="1200">
                  <a:solidFill>
                    <a:srgbClr val="000000"/>
                  </a:solidFill>
                  <a:latin typeface="Aptos Narrow"/>
                </a:rPr>
                <a:t>13.84%</a:t>
              </a:fld>
              <a:endParaRPr lang="en-US" sz="1800" b="1" kern="1200">
                <a:solidFill>
                  <a:sysClr val="windowText" lastClr="000000"/>
                </a:solidFill>
              </a:endParaRPr>
            </a:p>
          </xdr:txBody>
        </xdr:sp>
        <xdr:sp macro="" textlink="'PT for Visuals'!I4">
          <xdr:nvSpPr>
            <xdr:cNvPr id="23" name="Rounded Rectangle 22">
              <a:extLst>
                <a:ext uri="{FF2B5EF4-FFF2-40B4-BE49-F238E27FC236}">
                  <a16:creationId xmlns:a16="http://schemas.microsoft.com/office/drawing/2014/main" id="{C8B26881-C037-1E45-89CF-D2CA63522266}"/>
                </a:ext>
              </a:extLst>
            </xdr:cNvPr>
            <xdr:cNvSpPr/>
          </xdr:nvSpPr>
          <xdr:spPr>
            <a:xfrm>
              <a:off x="4402666" y="2400300"/>
              <a:ext cx="990600" cy="1270000"/>
            </a:xfrm>
            <a:prstGeom prst="round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9D4665EA-7507-C24F-BD1C-0CD8CB806B5D}" type="TxLink">
                <a:rPr lang="en-US" sz="1600" b="1" i="0" u="none" strike="noStrike" kern="1200">
                  <a:solidFill>
                    <a:srgbClr val="000000"/>
                  </a:solidFill>
                  <a:latin typeface="Aptos Narrow"/>
                </a:rPr>
                <a:pPr algn="r"/>
                <a:t>66.67%</a:t>
              </a:fld>
              <a:endParaRPr lang="en-US" sz="1800" b="1" kern="1200">
                <a:solidFill>
                  <a:sysClr val="windowText" lastClr="000000"/>
                </a:solidFill>
              </a:endParaRPr>
            </a:p>
          </xdr:txBody>
        </xdr:sp>
        <xdr:sp macro="" textlink="">
          <xdr:nvSpPr>
            <xdr:cNvPr id="15" name="TextBox 14">
              <a:extLst>
                <a:ext uri="{FF2B5EF4-FFF2-40B4-BE49-F238E27FC236}">
                  <a16:creationId xmlns:a16="http://schemas.microsoft.com/office/drawing/2014/main" id="{69DA87D6-D1D0-C2F6-B2A7-CBA2EE648858}"/>
                </a:ext>
              </a:extLst>
            </xdr:cNvPr>
            <xdr:cNvSpPr txBox="1"/>
          </xdr:nvSpPr>
          <xdr:spPr>
            <a:xfrm>
              <a:off x="3302000" y="2413001"/>
              <a:ext cx="908496" cy="795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kern="1200">
                  <a:solidFill>
                    <a:sysClr val="windowText" lastClr="000000"/>
                  </a:solidFill>
                </a:rPr>
                <a:t>ROI</a:t>
              </a:r>
            </a:p>
          </xdr:txBody>
        </xdr:sp>
        <xdr:sp macro="" textlink="">
          <xdr:nvSpPr>
            <xdr:cNvPr id="24" name="TextBox 23">
              <a:extLst>
                <a:ext uri="{FF2B5EF4-FFF2-40B4-BE49-F238E27FC236}">
                  <a16:creationId xmlns:a16="http://schemas.microsoft.com/office/drawing/2014/main" id="{EB38B177-D96B-3041-BEE0-433D71575ED1}"/>
                </a:ext>
              </a:extLst>
            </xdr:cNvPr>
            <xdr:cNvSpPr txBox="1"/>
          </xdr:nvSpPr>
          <xdr:spPr>
            <a:xfrm>
              <a:off x="1054100" y="2438400"/>
              <a:ext cx="825500" cy="81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kern="1200">
                  <a:solidFill>
                    <a:sysClr val="windowText" lastClr="000000"/>
                  </a:solidFill>
                </a:rPr>
                <a:t>Net Profit</a:t>
              </a:r>
            </a:p>
            <a:p>
              <a:endParaRPr lang="en-US" sz="1800" b="1" kern="1200">
                <a:solidFill>
                  <a:sysClr val="windowText" lastClr="000000"/>
                </a:solidFill>
              </a:endParaRPr>
            </a:p>
            <a:p>
              <a:endParaRPr lang="en-US" sz="1800" b="1" kern="1200">
                <a:solidFill>
                  <a:sysClr val="windowText" lastClr="000000"/>
                </a:solidFill>
              </a:endParaRPr>
            </a:p>
          </xdr:txBody>
        </xdr:sp>
        <xdr:sp macro="" textlink="">
          <xdr:nvSpPr>
            <xdr:cNvPr id="25" name="TextBox 24">
              <a:extLst>
                <a:ext uri="{FF2B5EF4-FFF2-40B4-BE49-F238E27FC236}">
                  <a16:creationId xmlns:a16="http://schemas.microsoft.com/office/drawing/2014/main" id="{96DA3240-F94D-1540-858C-A7C0634EBB0A}"/>
                </a:ext>
              </a:extLst>
            </xdr:cNvPr>
            <xdr:cNvSpPr txBox="1"/>
          </xdr:nvSpPr>
          <xdr:spPr>
            <a:xfrm>
              <a:off x="2201333" y="2438401"/>
              <a:ext cx="774701" cy="822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kern="1200">
                  <a:solidFill>
                    <a:sysClr val="windowText" lastClr="000000"/>
                  </a:solidFill>
                </a:rPr>
                <a:t>Total Bets</a:t>
              </a:r>
            </a:p>
          </xdr:txBody>
        </xdr:sp>
        <xdr:sp macro="" textlink="">
          <xdr:nvSpPr>
            <xdr:cNvPr id="26" name="TextBox 25">
              <a:extLst>
                <a:ext uri="{FF2B5EF4-FFF2-40B4-BE49-F238E27FC236}">
                  <a16:creationId xmlns:a16="http://schemas.microsoft.com/office/drawing/2014/main" id="{F907A694-9DD8-AE48-80F8-6F18E283B8BD}"/>
                </a:ext>
              </a:extLst>
            </xdr:cNvPr>
            <xdr:cNvSpPr txBox="1"/>
          </xdr:nvSpPr>
          <xdr:spPr>
            <a:xfrm>
              <a:off x="4402666" y="2400300"/>
              <a:ext cx="870172" cy="873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kern="1200">
                  <a:solidFill>
                    <a:sysClr val="windowText" lastClr="000000"/>
                  </a:solidFill>
                </a:rPr>
                <a:t>Win</a:t>
              </a:r>
              <a:r>
                <a:rPr lang="en-US" sz="1800" b="1" kern="1200" baseline="0">
                  <a:solidFill>
                    <a:sysClr val="windowText" lastClr="000000"/>
                  </a:solidFill>
                </a:rPr>
                <a:t> Rate</a:t>
              </a:r>
              <a:endParaRPr lang="en-US" sz="1800" b="1" kern="1200">
                <a:solidFill>
                  <a:sysClr val="windowText" lastClr="000000"/>
                </a:solidFill>
              </a:endParaRPr>
            </a:p>
          </xdr:txBody>
        </xdr:sp>
      </xdr:grpSp>
      <xdr:sp macro="" textlink="">
        <xdr:nvSpPr>
          <xdr:cNvPr id="38" name="TextBox 37">
            <a:extLst>
              <a:ext uri="{FF2B5EF4-FFF2-40B4-BE49-F238E27FC236}">
                <a16:creationId xmlns:a16="http://schemas.microsoft.com/office/drawing/2014/main" id="{E03FA686-7DAF-E274-0B63-3481C19F2D02}"/>
              </a:ext>
            </a:extLst>
          </xdr:cNvPr>
          <xdr:cNvSpPr txBox="1"/>
        </xdr:nvSpPr>
        <xdr:spPr>
          <a:xfrm>
            <a:off x="1879600" y="406400"/>
            <a:ext cx="4019230" cy="774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kern="1200">
                <a:solidFill>
                  <a:schemeClr val="tx1"/>
                </a:solidFill>
              </a:rPr>
              <a:t>Sports</a:t>
            </a:r>
            <a:r>
              <a:rPr lang="en-US" sz="2400" b="1" kern="1200" baseline="0">
                <a:solidFill>
                  <a:schemeClr val="tx1"/>
                </a:solidFill>
              </a:rPr>
              <a:t> Analytics Model Tracker</a:t>
            </a:r>
            <a:endParaRPr lang="en-US" sz="2400" b="1" kern="1200">
              <a:solidFill>
                <a:schemeClr val="tx1"/>
              </a:solidFill>
            </a:endParaRPr>
          </a:p>
        </xdr:txBody>
      </xdr:sp>
    </xdr:grpSp>
    <xdr:clientData/>
  </xdr:twoCellAnchor>
  <xdr:twoCellAnchor>
    <xdr:from>
      <xdr:col>7</xdr:col>
      <xdr:colOff>12699</xdr:colOff>
      <xdr:row>1</xdr:row>
      <xdr:rowOff>38100</xdr:rowOff>
    </xdr:from>
    <xdr:to>
      <xdr:col>13</xdr:col>
      <xdr:colOff>749300</xdr:colOff>
      <xdr:row>14</xdr:row>
      <xdr:rowOff>76200</xdr:rowOff>
    </xdr:to>
    <xdr:grpSp>
      <xdr:nvGrpSpPr>
        <xdr:cNvPr id="12" name="Group 11">
          <a:extLst>
            <a:ext uri="{FF2B5EF4-FFF2-40B4-BE49-F238E27FC236}">
              <a16:creationId xmlns:a16="http://schemas.microsoft.com/office/drawing/2014/main" id="{611DD514-9704-8981-881F-AF88BB418E22}"/>
            </a:ext>
          </a:extLst>
        </xdr:cNvPr>
        <xdr:cNvGrpSpPr/>
      </xdr:nvGrpSpPr>
      <xdr:grpSpPr>
        <a:xfrm>
          <a:off x="5791199" y="241300"/>
          <a:ext cx="5689601" cy="2679700"/>
          <a:chOff x="5524500" y="1692272"/>
          <a:chExt cx="5600700" cy="2600328"/>
        </a:xfrm>
      </xdr:grpSpPr>
      <mc:AlternateContent xmlns:mc="http://schemas.openxmlformats.org/markup-compatibility/2006">
        <mc:Choice xmlns:sle15="http://schemas.microsoft.com/office/drawing/2012/slicer" Requires="sle15">
          <xdr:graphicFrame macro="">
            <xdr:nvGraphicFramePr>
              <xdr:cNvPr id="16" name="League 2">
                <a:extLst>
                  <a:ext uri="{FF2B5EF4-FFF2-40B4-BE49-F238E27FC236}">
                    <a16:creationId xmlns:a16="http://schemas.microsoft.com/office/drawing/2014/main" id="{F8CD0BA5-D6D2-D644-83B4-5000EBDC57C9}"/>
                  </a:ext>
                </a:extLst>
              </xdr:cNvPr>
              <xdr:cNvGraphicFramePr/>
            </xdr:nvGraphicFramePr>
            <xdr:xfrm>
              <a:off x="5524500" y="1692272"/>
              <a:ext cx="1828800" cy="2600328"/>
            </xdr:xfrm>
            <a:graphic>
              <a:graphicData uri="http://schemas.microsoft.com/office/drawing/2010/slicer">
                <sle:slicer xmlns:sle="http://schemas.microsoft.com/office/drawing/2010/slicer" name="League 2"/>
              </a:graphicData>
            </a:graphic>
          </xdr:graphicFrame>
        </mc:Choice>
        <mc:Fallback>
          <xdr:sp macro="" textlink="">
            <xdr:nvSpPr>
              <xdr:cNvPr id="0" name=""/>
              <xdr:cNvSpPr>
                <a:spLocks noTextEdit="1"/>
              </xdr:cNvSpPr>
            </xdr:nvSpPr>
            <xdr:spPr>
              <a:xfrm>
                <a:off x="5791199" y="241300"/>
                <a:ext cx="1857829" cy="26797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17" name="Type 2">
                <a:extLst>
                  <a:ext uri="{FF2B5EF4-FFF2-40B4-BE49-F238E27FC236}">
                    <a16:creationId xmlns:a16="http://schemas.microsoft.com/office/drawing/2014/main" id="{E75CEDEB-1BDB-4348-8F01-FC51C4C5277F}"/>
                  </a:ext>
                </a:extLst>
              </xdr:cNvPr>
              <xdr:cNvGraphicFramePr/>
            </xdr:nvGraphicFramePr>
            <xdr:xfrm>
              <a:off x="7410450" y="1692272"/>
              <a:ext cx="1828800" cy="1203328"/>
            </xdr:xfrm>
            <a:graphic>
              <a:graphicData uri="http://schemas.microsoft.com/office/drawing/2010/slicer">
                <sle:slicer xmlns:sle="http://schemas.microsoft.com/office/drawing/2010/slicer" name="Type 2"/>
              </a:graphicData>
            </a:graphic>
          </xdr:graphicFrame>
        </mc:Choice>
        <mc:Fallback>
          <xdr:sp macro="" textlink="">
            <xdr:nvSpPr>
              <xdr:cNvPr id="0" name=""/>
              <xdr:cNvSpPr>
                <a:spLocks noTextEdit="1"/>
              </xdr:cNvSpPr>
            </xdr:nvSpPr>
            <xdr:spPr>
              <a:xfrm>
                <a:off x="7707085" y="241300"/>
                <a:ext cx="1857829" cy="124005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18" name="Sportsbook 2">
                <a:extLst>
                  <a:ext uri="{FF2B5EF4-FFF2-40B4-BE49-F238E27FC236}">
                    <a16:creationId xmlns:a16="http://schemas.microsoft.com/office/drawing/2014/main" id="{E68EE5A7-D837-5B49-8DE7-4C2CD4384FB7}"/>
                  </a:ext>
                </a:extLst>
              </xdr:cNvPr>
              <xdr:cNvGraphicFramePr/>
            </xdr:nvGraphicFramePr>
            <xdr:xfrm>
              <a:off x="9296400" y="1692272"/>
              <a:ext cx="1828800" cy="1203328"/>
            </xdr:xfrm>
            <a:graphic>
              <a:graphicData uri="http://schemas.microsoft.com/office/drawing/2010/slicer">
                <sle:slicer xmlns:sle="http://schemas.microsoft.com/office/drawing/2010/slicer" name="Sportsbook 2"/>
              </a:graphicData>
            </a:graphic>
          </xdr:graphicFrame>
        </mc:Choice>
        <mc:Fallback>
          <xdr:sp macro="" textlink="">
            <xdr:nvSpPr>
              <xdr:cNvPr id="0" name=""/>
              <xdr:cNvSpPr>
                <a:spLocks noTextEdit="1"/>
              </xdr:cNvSpPr>
            </xdr:nvSpPr>
            <xdr:spPr>
              <a:xfrm>
                <a:off x="9622971" y="241300"/>
                <a:ext cx="1857829" cy="124005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xdr:from>
      <xdr:col>0</xdr:col>
      <xdr:colOff>215899</xdr:colOff>
      <xdr:row>14</xdr:row>
      <xdr:rowOff>165100</xdr:rowOff>
    </xdr:from>
    <xdr:to>
      <xdr:col>13</xdr:col>
      <xdr:colOff>736600</xdr:colOff>
      <xdr:row>23</xdr:row>
      <xdr:rowOff>127000</xdr:rowOff>
    </xdr:to>
    <xdr:sp macro="" textlink="">
      <xdr:nvSpPr>
        <xdr:cNvPr id="3" name="Rectangle 2">
          <a:extLst>
            <a:ext uri="{FF2B5EF4-FFF2-40B4-BE49-F238E27FC236}">
              <a16:creationId xmlns:a16="http://schemas.microsoft.com/office/drawing/2014/main" id="{B707A994-B538-70AD-D597-F567AB500C04}"/>
            </a:ext>
          </a:extLst>
        </xdr:cNvPr>
        <xdr:cNvSpPr/>
      </xdr:nvSpPr>
      <xdr:spPr>
        <a:xfrm>
          <a:off x="215899" y="3009900"/>
          <a:ext cx="11252201" cy="1790700"/>
        </a:xfrm>
        <a:prstGeom prst="rect">
          <a:avLst/>
        </a:prstGeom>
        <a:solidFill>
          <a:schemeClr val="bg1">
            <a:lumMod val="95000"/>
          </a:schemeClr>
        </a:solidFill>
        <a:ln w="952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13</xdr:col>
      <xdr:colOff>812800</xdr:colOff>
      <xdr:row>1</xdr:row>
      <xdr:rowOff>50800</xdr:rowOff>
    </xdr:from>
    <xdr:to>
      <xdr:col>21</xdr:col>
      <xdr:colOff>495300</xdr:colOff>
      <xdr:row>18</xdr:row>
      <xdr:rowOff>95250</xdr:rowOff>
    </xdr:to>
    <xdr:graphicFrame macro="">
      <xdr:nvGraphicFramePr>
        <xdr:cNvPr id="36" name="Chart 35">
          <a:extLst>
            <a:ext uri="{FF2B5EF4-FFF2-40B4-BE49-F238E27FC236}">
              <a16:creationId xmlns:a16="http://schemas.microsoft.com/office/drawing/2014/main" id="{43DD2082-9A7B-DC41-A6A9-ECFA8DE3F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571500</xdr:colOff>
      <xdr:row>32</xdr:row>
      <xdr:rowOff>101600</xdr:rowOff>
    </xdr:from>
    <xdr:to>
      <xdr:col>13</xdr:col>
      <xdr:colOff>749300</xdr:colOff>
      <xdr:row>40</xdr:row>
      <xdr:rowOff>101600</xdr:rowOff>
    </xdr:to>
    <xdr:graphicFrame macro="">
      <xdr:nvGraphicFramePr>
        <xdr:cNvPr id="42" name="Chart 41">
          <a:extLst>
            <a:ext uri="{FF2B5EF4-FFF2-40B4-BE49-F238E27FC236}">
              <a16:creationId xmlns:a16="http://schemas.microsoft.com/office/drawing/2014/main" id="{4287172E-B70E-654E-B632-4C4E2A206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812800</xdr:colOff>
      <xdr:row>18</xdr:row>
      <xdr:rowOff>165100</xdr:rowOff>
    </xdr:from>
    <xdr:to>
      <xdr:col>21</xdr:col>
      <xdr:colOff>508000</xdr:colOff>
      <xdr:row>27</xdr:row>
      <xdr:rowOff>196850</xdr:rowOff>
    </xdr:to>
    <xdr:graphicFrame macro="">
      <xdr:nvGraphicFramePr>
        <xdr:cNvPr id="28" name="Chart 27">
          <a:extLst>
            <a:ext uri="{FF2B5EF4-FFF2-40B4-BE49-F238E27FC236}">
              <a16:creationId xmlns:a16="http://schemas.microsoft.com/office/drawing/2014/main" id="{042D967C-8E93-F44F-80E8-074E26CF92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571500</xdr:colOff>
      <xdr:row>23</xdr:row>
      <xdr:rowOff>177800</xdr:rowOff>
    </xdr:from>
    <xdr:to>
      <xdr:col>13</xdr:col>
      <xdr:colOff>749300</xdr:colOff>
      <xdr:row>32</xdr:row>
      <xdr:rowOff>63500</xdr:rowOff>
    </xdr:to>
    <xdr:graphicFrame macro="">
      <xdr:nvGraphicFramePr>
        <xdr:cNvPr id="30" name="Chart 29">
          <a:extLst>
            <a:ext uri="{FF2B5EF4-FFF2-40B4-BE49-F238E27FC236}">
              <a16:creationId xmlns:a16="http://schemas.microsoft.com/office/drawing/2014/main" id="{ABA34CCB-A16B-CA4A-A86A-84CB5FA200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812800</xdr:colOff>
      <xdr:row>28</xdr:row>
      <xdr:rowOff>50800</xdr:rowOff>
    </xdr:from>
    <xdr:to>
      <xdr:col>21</xdr:col>
      <xdr:colOff>520700</xdr:colOff>
      <xdr:row>40</xdr:row>
      <xdr:rowOff>101600</xdr:rowOff>
    </xdr:to>
    <xdr:graphicFrame macro="">
      <xdr:nvGraphicFramePr>
        <xdr:cNvPr id="7" name="Chart 6">
          <a:extLst>
            <a:ext uri="{FF2B5EF4-FFF2-40B4-BE49-F238E27FC236}">
              <a16:creationId xmlns:a16="http://schemas.microsoft.com/office/drawing/2014/main" id="{FCD8B776-73E0-D14C-B740-387415E9D4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812800</xdr:colOff>
      <xdr:row>28</xdr:row>
      <xdr:rowOff>50800</xdr:rowOff>
    </xdr:from>
    <xdr:to>
      <xdr:col>17</xdr:col>
      <xdr:colOff>774700</xdr:colOff>
      <xdr:row>40</xdr:row>
      <xdr:rowOff>101600</xdr:rowOff>
    </xdr:to>
    <xdr:graphicFrame macro="">
      <xdr:nvGraphicFramePr>
        <xdr:cNvPr id="8" name="Chart 7">
          <a:extLst>
            <a:ext uri="{FF2B5EF4-FFF2-40B4-BE49-F238E27FC236}">
              <a16:creationId xmlns:a16="http://schemas.microsoft.com/office/drawing/2014/main" id="{A37FE985-70FC-104E-B2A2-09AEDEF7CC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203200</xdr:colOff>
      <xdr:row>24</xdr:row>
      <xdr:rowOff>0</xdr:rowOff>
    </xdr:from>
    <xdr:to>
      <xdr:col>8</xdr:col>
      <xdr:colOff>508000</xdr:colOff>
      <xdr:row>40</xdr:row>
      <xdr:rowOff>114300</xdr:rowOff>
    </xdr:to>
    <xdr:graphicFrame macro="">
      <xdr:nvGraphicFramePr>
        <xdr:cNvPr id="9" name="Chart 8">
          <a:extLst>
            <a:ext uri="{FF2B5EF4-FFF2-40B4-BE49-F238E27FC236}">
              <a16:creationId xmlns:a16="http://schemas.microsoft.com/office/drawing/2014/main" id="{5697F50A-C83D-314E-8F30-7FB80C5E1A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266700</xdr:colOff>
      <xdr:row>7</xdr:row>
      <xdr:rowOff>101600</xdr:rowOff>
    </xdr:from>
    <xdr:to>
      <xdr:col>13</xdr:col>
      <xdr:colOff>749300</xdr:colOff>
      <xdr:row>14</xdr:row>
      <xdr:rowOff>38100</xdr:rowOff>
    </xdr:to>
    <mc:AlternateContent xmlns:mc="http://schemas.openxmlformats.org/markup-compatibility/2006">
      <mc:Choice xmlns:tsle="http://schemas.microsoft.com/office/drawing/2012/timeslicer" Requires="tsle">
        <xdr:graphicFrame macro="">
          <xdr:nvGraphicFramePr>
            <xdr:cNvPr id="10" name="Date">
              <a:extLst>
                <a:ext uri="{FF2B5EF4-FFF2-40B4-BE49-F238E27FC236}">
                  <a16:creationId xmlns:a16="http://schemas.microsoft.com/office/drawing/2014/main" id="{9B742236-0B35-3041-A14F-3C862C853B74}"/>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7696200" y="1524000"/>
              <a:ext cx="3784600" cy="13589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0.16878</cdr:x>
      <cdr:y>0.24623</cdr:y>
    </cdr:from>
    <cdr:to>
      <cdr:x>0.58228</cdr:x>
      <cdr:y>0.75377</cdr:y>
    </cdr:to>
    <cdr:sp macro="" textlink="'PT for Visuals'!$F$7">
      <cdr:nvSpPr>
        <cdr:cNvPr id="2" name="Oval 1">
          <a:extLst xmlns:a="http://schemas.openxmlformats.org/drawingml/2006/main">
            <a:ext uri="{FF2B5EF4-FFF2-40B4-BE49-F238E27FC236}">
              <a16:creationId xmlns:a16="http://schemas.microsoft.com/office/drawing/2014/main" id="{F5B79396-694F-86D9-2F4B-7265A2164E72}"/>
            </a:ext>
          </a:extLst>
        </cdr:cNvPr>
        <cdr:cNvSpPr/>
      </cdr:nvSpPr>
      <cdr:spPr>
        <a:xfrm xmlns:a="http://schemas.openxmlformats.org/drawingml/2006/main">
          <a:off x="508000" y="622300"/>
          <a:ext cx="1244600" cy="1282700"/>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fld id="{F753A1ED-048A-4A4F-AEA2-9FBD95663F98}" type="TxLink">
            <a:rPr lang="en-US" sz="1800" b="1" i="0" u="none" strike="noStrike" kern="1200">
              <a:solidFill>
                <a:srgbClr val="0070C0"/>
              </a:solidFill>
              <a:latin typeface="Aptos Narrow"/>
            </a:rPr>
            <a:t> $2,000 </a:t>
          </a:fld>
          <a:endParaRPr lang="en-US" sz="1600" b="1" kern="1200">
            <a:solidFill>
              <a:srgbClr val="0070C0"/>
            </a:solidFill>
          </a:endParaRPr>
        </a:p>
      </cdr:txBody>
    </cdr:sp>
  </cdr:relSizeAnchor>
  <cdr:relSizeAnchor xmlns:cdr="http://schemas.openxmlformats.org/drawingml/2006/chartDrawing">
    <cdr:from>
      <cdr:x>0.65401</cdr:x>
      <cdr:y>0.74372</cdr:y>
    </cdr:from>
    <cdr:to>
      <cdr:x>0.99578</cdr:x>
      <cdr:y>1</cdr:y>
    </cdr:to>
    <cdr:sp macro="" textlink="">
      <cdr:nvSpPr>
        <cdr:cNvPr id="3" name="Rectangle 2">
          <a:extLst xmlns:a="http://schemas.openxmlformats.org/drawingml/2006/main">
            <a:ext uri="{FF2B5EF4-FFF2-40B4-BE49-F238E27FC236}">
              <a16:creationId xmlns:a16="http://schemas.microsoft.com/office/drawing/2014/main" id="{0AD30A8D-CC0B-E242-39AE-BDB218E0F2A4}"/>
            </a:ext>
          </a:extLst>
        </cdr:cNvPr>
        <cdr:cNvSpPr/>
      </cdr:nvSpPr>
      <cdr:spPr>
        <a:xfrm xmlns:a="http://schemas.openxmlformats.org/drawingml/2006/main">
          <a:off x="1968500" y="1879600"/>
          <a:ext cx="1028700" cy="6477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r"/>
          <a:r>
            <a:rPr lang="en-US" sz="1600" b="1" kern="1200">
              <a:solidFill>
                <a:srgbClr val="0070C0"/>
              </a:solidFill>
            </a:rPr>
            <a:t>Annual</a:t>
          </a:r>
          <a:r>
            <a:rPr lang="en-US" sz="1600" b="1" kern="1200" baseline="0">
              <a:solidFill>
                <a:srgbClr val="0070C0"/>
              </a:solidFill>
            </a:rPr>
            <a:t> Target</a:t>
          </a:r>
          <a:endParaRPr lang="en-US" sz="1600" b="1" kern="1200">
            <a:solidFill>
              <a:srgbClr val="0070C0"/>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0.32685</cdr:x>
      <cdr:y>0.20603</cdr:y>
    </cdr:from>
    <cdr:to>
      <cdr:x>0.72222</cdr:x>
      <cdr:y>0.83565</cdr:y>
    </cdr:to>
    <cdr:sp macro="" textlink="'PT for Visuals'!$B$6">
      <cdr:nvSpPr>
        <cdr:cNvPr id="2" name="Oval 1">
          <a:extLst xmlns:a="http://schemas.openxmlformats.org/drawingml/2006/main">
            <a:ext uri="{FF2B5EF4-FFF2-40B4-BE49-F238E27FC236}">
              <a16:creationId xmlns:a16="http://schemas.microsoft.com/office/drawing/2014/main" id="{01366123-DE94-26E3-1FDF-CB36D0C47B3B}"/>
            </a:ext>
          </a:extLst>
        </cdr:cNvPr>
        <cdr:cNvSpPr/>
      </cdr:nvSpPr>
      <cdr:spPr>
        <a:xfrm xmlns:a="http://schemas.openxmlformats.org/drawingml/2006/main">
          <a:off x="1066800" y="520700"/>
          <a:ext cx="1290454" cy="1591238"/>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B6B8585E-55C4-064D-B6E5-C20970EE7051}" type="TxLink">
            <a:rPr lang="en-US" sz="1800" b="1" i="0" u="none" strike="noStrike" kern="1200">
              <a:solidFill>
                <a:srgbClr val="0070C0"/>
              </a:solidFill>
              <a:latin typeface="Aptos Narrow"/>
            </a:rPr>
            <a:pPr algn="ctr"/>
            <a:t>$575</a:t>
          </a:fld>
          <a:endParaRPr lang="en-US" sz="1600" b="1" kern="1200">
            <a:solidFill>
              <a:srgbClr val="0070C0"/>
            </a:solidFill>
          </a:endParaRPr>
        </a:p>
      </cdr:txBody>
    </cdr:sp>
  </cdr:relSizeAnchor>
  <cdr:relSizeAnchor xmlns:cdr="http://schemas.openxmlformats.org/drawingml/2006/chartDrawing">
    <cdr:from>
      <cdr:x>0.00278</cdr:x>
      <cdr:y>0.72864</cdr:y>
    </cdr:from>
    <cdr:to>
      <cdr:x>0.32222</cdr:x>
      <cdr:y>1</cdr:y>
    </cdr:to>
    <cdr:sp macro="" textlink="">
      <cdr:nvSpPr>
        <cdr:cNvPr id="3" name="Rectangle 2">
          <a:extLst xmlns:a="http://schemas.openxmlformats.org/drawingml/2006/main">
            <a:ext uri="{FF2B5EF4-FFF2-40B4-BE49-F238E27FC236}">
              <a16:creationId xmlns:a16="http://schemas.microsoft.com/office/drawing/2014/main" id="{3F3A44D4-B104-33EC-8D01-EEA5EB0590E8}"/>
            </a:ext>
          </a:extLst>
        </cdr:cNvPr>
        <cdr:cNvSpPr/>
      </cdr:nvSpPr>
      <cdr:spPr>
        <a:xfrm xmlns:a="http://schemas.openxmlformats.org/drawingml/2006/main">
          <a:off x="9074" y="1841500"/>
          <a:ext cx="1042620" cy="6858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600" b="1" kern="1200">
              <a:solidFill>
                <a:srgbClr val="0070C0"/>
              </a:solidFill>
            </a:rPr>
            <a:t>Total</a:t>
          </a:r>
          <a:r>
            <a:rPr lang="en-US" sz="1600" b="1" kern="1200" baseline="0">
              <a:solidFill>
                <a:srgbClr val="0070C0"/>
              </a:solidFill>
            </a:rPr>
            <a:t> Staked</a:t>
          </a:r>
          <a:endParaRPr lang="en-US" sz="1600" b="1" kern="1200">
            <a:solidFill>
              <a:srgbClr val="0070C0"/>
            </a:solidFill>
          </a:endParaRPr>
        </a:p>
      </cdr:txBody>
    </cdr:sp>
  </cdr:relSizeAnchor>
</c:userShapes>
</file>

<file path=xl/drawings/drawing4.xml><?xml version="1.0" encoding="utf-8"?>
<xdr:wsDr xmlns:xdr="http://schemas.openxmlformats.org/drawingml/2006/spreadsheetDrawing" xmlns:a="http://schemas.openxmlformats.org/drawingml/2006/main">
  <xdr:twoCellAnchor editAs="absolute">
    <xdr:from>
      <xdr:col>11</xdr:col>
      <xdr:colOff>88900</xdr:colOff>
      <xdr:row>0</xdr:row>
      <xdr:rowOff>720728</xdr:rowOff>
    </xdr:from>
    <xdr:to>
      <xdr:col>13</xdr:col>
      <xdr:colOff>266700</xdr:colOff>
      <xdr:row>13</xdr:row>
      <xdr:rowOff>177800</xdr:rowOff>
    </xdr:to>
    <mc:AlternateContent xmlns:mc="http://schemas.openxmlformats.org/markup-compatibility/2006" xmlns:sle15="http://schemas.microsoft.com/office/drawing/2012/slicer">
      <mc:Choice Requires="sle15">
        <xdr:graphicFrame macro="">
          <xdr:nvGraphicFramePr>
            <xdr:cNvPr id="2" name="League 1">
              <a:extLst>
                <a:ext uri="{FF2B5EF4-FFF2-40B4-BE49-F238E27FC236}">
                  <a16:creationId xmlns:a16="http://schemas.microsoft.com/office/drawing/2014/main" id="{57F7B80F-0150-7196-B991-9CF1CD6D8836}"/>
                </a:ext>
              </a:extLst>
            </xdr:cNvPr>
            <xdr:cNvGraphicFramePr/>
          </xdr:nvGraphicFramePr>
          <xdr:xfrm>
            <a:off x="0" y="0"/>
            <a:ext cx="0" cy="0"/>
          </xdr:xfrm>
          <a:graphic>
            <a:graphicData uri="http://schemas.microsoft.com/office/drawing/2010/slicer">
              <sle:slicer xmlns:sle="http://schemas.microsoft.com/office/drawing/2010/slicer" name="League 1"/>
            </a:graphicData>
          </a:graphic>
        </xdr:graphicFrame>
      </mc:Choice>
      <mc:Fallback xmlns="">
        <xdr:sp macro="" textlink="">
          <xdr:nvSpPr>
            <xdr:cNvPr id="0" name=""/>
            <xdr:cNvSpPr>
              <a:spLocks noTextEdit="1"/>
            </xdr:cNvSpPr>
          </xdr:nvSpPr>
          <xdr:spPr>
            <a:xfrm>
              <a:off x="16103600" y="720728"/>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88900</xdr:colOff>
      <xdr:row>13</xdr:row>
      <xdr:rowOff>177800</xdr:rowOff>
    </xdr:from>
    <xdr:to>
      <xdr:col>13</xdr:col>
      <xdr:colOff>266700</xdr:colOff>
      <xdr:row>26</xdr:row>
      <xdr:rowOff>155572</xdr:rowOff>
    </xdr:to>
    <mc:AlternateContent xmlns:mc="http://schemas.openxmlformats.org/markup-compatibility/2006" xmlns:sle15="http://schemas.microsoft.com/office/drawing/2012/slicer">
      <mc:Choice Requires="sle15">
        <xdr:graphicFrame macro="">
          <xdr:nvGraphicFramePr>
            <xdr:cNvPr id="3" name="Type 1">
              <a:extLst>
                <a:ext uri="{FF2B5EF4-FFF2-40B4-BE49-F238E27FC236}">
                  <a16:creationId xmlns:a16="http://schemas.microsoft.com/office/drawing/2014/main" id="{F902579E-A635-656E-872D-EABB30AFC0F5}"/>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16103600" y="3340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88900</xdr:colOff>
      <xdr:row>26</xdr:row>
      <xdr:rowOff>155572</xdr:rowOff>
    </xdr:from>
    <xdr:to>
      <xdr:col>13</xdr:col>
      <xdr:colOff>266700</xdr:colOff>
      <xdr:row>39</xdr:row>
      <xdr:rowOff>133344</xdr:rowOff>
    </xdr:to>
    <mc:AlternateContent xmlns:mc="http://schemas.openxmlformats.org/markup-compatibility/2006" xmlns:sle15="http://schemas.microsoft.com/office/drawing/2012/slicer">
      <mc:Choice Requires="sle15">
        <xdr:graphicFrame macro="">
          <xdr:nvGraphicFramePr>
            <xdr:cNvPr id="4" name="Sportsbook 1">
              <a:extLst>
                <a:ext uri="{FF2B5EF4-FFF2-40B4-BE49-F238E27FC236}">
                  <a16:creationId xmlns:a16="http://schemas.microsoft.com/office/drawing/2014/main" id="{94C28F41-4299-0C5E-F403-8007A3206D7D}"/>
                </a:ext>
              </a:extLst>
            </xdr:cNvPr>
            <xdr:cNvGraphicFramePr/>
          </xdr:nvGraphicFramePr>
          <xdr:xfrm>
            <a:off x="0" y="0"/>
            <a:ext cx="0" cy="0"/>
          </xdr:xfrm>
          <a:graphic>
            <a:graphicData uri="http://schemas.microsoft.com/office/drawing/2010/slicer">
              <sle:slicer xmlns:sle="http://schemas.microsoft.com/office/drawing/2010/slicer" name="Sportsbook 1"/>
            </a:graphicData>
          </a:graphic>
        </xdr:graphicFrame>
      </mc:Choice>
      <mc:Fallback xmlns="">
        <xdr:sp macro="" textlink="">
          <xdr:nvSpPr>
            <xdr:cNvPr id="0" name=""/>
            <xdr:cNvSpPr>
              <a:spLocks noTextEdit="1"/>
            </xdr:cNvSpPr>
          </xdr:nvSpPr>
          <xdr:spPr>
            <a:xfrm>
              <a:off x="16103600" y="5959472"/>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ur Mahendra" refreshedDate="45664.315989583331" createdVersion="8" refreshedVersion="8" minRefreshableVersion="3" recordCount="999" xr:uid="{D4795BED-5603-D747-8D6A-ABEE98C83280}">
  <cacheSource type="worksheet">
    <worksheetSource name="Bet_Log"/>
  </cacheSource>
  <cacheFields count="16">
    <cacheField name="Date" numFmtId="166">
      <sharedItems containsNonDate="0" containsDate="1" containsString="0" containsBlank="1" minDate="2025-01-01T00:00:00" maxDate="2025-01-06T00:00:00" count="6">
        <d v="2025-01-01T00:00:00"/>
        <d v="2025-01-02T00:00:00"/>
        <d v="2025-01-03T00:00:00"/>
        <d v="2025-01-04T00:00:00"/>
        <d v="2025-01-05T00:00:00"/>
        <m/>
      </sharedItems>
      <fieldGroup par="15"/>
    </cacheField>
    <cacheField name="League" numFmtId="0">
      <sharedItems containsBlank="1" count="13">
        <s v="NBA"/>
        <s v="NFL"/>
        <s v="eSports"/>
        <s v="UFC"/>
        <s v="ATP"/>
        <m/>
        <s v="MLB" u="1"/>
        <s v="NCAAF" u="1"/>
        <s v="Soccer" u="1"/>
        <s v="NHL" u="1"/>
        <s v="NCAAB" u="1"/>
        <s v="Tennis" u="1"/>
        <s v="MMA" u="1"/>
      </sharedItems>
    </cacheField>
    <cacheField name="Selection" numFmtId="0">
      <sharedItems containsBlank="1"/>
    </cacheField>
    <cacheField name="Type" numFmtId="0">
      <sharedItems containsBlank="1" count="12">
        <s v="Prop"/>
        <s v="Spread"/>
        <s v="Moneyline"/>
        <s v="Total"/>
        <m/>
        <s v="Parlay" u="1"/>
        <s v="Live bet" u="1"/>
        <s v="Arbitrage" u="1"/>
        <s v="Parlays" u="1"/>
        <s v="Props" u="1"/>
        <s v="Spreads" u="1"/>
        <s v="Totals" u="1"/>
      </sharedItems>
    </cacheField>
    <cacheField name="Stake" numFmtId="44">
      <sharedItems containsString="0" containsBlank="1" containsNumber="1" containsInteger="1" minValue="50" maxValue="140"/>
    </cacheField>
    <cacheField name="Odds" numFmtId="164">
      <sharedItems containsString="0" containsBlank="1" containsNumber="1" containsInteger="1" minValue="-210" maxValue="120" count="6">
        <n v="-110"/>
        <n v="-140"/>
        <n v="120"/>
        <n v="-210"/>
        <n v="-114"/>
        <m/>
      </sharedItems>
      <fieldGroup base="5">
        <rangePr autoStart="0" autoEnd="0" startNum="-250" endNum="250" groupInterval="125"/>
        <groupItems count="6">
          <s v="&lt;-250 or (blank)"/>
          <s v="-250--126"/>
          <s v="-125--1"/>
          <s v="0-124"/>
          <s v="125-250"/>
          <s v="&gt;250"/>
        </groupItems>
      </fieldGroup>
    </cacheField>
    <cacheField name="Decimal" numFmtId="2">
      <sharedItems containsMixedTypes="1" containsNumber="1" minValue="1.4761904761904763" maxValue="2.2000000000000002"/>
    </cacheField>
    <cacheField name="Result " numFmtId="0">
      <sharedItems containsBlank="1" count="4">
        <s v="Win"/>
        <s v="Loss"/>
        <m/>
        <s v="Push" u="1"/>
      </sharedItems>
    </cacheField>
    <cacheField name="Return" numFmtId="8">
      <sharedItems containsMixedTypes="1" containsNumber="1" minValue="-120" maxValue="100"/>
    </cacheField>
    <cacheField name="Net Profit" numFmtId="165">
      <sharedItems containsMixedTypes="1" containsNumber="1" minValue="35.714285714285722" maxValue="200"/>
    </cacheField>
    <cacheField name="Sportsbook" numFmtId="6">
      <sharedItems containsBlank="1" count="5">
        <s v="FanDuel"/>
        <s v="DraftKings"/>
        <s v="Bet365"/>
        <s v="Pinnacle"/>
        <m/>
      </sharedItems>
    </cacheField>
    <cacheField name="ROI" numFmtId="0" formula="Return/Stake" databaseField="0"/>
    <cacheField name="Win Rate" numFmtId="0" formula=" 0" databaseField="0"/>
    <cacheField name="winrate" numFmtId="0" formula="'Result '" databaseField="0"/>
    <cacheField name="Field1" numFmtId="0" formula=" 0" databaseField="0"/>
    <cacheField name="Months (Date)" numFmtId="0" databaseField="0">
      <fieldGroup base="0">
        <rangePr groupBy="months" startDate="2025-01-01T00:00:00" endDate="2025-01-06T00:00:00"/>
        <groupItems count="14">
          <s v="&lt;2025-01-01"/>
          <s v="Jan"/>
          <s v="Feb"/>
          <s v="Mar"/>
          <s v="Apr"/>
          <s v="May"/>
          <s v="Jun"/>
          <s v="Jul"/>
          <s v="Aug"/>
          <s v="Sep"/>
          <s v="Oct"/>
          <s v="Nov"/>
          <s v="Dec"/>
          <s v="&gt;2025-01-06"/>
        </groupItems>
      </fieldGroup>
    </cacheField>
  </cacheFields>
  <extLst>
    <ext xmlns:x14="http://schemas.microsoft.com/office/spreadsheetml/2009/9/main" uri="{725AE2AE-9491-48be-B2B4-4EB974FC3084}">
      <x14:pivotCacheDefinition pivotCacheId="16592774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x v="0"/>
    <x v="0"/>
    <s v="Giannis u30.5 points"/>
    <x v="0"/>
    <n v="110"/>
    <x v="0"/>
    <n v="1.9090909090909092"/>
    <x v="0"/>
    <n v="100"/>
    <n v="100"/>
    <x v="0"/>
  </r>
  <r>
    <x v="0"/>
    <x v="1"/>
    <s v="Mahomes o200.5 passing yards"/>
    <x v="0"/>
    <n v="140"/>
    <x v="1"/>
    <n v="1.7142857142857142"/>
    <x v="0"/>
    <n v="100"/>
    <n v="200"/>
    <x v="1"/>
  </r>
  <r>
    <x v="1"/>
    <x v="2"/>
    <s v="Spirit -1.5 maps"/>
    <x v="1"/>
    <n v="120"/>
    <x v="2"/>
    <n v="2.2000000000000002"/>
    <x v="1"/>
    <n v="-120"/>
    <n v="80"/>
    <x v="1"/>
  </r>
  <r>
    <x v="2"/>
    <x v="3"/>
    <s v="GSP"/>
    <x v="2"/>
    <n v="75"/>
    <x v="3"/>
    <n v="1.4761904761904763"/>
    <x v="0"/>
    <n v="35.714285714285722"/>
    <n v="115.71428571428572"/>
    <x v="2"/>
  </r>
  <r>
    <x v="3"/>
    <x v="4"/>
    <s v="Djokovic/Nadal u22.5"/>
    <x v="3"/>
    <n v="80"/>
    <x v="2"/>
    <n v="2.2000000000000002"/>
    <x v="1"/>
    <n v="-80"/>
    <n v="35.714285714285722"/>
    <x v="3"/>
  </r>
  <r>
    <x v="4"/>
    <x v="0"/>
    <s v="Raptors/Bucks o224.5 points"/>
    <x v="3"/>
    <n v="50"/>
    <x v="4"/>
    <n v="1.8771929824561404"/>
    <x v="0"/>
    <n v="43.859649122807014"/>
    <n v="79.573934837092736"/>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r>
    <x v="5"/>
    <x v="5"/>
    <m/>
    <x v="4"/>
    <m/>
    <x v="5"/>
    <s v=""/>
    <x v="2"/>
    <s v=""/>
    <s v=""/>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20C1ED-9E9A-5B4C-AE6E-BEFCF8AE6819}" name="Summary of Leagues" cacheId="2937"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chartFormat="6" rowHeaderCaption="League">
  <location ref="B4:G10" firstHeaderRow="0" firstDataRow="1" firstDataCol="1"/>
  <pivotFields count="16">
    <pivotField showAll="0">
      <items count="7">
        <item x="0"/>
        <item x="1"/>
        <item x="2"/>
        <item x="3"/>
        <item x="4"/>
        <item x="5"/>
        <item t="default"/>
      </items>
    </pivotField>
    <pivotField axis="axisRow" showAll="0">
      <items count="14">
        <item x="2"/>
        <item m="1" x="6"/>
        <item n="UFC" m="1" x="12"/>
        <item m="1" x="7"/>
        <item x="1"/>
        <item m="1" x="8"/>
        <item n="ATP" m="1" x="11"/>
        <item x="5"/>
        <item m="1" x="9"/>
        <item x="0"/>
        <item m="1" x="10"/>
        <item n="ATP2" x="4"/>
        <item n="UFC2" x="3"/>
        <item t="default"/>
      </items>
    </pivotField>
    <pivotField showAll="0"/>
    <pivotField showAll="0"/>
    <pivotField dataField="1" showAll="0"/>
    <pivotField showAll="0">
      <items count="7">
        <item x="0"/>
        <item x="1"/>
        <item x="2"/>
        <item x="3"/>
        <item x="4"/>
        <item x="5"/>
        <item t="default"/>
      </items>
    </pivotField>
    <pivotField showAll="0"/>
    <pivotField showAll="0"/>
    <pivotField dataField="1"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6">
    <i>
      <x/>
    </i>
    <i>
      <x v="4"/>
    </i>
    <i>
      <x v="9"/>
    </i>
    <i>
      <x v="11"/>
    </i>
    <i>
      <x v="12"/>
    </i>
    <i t="grand">
      <x/>
    </i>
  </rowItems>
  <colFields count="1">
    <field x="-2"/>
  </colFields>
  <colItems count="5">
    <i>
      <x/>
    </i>
    <i i="1">
      <x v="1"/>
    </i>
    <i i="2">
      <x v="2"/>
    </i>
    <i i="3">
      <x v="3"/>
    </i>
    <i i="4">
      <x v="4"/>
    </i>
  </colItems>
  <dataFields count="5">
    <dataField name="Total stakes" fld="8" subtotal="count" baseField="0" baseItem="0"/>
    <dataField name="Net Returns" fld="8" baseField="0" baseItem="0" numFmtId="8"/>
    <dataField name="Total staked" fld="4" baseField="0" baseItem="0" numFmtId="8"/>
    <dataField name="Average stake" fld="4" subtotal="average" baseField="0" baseItem="0" numFmtId="8"/>
    <dataField name="ROI %" fld="11" baseField="0" baseItem="0"/>
  </dataFields>
  <formats count="10">
    <format dxfId="302">
      <pivotArea collapsedLevelsAreSubtotals="1" fieldPosition="0">
        <references count="2">
          <reference field="4294967294" count="1" selected="0">
            <x v="4"/>
          </reference>
          <reference field="1" count="0"/>
        </references>
      </pivotArea>
    </format>
    <format dxfId="303">
      <pivotArea field="1" grandRow="1" outline="0" collapsedLevelsAreSubtotals="1" axis="axisRow" fieldPosition="0">
        <references count="1">
          <reference field="4294967294" count="1" selected="0">
            <x v="4"/>
          </reference>
        </references>
      </pivotArea>
    </format>
    <format dxfId="304">
      <pivotArea outline="0" collapsedLevelsAreSubtotals="1" fieldPosition="0">
        <references count="1">
          <reference field="4294967294" count="2" selected="0">
            <x v="1"/>
            <x v="2"/>
          </reference>
        </references>
      </pivotArea>
    </format>
    <format dxfId="305">
      <pivotArea outline="0" collapsedLevelsAreSubtotals="1" fieldPosition="0">
        <references count="1">
          <reference field="4294967294" count="1" selected="0">
            <x v="3"/>
          </reference>
        </references>
      </pivotArea>
    </format>
    <format dxfId="306">
      <pivotArea type="all" dataOnly="0" outline="0" fieldPosition="0"/>
    </format>
    <format dxfId="307">
      <pivotArea outline="0" collapsedLevelsAreSubtotals="1" fieldPosition="0"/>
    </format>
    <format dxfId="308">
      <pivotArea field="1" type="button" dataOnly="0" labelOnly="1" outline="0" axis="axisRow" fieldPosition="0"/>
    </format>
    <format dxfId="309">
      <pivotArea dataOnly="0" labelOnly="1" fieldPosition="0">
        <references count="1">
          <reference field="1" count="0"/>
        </references>
      </pivotArea>
    </format>
    <format dxfId="310">
      <pivotArea dataOnly="0" labelOnly="1" grandRow="1" outline="0" fieldPosition="0"/>
    </format>
    <format dxfId="311">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filters count="1">
    <filter fld="1" type="captionNotEqual"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77FAEC-5AE3-5647-82C4-D03ADBCEA3D9}" name="PivotTable15" cacheId="2937"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32">
  <location ref="I4:J10" firstHeaderRow="1" firstDataRow="1" firstDataCol="1"/>
  <pivotFields count="16">
    <pivotField showAll="0">
      <items count="7">
        <item x="0"/>
        <item x="1"/>
        <item x="2"/>
        <item x="3"/>
        <item x="4"/>
        <item x="5"/>
        <item t="default"/>
      </items>
    </pivotField>
    <pivotField axis="axisRow" showAll="0">
      <items count="14">
        <item x="2"/>
        <item m="1" x="6"/>
        <item n="UFC" m="1" x="12"/>
        <item m="1" x="7"/>
        <item x="1"/>
        <item m="1" x="8"/>
        <item n="ATP" m="1" x="11"/>
        <item x="5"/>
        <item m="1" x="9"/>
        <item x="0"/>
        <item m="1" x="10"/>
        <item n="ATP2" x="4"/>
        <item n="UFC2" x="3"/>
        <item t="default"/>
      </items>
    </pivotField>
    <pivotField showAll="0"/>
    <pivotField showAll="0"/>
    <pivotField dataField="1" showAll="0"/>
    <pivotField showAll="0">
      <items count="7">
        <item x="0"/>
        <item x="1"/>
        <item x="2"/>
        <item x="3"/>
        <item x="4"/>
        <item x="5"/>
        <item t="default"/>
      </items>
    </pivotField>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6">
    <i>
      <x/>
    </i>
    <i>
      <x v="4"/>
    </i>
    <i>
      <x v="9"/>
    </i>
    <i>
      <x v="11"/>
    </i>
    <i>
      <x v="12"/>
    </i>
    <i t="grand">
      <x/>
    </i>
  </rowItems>
  <colItems count="1">
    <i/>
  </colItems>
  <dataFields count="1">
    <dataField name="Sum of Stake" fld="4" showDataAs="percentOfTotal" baseField="0" baseItem="0" numFmtId="10"/>
  </dataFields>
  <formats count="6">
    <format dxfId="296">
      <pivotArea type="all" dataOnly="0" outline="0" fieldPosition="0"/>
    </format>
    <format dxfId="297">
      <pivotArea outline="0" collapsedLevelsAreSubtotals="1" fieldPosition="0"/>
    </format>
    <format dxfId="298">
      <pivotArea field="1" type="button" dataOnly="0" labelOnly="1" outline="0" axis="axisRow" fieldPosition="0"/>
    </format>
    <format dxfId="299">
      <pivotArea dataOnly="0" labelOnly="1" fieldPosition="0">
        <references count="1">
          <reference field="1" count="0"/>
        </references>
      </pivotArea>
    </format>
    <format dxfId="300">
      <pivotArea dataOnly="0" labelOnly="1" grandRow="1" outline="0" fieldPosition="0"/>
    </format>
    <format dxfId="301">
      <pivotArea dataOnly="0" labelOnly="1" outline="0" axis="axisValues" fieldPosition="0"/>
    </format>
  </formats>
  <chartFormats count="11">
    <chartFormat chart="12" format="10" series="1">
      <pivotArea type="data" outline="0" fieldPosition="0">
        <references count="1">
          <reference field="4294967294" count="1" selected="0">
            <x v="0"/>
          </reference>
        </references>
      </pivotArea>
    </chartFormat>
    <chartFormat chart="12" format="11">
      <pivotArea type="data" outline="0" fieldPosition="0">
        <references count="2">
          <reference field="4294967294" count="1" selected="0">
            <x v="0"/>
          </reference>
          <reference field="1" count="1" selected="0">
            <x v="0"/>
          </reference>
        </references>
      </pivotArea>
    </chartFormat>
    <chartFormat chart="12" format="12">
      <pivotArea type="data" outline="0" fieldPosition="0">
        <references count="2">
          <reference field="4294967294" count="1" selected="0">
            <x v="0"/>
          </reference>
          <reference field="1" count="1" selected="0">
            <x v="1"/>
          </reference>
        </references>
      </pivotArea>
    </chartFormat>
    <chartFormat chart="12" format="13">
      <pivotArea type="data" outline="0" fieldPosition="0">
        <references count="2">
          <reference field="4294967294" count="1" selected="0">
            <x v="0"/>
          </reference>
          <reference field="1" count="1" selected="0">
            <x v="2"/>
          </reference>
        </references>
      </pivotArea>
    </chartFormat>
    <chartFormat chart="12" format="14">
      <pivotArea type="data" outline="0" fieldPosition="0">
        <references count="2">
          <reference field="4294967294" count="1" selected="0">
            <x v="0"/>
          </reference>
          <reference field="1" count="1" selected="0">
            <x v="3"/>
          </reference>
        </references>
      </pivotArea>
    </chartFormat>
    <chartFormat chart="12" format="15">
      <pivotArea type="data" outline="0" fieldPosition="0">
        <references count="2">
          <reference field="4294967294" count="1" selected="0">
            <x v="0"/>
          </reference>
          <reference field="1" count="1" selected="0">
            <x v="4"/>
          </reference>
        </references>
      </pivotArea>
    </chartFormat>
    <chartFormat chart="12" format="16">
      <pivotArea type="data" outline="0" fieldPosition="0">
        <references count="2">
          <reference field="4294967294" count="1" selected="0">
            <x v="0"/>
          </reference>
          <reference field="1" count="1" selected="0">
            <x v="5"/>
          </reference>
        </references>
      </pivotArea>
    </chartFormat>
    <chartFormat chart="12" format="17">
      <pivotArea type="data" outline="0" fieldPosition="0">
        <references count="2">
          <reference field="4294967294" count="1" selected="0">
            <x v="0"/>
          </reference>
          <reference field="1" count="1" selected="0">
            <x v="6"/>
          </reference>
        </references>
      </pivotArea>
    </chartFormat>
    <chartFormat chart="12" format="18">
      <pivotArea type="data" outline="0" fieldPosition="0">
        <references count="2">
          <reference field="4294967294" count="1" selected="0">
            <x v="0"/>
          </reference>
          <reference field="1" count="1" selected="0">
            <x v="9"/>
          </reference>
        </references>
      </pivotArea>
    </chartFormat>
    <chartFormat chart="12" format="19">
      <pivotArea type="data" outline="0" fieldPosition="0">
        <references count="2">
          <reference field="4294967294" count="1" selected="0">
            <x v="0"/>
          </reference>
          <reference field="1" count="1" selected="0">
            <x v="8"/>
          </reference>
        </references>
      </pivotArea>
    </chartFormat>
    <chartFormat chart="12" format="20">
      <pivotArea type="data" outline="0" fieldPosition="0">
        <references count="2">
          <reference field="4294967294" count="1" selected="0">
            <x v="0"/>
          </reference>
          <reference field="1" count="1" selected="0">
            <x v="10"/>
          </reference>
        </references>
      </pivotArea>
    </chartFormat>
  </chartFormats>
  <pivotTableStyleInfo name="PivotStyleLight16" showRowHeaders="1" showColHeaders="1" showRowStripes="0" showColStripes="0" showLastColumn="1"/>
  <filters count="1">
    <filter fld="1"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C7C751-708F-5A46-82A0-361B50FB6A2C}" name="PivotTable4" cacheId="2937" applyNumberFormats="0" applyBorderFormats="0" applyFontFormats="0" applyPatternFormats="0" applyAlignmentFormats="0" applyWidthHeightFormats="1" dataCaption="Values" missingCaption="0" updatedVersion="8" minRefreshableVersion="3" colGrandTotals="0" itemPrintTitles="1" createdVersion="8" indent="0" outline="1" outlineData="1" multipleFieldFilters="0" rowHeaderCaption="League" colHeaderCaption="Win Rate">
  <location ref="I44:K51" firstHeaderRow="1" firstDataRow="2" firstDataCol="1"/>
  <pivotFields count="16">
    <pivotField showAll="0">
      <items count="7">
        <item x="0"/>
        <item x="1"/>
        <item x="2"/>
        <item x="3"/>
        <item x="4"/>
        <item x="5"/>
        <item t="default"/>
      </items>
    </pivotField>
    <pivotField axis="axisRow" showAll="0">
      <items count="14">
        <item x="2"/>
        <item m="1" x="6"/>
        <item n="UFC" m="1" x="12"/>
        <item m="1" x="7"/>
        <item x="1"/>
        <item m="1" x="9"/>
        <item m="1" x="8"/>
        <item n="ATP" m="1" x="11"/>
        <item x="5"/>
        <item x="0"/>
        <item m="1" x="10"/>
        <item n="ATP2" x="4"/>
        <item n="UFC2" x="3"/>
        <item t="default"/>
      </items>
    </pivotField>
    <pivotField showAll="0"/>
    <pivotField showAll="0"/>
    <pivotField showAll="0"/>
    <pivotField showAll="0">
      <items count="7">
        <item x="0"/>
        <item x="1"/>
        <item x="2"/>
        <item x="3"/>
        <item x="4"/>
        <item x="5"/>
        <item t="default"/>
      </items>
    </pivotField>
    <pivotField showAll="0"/>
    <pivotField axis="axisCol" dataField="1" showAll="0">
      <items count="5">
        <item x="0"/>
        <item x="1"/>
        <item h="1" m="1" x="3"/>
        <item h="1" x="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6">
    <i>
      <x/>
    </i>
    <i>
      <x v="4"/>
    </i>
    <i>
      <x v="9"/>
    </i>
    <i>
      <x v="11"/>
    </i>
    <i>
      <x v="12"/>
    </i>
    <i t="grand">
      <x/>
    </i>
  </rowItems>
  <colFields count="1">
    <field x="7"/>
  </colFields>
  <colItems count="2">
    <i>
      <x/>
    </i>
    <i>
      <x v="1"/>
    </i>
  </colItems>
  <dataFields count="1">
    <dataField name="Table 4" fld="7" subtotal="count" baseField="0" baseItem="0" numFmtId="10">
      <extLst>
        <ext xmlns:x14="http://schemas.microsoft.com/office/spreadsheetml/2009/9/main" uri="{E15A36E0-9728-4e99-A89B-3F7291B0FE68}">
          <x14:dataField pivotShowAs="percentOfParentCol"/>
        </ext>
      </extLst>
    </dataField>
  </dataFields>
  <formats count="12">
    <format dxfId="284">
      <pivotArea type="all" dataOnly="0" outline="0" fieldPosition="0"/>
    </format>
    <format dxfId="285">
      <pivotArea dataOnly="0" labelOnly="1" grandCol="1" outline="0" fieldPosition="0"/>
    </format>
    <format dxfId="286">
      <pivotArea outline="0" fieldPosition="0">
        <references count="1">
          <reference field="4294967294" count="1">
            <x v="0"/>
          </reference>
        </references>
      </pivotArea>
    </format>
    <format dxfId="287">
      <pivotArea type="all" dataOnly="0" outline="0" fieldPosition="0"/>
    </format>
    <format dxfId="288">
      <pivotArea outline="0" collapsedLevelsAreSubtotals="1" fieldPosition="0"/>
    </format>
    <format dxfId="289">
      <pivotArea type="origin" dataOnly="0" labelOnly="1" outline="0" fieldPosition="0"/>
    </format>
    <format dxfId="290">
      <pivotArea field="7" type="button" dataOnly="0" labelOnly="1" outline="0" axis="axisCol" fieldPosition="0"/>
    </format>
    <format dxfId="291">
      <pivotArea type="topRight" dataOnly="0" labelOnly="1" outline="0" fieldPosition="0"/>
    </format>
    <format dxfId="292">
      <pivotArea field="1" type="button" dataOnly="0" labelOnly="1" outline="0" axis="axisRow" fieldPosition="0"/>
    </format>
    <format dxfId="293">
      <pivotArea dataOnly="0" labelOnly="1" fieldPosition="0">
        <references count="1">
          <reference field="1" count="0"/>
        </references>
      </pivotArea>
    </format>
    <format dxfId="294">
      <pivotArea dataOnly="0" labelOnly="1" grandRow="1" outline="0" fieldPosition="0"/>
    </format>
    <format dxfId="295">
      <pivotArea dataOnly="0" labelOnly="1" fieldPosition="0">
        <references count="1">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CD4574-4439-534C-AD53-9916AF2D3EF0}" name="PivotTable11" cacheId="2937"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chartFormat="1" rowHeaderCaption="League" colHeaderCaption="Bet Type">
  <location ref="B19:G26" firstHeaderRow="1" firstDataRow="2" firstDataCol="1"/>
  <pivotFields count="16">
    <pivotField showAll="0">
      <items count="7">
        <item x="0"/>
        <item x="1"/>
        <item x="2"/>
        <item x="3"/>
        <item x="4"/>
        <item x="5"/>
        <item t="default"/>
      </items>
    </pivotField>
    <pivotField axis="axisRow" showAll="0">
      <items count="14">
        <item x="2"/>
        <item m="1" x="6"/>
        <item n="UFC" m="1" x="12"/>
        <item m="1" x="7"/>
        <item x="1"/>
        <item m="1" x="8"/>
        <item n="ATP" m="1" x="11"/>
        <item x="5"/>
        <item m="1" x="9"/>
        <item x="0"/>
        <item m="1" x="10"/>
        <item n="ATP2" x="4"/>
        <item n="UFC2" x="3"/>
        <item t="default"/>
      </items>
    </pivotField>
    <pivotField showAll="0"/>
    <pivotField axis="axisCol" showAll="0">
      <items count="13">
        <item x="2"/>
        <item m="1" x="8"/>
        <item m="1" x="9"/>
        <item m="1" x="10"/>
        <item x="3"/>
        <item x="4"/>
        <item m="1" x="7"/>
        <item m="1" x="6"/>
        <item m="1" x="11"/>
        <item x="1"/>
        <item x="0"/>
        <item m="1" x="5"/>
        <item t="default"/>
      </items>
    </pivotField>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6">
    <i>
      <x/>
    </i>
    <i>
      <x v="4"/>
    </i>
    <i>
      <x v="9"/>
    </i>
    <i>
      <x v="11"/>
    </i>
    <i>
      <x v="12"/>
    </i>
    <i t="grand">
      <x/>
    </i>
  </rowItems>
  <colFields count="1">
    <field x="3"/>
  </colFields>
  <colItems count="5">
    <i>
      <x/>
    </i>
    <i>
      <x v="4"/>
    </i>
    <i>
      <x v="9"/>
    </i>
    <i>
      <x v="10"/>
    </i>
    <i t="grand">
      <x/>
    </i>
  </colItems>
  <dataFields count="1">
    <dataField name="Table 2" fld="8" baseField="0" baseItem="0" numFmtId="8"/>
  </dataFields>
  <formats count="11">
    <format dxfId="273">
      <pivotArea outline="0" collapsedLevelsAreSubtotals="1" fieldPosition="0"/>
    </format>
    <format dxfId="274">
      <pivotArea type="all" dataOnly="0" outline="0" fieldPosition="0"/>
    </format>
    <format dxfId="275">
      <pivotArea outline="0" collapsedLevelsAreSubtotals="1" fieldPosition="0"/>
    </format>
    <format dxfId="276">
      <pivotArea type="origin" dataOnly="0" labelOnly="1" outline="0" fieldPosition="0"/>
    </format>
    <format dxfId="277">
      <pivotArea field="3" type="button" dataOnly="0" labelOnly="1" outline="0" axis="axisCol" fieldPosition="0"/>
    </format>
    <format dxfId="278">
      <pivotArea type="topRight" dataOnly="0" labelOnly="1" outline="0" fieldPosition="0"/>
    </format>
    <format dxfId="279">
      <pivotArea field="1" type="button" dataOnly="0" labelOnly="1" outline="0" axis="axisRow" fieldPosition="0"/>
    </format>
    <format dxfId="280">
      <pivotArea dataOnly="0" labelOnly="1" fieldPosition="0">
        <references count="1">
          <reference field="1" count="0"/>
        </references>
      </pivotArea>
    </format>
    <format dxfId="281">
      <pivotArea dataOnly="0" labelOnly="1" grandRow="1" outline="0" fieldPosition="0"/>
    </format>
    <format dxfId="282">
      <pivotArea dataOnly="0" labelOnly="1" fieldPosition="0">
        <references count="1">
          <reference field="3" count="0"/>
        </references>
      </pivotArea>
    </format>
    <format dxfId="283">
      <pivotArea dataOnly="0" labelOnly="1" grandCol="1" outline="0" fieldPosition="0"/>
    </format>
  </formats>
  <pivotTableStyleInfo name="PivotStyleLight16" showRowHeaders="1" showColHeaders="1" showRowStripes="0" showColStripes="0" showLastColumn="1"/>
  <filters count="1">
    <filter fld="1"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85AD23-A328-E449-86A7-8C751EA3E2E9}" name="PivotTable1" cacheId="2937"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location ref="B47:E54" firstHeaderRow="1" firstDataRow="2" firstDataCol="1"/>
  <pivotFields count="16">
    <pivotField showAll="0">
      <items count="7">
        <item x="0"/>
        <item x="1"/>
        <item x="2"/>
        <item x="3"/>
        <item x="4"/>
        <item x="5"/>
        <item t="default"/>
      </items>
    </pivotField>
    <pivotField axis="axisRow" showAll="0">
      <items count="14">
        <item x="2"/>
        <item m="1" x="6"/>
        <item n="UFC" m="1" x="12"/>
        <item m="1" x="7"/>
        <item x="1"/>
        <item m="1" x="9"/>
        <item m="1" x="8"/>
        <item n="ATP" m="1" x="11"/>
        <item x="5"/>
        <item x="0"/>
        <item m="1" x="10"/>
        <item n="ATP2" x="4"/>
        <item n="UFC2" x="3"/>
        <item t="default"/>
      </items>
    </pivotField>
    <pivotField showAll="0"/>
    <pivotField showAll="0"/>
    <pivotField showAll="0"/>
    <pivotField showAll="0">
      <items count="7">
        <item x="0"/>
        <item x="1"/>
        <item x="2"/>
        <item x="3"/>
        <item x="4"/>
        <item x="5"/>
        <item t="default"/>
      </items>
    </pivotField>
    <pivotField showAll="0"/>
    <pivotField axis="axisCol" dataField="1" showAll="0">
      <items count="5">
        <item x="0"/>
        <item x="1"/>
        <item m="1" x="3"/>
        <item x="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6">
    <i>
      <x/>
    </i>
    <i>
      <x v="4"/>
    </i>
    <i>
      <x v="9"/>
    </i>
    <i>
      <x v="11"/>
    </i>
    <i>
      <x v="12"/>
    </i>
    <i t="grand">
      <x/>
    </i>
  </rowItems>
  <colFields count="1">
    <field x="7"/>
  </colFields>
  <colItems count="3">
    <i>
      <x/>
    </i>
    <i>
      <x v="1"/>
    </i>
    <i t="grand">
      <x/>
    </i>
  </colItems>
  <dataFields count="1">
    <dataField name="Count of Result " fld="7" subtotal="count" baseField="0" baseItem="0"/>
  </dataFields>
  <formats count="10">
    <format dxfId="263">
      <pivotArea type="all" dataOnly="0" outline="0" fieldPosition="0"/>
    </format>
    <format dxfId="264">
      <pivotArea outline="0" collapsedLevelsAreSubtotals="1" fieldPosition="0"/>
    </format>
    <format dxfId="265">
      <pivotArea type="origin" dataOnly="0" labelOnly="1" outline="0" fieldPosition="0"/>
    </format>
    <format dxfId="266">
      <pivotArea field="7" type="button" dataOnly="0" labelOnly="1" outline="0" axis="axisCol" fieldPosition="0"/>
    </format>
    <format dxfId="267">
      <pivotArea type="topRight" dataOnly="0" labelOnly="1" outline="0" fieldPosition="0"/>
    </format>
    <format dxfId="268">
      <pivotArea field="1" type="button" dataOnly="0" labelOnly="1" outline="0" axis="axisRow" fieldPosition="0"/>
    </format>
    <format dxfId="269">
      <pivotArea dataOnly="0" labelOnly="1" fieldPosition="0">
        <references count="1">
          <reference field="1" count="8">
            <x v="0"/>
            <x v="1"/>
            <x v="2"/>
            <x v="3"/>
            <x v="4"/>
            <x v="5"/>
            <x v="6"/>
            <x v="7"/>
          </reference>
        </references>
      </pivotArea>
    </format>
    <format dxfId="270">
      <pivotArea dataOnly="0" labelOnly="1" grandRow="1" outline="0" fieldPosition="0"/>
    </format>
    <format dxfId="271">
      <pivotArea dataOnly="0" labelOnly="1" fieldPosition="0">
        <references count="1">
          <reference field="7" count="0"/>
        </references>
      </pivotArea>
    </format>
    <format dxfId="272">
      <pivotArea dataOnly="0" labelOnly="1" grandCol="1" outline="0" fieldPosition="0"/>
    </format>
  </formats>
  <pivotTableStyleInfo name="PivotStyleLight16" showRowHeaders="1" showColHeaders="1" showRowStripes="0" showColStripes="0" showLastColumn="1"/>
  <filters count="1">
    <filter fld="7"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0E1792-EB61-BA42-A4BF-5140D66D992D}" name="PivotTable14" cacheId="2937"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chartFormat="3" rowHeaderCaption="Sportsbook">
  <location ref="B38:F43" firstHeaderRow="0" firstDataRow="1" firstDataCol="1"/>
  <pivotFields count="16">
    <pivotField showAll="0">
      <items count="7">
        <item x="0"/>
        <item x="1"/>
        <item x="2"/>
        <item x="3"/>
        <item x="4"/>
        <item x="5"/>
        <item t="default"/>
      </items>
    </pivotField>
    <pivotField showAll="0"/>
    <pivotField showAll="0"/>
    <pivotField showAll="0"/>
    <pivotField dataField="1" showAll="0"/>
    <pivotField showAll="0">
      <items count="7">
        <item x="0"/>
        <item x="1"/>
        <item x="2"/>
        <item x="3"/>
        <item x="4"/>
        <item x="5"/>
        <item t="default"/>
      </items>
    </pivotField>
    <pivotField showAll="0"/>
    <pivotField showAll="0"/>
    <pivotField dataField="1" showAll="0"/>
    <pivotField showAll="0"/>
    <pivotField axis="axisRow" showAll="0">
      <items count="6">
        <item x="2"/>
        <item x="1"/>
        <item x="0"/>
        <item x="3"/>
        <item x="4"/>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0"/>
  </rowFields>
  <rowItems count="5">
    <i>
      <x/>
    </i>
    <i>
      <x v="1"/>
    </i>
    <i>
      <x v="2"/>
    </i>
    <i>
      <x v="3"/>
    </i>
    <i t="grand">
      <x/>
    </i>
  </rowItems>
  <colFields count="1">
    <field x="-2"/>
  </colFields>
  <colItems count="4">
    <i>
      <x/>
    </i>
    <i i="1">
      <x v="1"/>
    </i>
    <i i="2">
      <x v="2"/>
    </i>
    <i i="3">
      <x v="3"/>
    </i>
  </colItems>
  <dataFields count="4">
    <dataField name="Total staked" fld="4" baseField="0" baseItem="0" numFmtId="8"/>
    <dataField name="Bet share" fld="4" showDataAs="percentOfTotal" baseField="0" baseItem="0" numFmtId="10"/>
    <dataField name="Net Return" fld="8" baseField="0" baseItem="0" numFmtId="8"/>
    <dataField name="Profit share" fld="8" showDataAs="percentOfTotal" baseField="0" baseItem="0" numFmtId="10"/>
  </dataFields>
  <formats count="8">
    <format dxfId="255">
      <pivotArea outline="0" collapsedLevelsAreSubtotals="1" fieldPosition="0">
        <references count="1">
          <reference field="4294967294" count="1" selected="0">
            <x v="0"/>
          </reference>
        </references>
      </pivotArea>
    </format>
    <format dxfId="256">
      <pivotArea outline="0" collapsedLevelsAreSubtotals="1" fieldPosition="0">
        <references count="1">
          <reference field="4294967294" count="1" selected="0">
            <x v="2"/>
          </reference>
        </references>
      </pivotArea>
    </format>
    <format dxfId="257">
      <pivotArea type="all" dataOnly="0" outline="0" fieldPosition="0"/>
    </format>
    <format dxfId="258">
      <pivotArea outline="0" collapsedLevelsAreSubtotals="1" fieldPosition="0"/>
    </format>
    <format dxfId="259">
      <pivotArea field="10" type="button" dataOnly="0" labelOnly="1" outline="0" axis="axisRow" fieldPosition="0"/>
    </format>
    <format dxfId="260">
      <pivotArea dataOnly="0" labelOnly="1" fieldPosition="0">
        <references count="1">
          <reference field="10" count="0"/>
        </references>
      </pivotArea>
    </format>
    <format dxfId="261">
      <pivotArea dataOnly="0" labelOnly="1" grandRow="1" outline="0" fieldPosition="0"/>
    </format>
    <format dxfId="26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filters count="1">
    <filter fld="10"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CC4A3C9-3756-8C44-B509-797C5F97DCBD}" name="PivotTable24" cacheId="293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6">
  <location ref="N24:O26" firstHeaderRow="1" firstDataRow="1" firstDataCol="1"/>
  <pivotFields count="16">
    <pivotField multipleItemSelectionAllowed="1" showAll="0" measureFilter="1">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axis="axisRow" showAll="0">
      <items count="15">
        <item h="1" x="0"/>
        <item x="1"/>
        <item x="2"/>
        <item x="3"/>
        <item x="4"/>
        <item x="5"/>
        <item x="6"/>
        <item x="7"/>
        <item x="8"/>
        <item x="9"/>
        <item x="10"/>
        <item x="11"/>
        <item x="12"/>
        <item x="13"/>
        <item t="default"/>
      </items>
    </pivotField>
  </pivotFields>
  <rowFields count="1">
    <field x="15"/>
  </rowFields>
  <rowItems count="2">
    <i>
      <x v="1"/>
    </i>
    <i t="grand">
      <x/>
    </i>
  </rowItems>
  <colItems count="1">
    <i/>
  </colItems>
  <dataFields count="1">
    <dataField name="Sum of Return" fld="8" baseField="0" baseItem="0" numFmtId="8"/>
  </dataFields>
  <formats count="2">
    <format dxfId="209">
      <pivotArea outline="0" collapsedLevelsAreSubtotals="1" fieldPosition="0"/>
    </format>
    <format dxfId="210">
      <pivotArea outline="0" fieldPosition="0">
        <references count="1">
          <reference field="4294967294" count="1">
            <x v="0"/>
          </reference>
        </references>
      </pivotArea>
    </format>
  </formats>
  <chartFormats count="4">
    <chartFormat chart="18" format="32" series="1">
      <pivotArea type="data" outline="0" fieldPosition="0">
        <references count="1">
          <reference field="4294967294" count="1" selected="0">
            <x v="0"/>
          </reference>
        </references>
      </pivotArea>
    </chartFormat>
    <chartFormat chart="19" format="61"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8A18A4-534E-C643-AC13-F3DA84AF60CD}" name="PivotTable23"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B6" firstHeaderRow="1" firstDataRow="1" firstDataCol="0"/>
  <pivotFields count="16">
    <pivotField showAll="0">
      <items count="7">
        <item x="0"/>
        <item x="1"/>
        <item x="2"/>
        <item x="3"/>
        <item x="4"/>
        <item x="5"/>
        <item t="default"/>
      </items>
    </pivotField>
    <pivotField showAll="0"/>
    <pivotField showAll="0"/>
    <pivotField showAll="0"/>
    <pivotField dataField="1" showAll="0"/>
    <pivotField showAll="0">
      <items count="7">
        <item x="0"/>
        <item x="1"/>
        <item x="2"/>
        <item x="3"/>
        <item x="4"/>
        <item x="5"/>
        <item t="default"/>
      </items>
    </pivotField>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Stake" fld="4" baseField="0" baseItem="0" numFmtId="167"/>
  </dataFields>
  <formats count="2">
    <format dxfId="253">
      <pivotArea outline="0" collapsedLevelsAreSubtotals="1" fieldPosition="0"/>
    </format>
    <format dxfId="2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A2734F7-1E7F-7646-8E73-5A335D6110EC}" name="PivotTable22"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27:C33" firstHeaderRow="1" firstDataRow="1" firstDataCol="1"/>
  <pivotFields count="16">
    <pivotField showAll="0">
      <items count="7">
        <item x="0"/>
        <item x="1"/>
        <item x="2"/>
        <item x="3"/>
        <item x="4"/>
        <item x="5"/>
        <item t="default"/>
      </items>
    </pivotField>
    <pivotField showAll="0"/>
    <pivotField showAll="0"/>
    <pivotField axis="axisRow" showAll="0">
      <items count="13">
        <item m="1" x="7"/>
        <item m="1" x="6"/>
        <item x="2"/>
        <item m="1" x="5"/>
        <item m="1" x="8"/>
        <item x="0"/>
        <item m="1" x="9"/>
        <item x="1"/>
        <item m="1" x="10"/>
        <item x="3"/>
        <item m="1" x="11"/>
        <item x="4"/>
        <item t="default"/>
      </items>
    </pivotField>
    <pivotField showAll="0"/>
    <pivotField showAll="0">
      <items count="7">
        <item x="0"/>
        <item x="1"/>
        <item x="2"/>
        <item x="3"/>
        <item x="4"/>
        <item x="5"/>
        <item t="default"/>
      </items>
    </pivotField>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3"/>
  </rowFields>
  <rowItems count="6">
    <i>
      <x v="2"/>
    </i>
    <i>
      <x v="5"/>
    </i>
    <i>
      <x v="7"/>
    </i>
    <i>
      <x v="9"/>
    </i>
    <i>
      <x v="11"/>
    </i>
    <i t="grand">
      <x/>
    </i>
  </rowItems>
  <colItems count="1">
    <i/>
  </colItems>
  <dataFields count="1">
    <dataField name="Sum of ROI" fld="11" baseField="0" baseItem="0" numFmtId="10"/>
  </dataFields>
  <formats count="1">
    <format dxfId="252">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0827AEA-FECE-B74C-AD5B-12E008D592D6}" name="PivotTable8"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S37:T42" firstHeaderRow="1" firstDataRow="1" firstDataCol="1"/>
  <pivotFields count="16">
    <pivotField numFmtId="166" showAll="0">
      <items count="7">
        <item x="0"/>
        <item x="1"/>
        <item x="2"/>
        <item x="3"/>
        <item x="4"/>
        <item x="5"/>
        <item t="default"/>
      </items>
    </pivotField>
    <pivotField showAll="0"/>
    <pivotField showAll="0"/>
    <pivotField showAll="0"/>
    <pivotField numFmtId="44" showAll="0"/>
    <pivotField numFmtId="164" showAll="0">
      <items count="7">
        <item x="0"/>
        <item x="1"/>
        <item x="2"/>
        <item x="3"/>
        <item x="4"/>
        <item x="5"/>
        <item t="default"/>
      </items>
    </pivotField>
    <pivotField numFmtId="2" showAll="0"/>
    <pivotField showAll="0"/>
    <pivotField dataField="1" numFmtId="8" showAll="0"/>
    <pivotField numFmtId="165" showAll="0"/>
    <pivotField axis="axisRow" showAll="0">
      <items count="6">
        <item x="2"/>
        <item x="1"/>
        <item x="0"/>
        <item x="3"/>
        <item h="1" x="4"/>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0"/>
  </rowFields>
  <rowItems count="5">
    <i>
      <x/>
    </i>
    <i>
      <x v="1"/>
    </i>
    <i>
      <x v="2"/>
    </i>
    <i>
      <x v="3"/>
    </i>
    <i t="grand">
      <x/>
    </i>
  </rowItems>
  <colItems count="1">
    <i/>
  </colItems>
  <dataFields count="1">
    <dataField name="Sum of Return" fld="8" baseField="0" baseItem="0" numFmtId="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28ABCE4-BBFA-9E41-BA27-5299A55DCBCB}" name="PivotTable21"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13:C17" firstHeaderRow="1" firstDataRow="1" firstDataCol="1"/>
  <pivotFields count="16">
    <pivotField showAll="0">
      <items count="7">
        <item x="0"/>
        <item x="1"/>
        <item x="2"/>
        <item x="3"/>
        <item x="4"/>
        <item x="5"/>
        <item t="default"/>
      </items>
    </pivotField>
    <pivotField axis="axisRow" showAll="0">
      <items count="14">
        <item h="1" x="4"/>
        <item x="2"/>
        <item h="1" m="1" x="6"/>
        <item h="1" m="1" x="12"/>
        <item x="0"/>
        <item h="1" m="1" x="10"/>
        <item m="1" x="7"/>
        <item x="1"/>
        <item h="1" m="1" x="9"/>
        <item m="1" x="8"/>
        <item h="1" m="1" x="11"/>
        <item h="1" x="3"/>
        <item h="1" x="5"/>
        <item t="default"/>
      </items>
    </pivotField>
    <pivotField showAll="0"/>
    <pivotField showAll="0"/>
    <pivotField dataField="1" showAll="0"/>
    <pivotField showAll="0">
      <items count="7">
        <item x="0"/>
        <item x="1"/>
        <item x="2"/>
        <item x="3"/>
        <item x="4"/>
        <item x="5"/>
        <item t="default"/>
      </items>
    </pivotField>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v="1"/>
    </i>
    <i>
      <x v="4"/>
    </i>
    <i>
      <x v="7"/>
    </i>
    <i t="grand">
      <x/>
    </i>
  </rowItems>
  <colItems count="1">
    <i/>
  </colItems>
  <dataFields count="1">
    <dataField name="Sum of Stake" fld="4" showDataAs="percentOfCol" baseField="0" baseItem="0" numFmtId="10"/>
  </dataFields>
  <formats count="2">
    <format dxfId="250">
      <pivotArea outline="0" collapsedLevelsAreSubtotals="1" fieldPosition="0"/>
    </format>
    <format dxfId="251">
      <pivotArea outline="0" fieldPosition="0">
        <references count="1">
          <reference field="4294967294"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 count="1" selected="0">
            <x v="1"/>
          </reference>
        </references>
      </pivotArea>
    </chartFormat>
    <chartFormat chart="5" format="7">
      <pivotArea type="data" outline="0" fieldPosition="0">
        <references count="2">
          <reference field="4294967294" count="1" selected="0">
            <x v="0"/>
          </reference>
          <reference field="1" count="1" selected="0">
            <x v="4"/>
          </reference>
        </references>
      </pivotArea>
    </chartFormat>
    <chartFormat chart="5" format="8">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D3CFA89-6EC8-FC4E-BB7D-9E39335977D8}" name="Vis Average Stake"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L6" firstHeaderRow="1" firstDataRow="1" firstDataCol="1"/>
  <pivotFields count="16">
    <pivotField showAll="0">
      <items count="7">
        <item x="0"/>
        <item x="1"/>
        <item x="2"/>
        <item x="3"/>
        <item x="4"/>
        <item x="5"/>
        <item t="default"/>
      </items>
    </pivotField>
    <pivotField axis="axisRow" showAll="0">
      <items count="14">
        <item h="1" x="4"/>
        <item x="2"/>
        <item h="1" m="1" x="6"/>
        <item h="1" m="1" x="12"/>
        <item x="0"/>
        <item h="1" m="1" x="10"/>
        <item m="1" x="7"/>
        <item x="1"/>
        <item h="1" m="1" x="9"/>
        <item m="1" x="8"/>
        <item h="1" m="1" x="11"/>
        <item h="1" x="3"/>
        <item h="1" x="5"/>
        <item t="default"/>
      </items>
    </pivotField>
    <pivotField showAll="0"/>
    <pivotField showAll="0"/>
    <pivotField dataField="1" showAll="0"/>
    <pivotField showAll="0">
      <items count="7">
        <item x="0"/>
        <item x="1"/>
        <item x="2"/>
        <item x="3"/>
        <item x="4"/>
        <item x="5"/>
        <item t="default"/>
      </items>
    </pivotField>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v="1"/>
    </i>
    <i>
      <x v="4"/>
    </i>
    <i>
      <x v="7"/>
    </i>
    <i t="grand">
      <x/>
    </i>
  </rowItems>
  <colItems count="1">
    <i/>
  </colItems>
  <dataFields count="1">
    <dataField name="Sum of Stake" fld="4" baseField="0" baseItem="0"/>
  </dataFields>
  <formats count="1">
    <format dxfId="2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7FC183-76FD-8342-8EA5-0EA7D1879B69}" name="Vis WR"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I5" firstHeaderRow="1" firstDataRow="1" firstDataCol="1"/>
  <pivotFields count="16">
    <pivotField showAll="0">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axis="axisRow" dataField="1" showAll="0">
      <items count="5">
        <item x="1"/>
        <item h="1" m="1" x="3"/>
        <item x="0"/>
        <item h="1" x="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7"/>
  </rowFields>
  <rowItems count="3">
    <i>
      <x/>
    </i>
    <i>
      <x v="2"/>
    </i>
    <i t="grand">
      <x/>
    </i>
  </rowItems>
  <colItems count="1">
    <i/>
  </colItems>
  <dataFields count="1">
    <dataField name="Count of Result " fld="7"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DC01AB6-4DE1-7042-BAD8-BA53FF2E697B}" name="Vis Net Return" cacheId="29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B3" firstHeaderRow="1" firstDataRow="1" firstDataCol="0"/>
  <pivotFields count="16">
    <pivotField showAll="0">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Return" fld="8" baseField="0" baseItem="0" numFmtId="165"/>
  </dataFields>
  <formats count="1">
    <format dxfId="24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61DBBC4-3716-A34F-BD22-CECD3778D4CF}" name="PivotTable20" cacheId="293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6">
  <location ref="K28:L34" firstHeaderRow="1" firstDataRow="1" firstDataCol="1"/>
  <pivotFields count="16">
    <pivotField multipleItemSelectionAllowed="1" showAll="0" measureFilter="1">
      <items count="7">
        <item x="0"/>
        <item x="1"/>
        <item x="2"/>
        <item x="3"/>
        <item x="4"/>
        <item x="5"/>
        <item t="default"/>
      </items>
    </pivotField>
    <pivotField showAll="0"/>
    <pivotField showAll="0"/>
    <pivotField axis="axisRow" showAll="0">
      <items count="13">
        <item m="1" x="7"/>
        <item m="1" x="6"/>
        <item x="2"/>
        <item m="1" x="5"/>
        <item m="1" x="8"/>
        <item x="0"/>
        <item m="1" x="9"/>
        <item x="1"/>
        <item m="1" x="10"/>
        <item x="3"/>
        <item m="1" x="11"/>
        <item x="4"/>
        <item t="default"/>
      </items>
    </pivotField>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3"/>
  </rowFields>
  <rowItems count="6">
    <i>
      <x v="2"/>
    </i>
    <i>
      <x v="5"/>
    </i>
    <i>
      <x v="7"/>
    </i>
    <i>
      <x v="9"/>
    </i>
    <i>
      <x v="11"/>
    </i>
    <i t="grand">
      <x/>
    </i>
  </rowItems>
  <colItems count="1">
    <i/>
  </colItems>
  <dataFields count="1">
    <dataField name="Sum of Return" fld="8" baseField="0" baseItem="0" numFmtId="8"/>
  </dataFields>
  <formats count="2">
    <format dxfId="246">
      <pivotArea outline="0" collapsedLevelsAreSubtotals="1" fieldPosition="0"/>
    </format>
    <format dxfId="247">
      <pivotArea outline="0" fieldPosition="0">
        <references count="1">
          <reference field="4294967294" count="1">
            <x v="0"/>
          </reference>
        </references>
      </pivotArea>
    </format>
  </formats>
  <chartFormats count="5">
    <chartFormat chart="18" format="32" series="1">
      <pivotArea type="data" outline="0" fieldPosition="0">
        <references count="1">
          <reference field="4294967294" count="1" selected="0">
            <x v="0"/>
          </reference>
        </references>
      </pivotArea>
    </chartFormat>
    <chartFormat chart="19" format="61"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963A72A-BDE8-F443-852C-54A1EFFC8AFD}" name="PivotTable11"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T47:U50" firstHeaderRow="1" firstDataRow="1" firstDataCol="1"/>
  <pivotFields count="16">
    <pivotField showAll="0">
      <items count="7">
        <item x="0"/>
        <item x="1"/>
        <item x="2"/>
        <item x="3"/>
        <item x="4"/>
        <item x="5"/>
        <item t="default"/>
      </items>
    </pivotField>
    <pivotField axis="axisRow" showAll="0">
      <items count="14">
        <item h="1" x="2"/>
        <item h="1" m="1" x="6"/>
        <item n="UFC" h="1" m="1" x="12"/>
        <item sd="0" x="0"/>
        <item sd="0" m="1" x="7"/>
        <item sd="0" x="1"/>
        <item h="1" m="1" x="9"/>
        <item sd="0" m="1" x="8"/>
        <item n="ATP" h="1" m="1" x="11"/>
        <item h="1" x="5"/>
        <item h="1" m="1" x="10"/>
        <item n="ATP2" h="1" x="4"/>
        <item n="UFC2" h="1" x="3"/>
        <item t="default"/>
      </items>
    </pivotField>
    <pivotField showAll="0"/>
    <pivotField showAll="0"/>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3">
    <i>
      <x v="3"/>
    </i>
    <i>
      <x v="5"/>
    </i>
    <i t="grand">
      <x/>
    </i>
  </rowItems>
  <colItems count="1">
    <i/>
  </colItems>
  <dataFields count="1">
    <dataField name="Sum of Return" fld="8" baseField="0" baseItem="0" numFmtId="8"/>
  </dataFields>
  <formats count="7">
    <format dxfId="239">
      <pivotArea type="all" dataOnly="0" outline="0" fieldPosition="0"/>
    </format>
    <format dxfId="240">
      <pivotArea outline="0" collapsedLevelsAreSubtotals="1" fieldPosition="0"/>
    </format>
    <format dxfId="241">
      <pivotArea field="1" type="button" dataOnly="0" labelOnly="1" outline="0" axis="axisRow" fieldPosition="0"/>
    </format>
    <format dxfId="242">
      <pivotArea dataOnly="0" labelOnly="1" fieldPosition="0">
        <references count="1">
          <reference field="1" count="0"/>
        </references>
      </pivotArea>
    </format>
    <format dxfId="243">
      <pivotArea dataOnly="0" labelOnly="1" grandRow="1" outline="0" fieldPosition="0"/>
    </format>
    <format dxfId="244">
      <pivotArea dataOnly="0" labelOnly="1" outline="0" axis="axisValues" fieldPosition="0"/>
    </format>
    <format dxfId="245">
      <pivotArea outline="0" fieldPosition="0">
        <references count="1">
          <reference field="4294967294" count="1">
            <x v="0"/>
          </reference>
        </references>
      </pivotArea>
    </format>
  </formats>
  <chartFormats count="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5"/>
          </reference>
        </references>
      </pivotArea>
    </chartFormat>
    <chartFormat chart="2" format="4">
      <pivotArea type="data" outline="0" fieldPosition="0">
        <references count="2">
          <reference field="4294967294"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5E6876F-B6AF-6349-88BE-641EB1091088}" name="PivotTable2" cacheId="293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8">
  <location ref="L14:O19" firstHeaderRow="1" firstDataRow="2" firstDataCol="1"/>
  <pivotFields count="16">
    <pivotField showAll="0">
      <items count="7">
        <item x="0"/>
        <item x="1"/>
        <item x="2"/>
        <item x="3"/>
        <item x="4"/>
        <item x="5"/>
        <item t="default"/>
      </items>
    </pivotField>
    <pivotField axis="axisRow" showAll="0">
      <items count="14">
        <item x="2"/>
        <item h="1" m="1" x="6"/>
        <item n="UFC" h="1" m="1" x="12"/>
        <item x="0"/>
        <item m="1" x="7"/>
        <item x="1"/>
        <item h="1" m="1" x="9"/>
        <item m="1" x="8"/>
        <item n="ATP" h="1" m="1" x="11"/>
        <item h="1" x="5"/>
        <item h="1" m="1" x="10"/>
        <item n="ATP2" h="1" x="4"/>
        <item n="UFC2" h="1" x="3"/>
        <item t="default"/>
      </items>
    </pivotField>
    <pivotField showAll="0"/>
    <pivotField showAll="0"/>
    <pivotField showAll="0"/>
    <pivotField showAll="0">
      <items count="7">
        <item x="0"/>
        <item x="1"/>
        <item x="2"/>
        <item x="3"/>
        <item x="4"/>
        <item x="5"/>
        <item t="default"/>
      </items>
    </pivotField>
    <pivotField showAll="0"/>
    <pivotField axis="axisCol" dataField="1" showAll="0">
      <items count="5">
        <item x="0"/>
        <item x="1"/>
        <item h="1" m="1" x="3"/>
        <item h="1" x="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i>
    <i>
      <x v="3"/>
    </i>
    <i>
      <x v="5"/>
    </i>
    <i t="grand">
      <x/>
    </i>
  </rowItems>
  <colFields count="1">
    <field x="7"/>
  </colFields>
  <colItems count="3">
    <i>
      <x/>
    </i>
    <i>
      <x v="1"/>
    </i>
    <i t="grand">
      <x/>
    </i>
  </colItems>
  <dataFields count="1">
    <dataField name="Count of Result " fld="7" subtotal="count" baseField="0" baseItem="0"/>
  </dataFields>
  <formats count="6">
    <format dxfId="233">
      <pivotArea type="all" dataOnly="0" outline="0" fieldPosition="0"/>
    </format>
    <format dxfId="234">
      <pivotArea outline="0" collapsedLevelsAreSubtotals="1" fieldPosition="0"/>
    </format>
    <format dxfId="235">
      <pivotArea field="1" type="button" dataOnly="0" labelOnly="1" outline="0" axis="axisRow" fieldPosition="0"/>
    </format>
    <format dxfId="236">
      <pivotArea dataOnly="0" labelOnly="1" fieldPosition="0">
        <references count="1">
          <reference field="1" count="0"/>
        </references>
      </pivotArea>
    </format>
    <format dxfId="237">
      <pivotArea dataOnly="0" labelOnly="1" grandRow="1" outline="0" fieldPosition="0"/>
    </format>
    <format dxfId="238">
      <pivotArea outline="0" fieldPosition="0">
        <references count="1">
          <reference field="4294967294" count="1">
            <x v="0"/>
          </reference>
        </references>
      </pivotArea>
    </format>
  </formats>
  <chartFormats count="5">
    <chartFormat chart="9" format="4" series="1">
      <pivotArea type="data" outline="0" fieldPosition="0">
        <references count="2">
          <reference field="4294967294" count="1" selected="0">
            <x v="0"/>
          </reference>
          <reference field="7" count="1" selected="0">
            <x v="0"/>
          </reference>
        </references>
      </pivotArea>
    </chartFormat>
    <chartFormat chart="9" format="5" series="1">
      <pivotArea type="data" outline="0" fieldPosition="0">
        <references count="2">
          <reference field="4294967294" count="1" selected="0">
            <x v="0"/>
          </reference>
          <reference field="7" count="1" selected="0">
            <x v="1"/>
          </reference>
        </references>
      </pivotArea>
    </chartFormat>
    <chartFormat chart="25" format="0" series="1">
      <pivotArea type="data" outline="0" fieldPosition="0">
        <references count="2">
          <reference field="4294967294" count="1" selected="0">
            <x v="0"/>
          </reference>
          <reference field="7" count="1" selected="0">
            <x v="0"/>
          </reference>
        </references>
      </pivotArea>
    </chartFormat>
    <chartFormat chart="25" format="1" series="1">
      <pivotArea type="data" outline="0" fieldPosition="0">
        <references count="2">
          <reference field="4294967294" count="1" selected="0">
            <x v="0"/>
          </reference>
          <reference field="7" count="1" selected="0">
            <x v="1"/>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E4655E8-2378-CD43-BF41-033B3F973549}" name="Vis ROI"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F3" firstHeaderRow="1" firstDataRow="1" firstDataCol="0"/>
  <pivotFields count="16">
    <pivotField showAll="0">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ROI" fld="11" baseField="0" baseItem="0" numFmtId="10"/>
  </dataFields>
  <formats count="1">
    <format dxfId="2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1F5B29E-9C42-3047-ADC8-DF4C26DDE3F6}" name="PivotTable6" cacheId="2937"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chartFormat="3" rowHeaderCaption="League" colHeaderCaption="Bet Type">
  <location ref="S14:W19" firstHeaderRow="1" firstDataRow="2" firstDataCol="1"/>
  <pivotFields count="16">
    <pivotField showAll="0">
      <items count="7">
        <item x="0"/>
        <item x="1"/>
        <item x="2"/>
        <item x="3"/>
        <item x="4"/>
        <item x="5"/>
        <item t="default"/>
      </items>
    </pivotField>
    <pivotField axis="axisRow" showAll="0" sortType="ascending">
      <items count="14">
        <item n="ATP" h="1" m="1" x="11"/>
        <item n="ATP2" h="1" x="4"/>
        <item x="2"/>
        <item h="1" m="1" x="6"/>
        <item x="0"/>
        <item h="1" m="1" x="10"/>
        <item m="1" x="7"/>
        <item x="1"/>
        <item h="1" m="1" x="9"/>
        <item m="1" x="8"/>
        <item n="UFC" h="1" m="1" x="12"/>
        <item n="UFC2" h="1" x="3"/>
        <item h="1" x="5"/>
        <item t="default"/>
      </items>
    </pivotField>
    <pivotField showAll="0"/>
    <pivotField axis="axisCol" showAll="0">
      <items count="13">
        <item x="2"/>
        <item m="1" x="8"/>
        <item m="1" x="9"/>
        <item m="1" x="10"/>
        <item x="3"/>
        <item x="4"/>
        <item m="1" x="7"/>
        <item h="1" m="1" x="6"/>
        <item m="1" x="11"/>
        <item x="1"/>
        <item x="0"/>
        <item m="1" x="5"/>
        <item t="default"/>
      </items>
    </pivotField>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v="2"/>
    </i>
    <i>
      <x v="4"/>
    </i>
    <i>
      <x v="7"/>
    </i>
    <i t="grand">
      <x/>
    </i>
  </rowItems>
  <colFields count="1">
    <field x="3"/>
  </colFields>
  <colItems count="4">
    <i>
      <x v="4"/>
    </i>
    <i>
      <x v="9"/>
    </i>
    <i>
      <x v="10"/>
    </i>
    <i t="grand">
      <x/>
    </i>
  </colItems>
  <dataFields count="1">
    <dataField name="Summary" fld="8" baseField="0" baseItem="0" numFmtId="8"/>
  </dataFields>
  <formats count="11">
    <format dxfId="221">
      <pivotArea outline="0" collapsedLevelsAreSubtotals="1" fieldPosition="0"/>
    </format>
    <format dxfId="222">
      <pivotArea type="all" dataOnly="0" outline="0" fieldPosition="0"/>
    </format>
    <format dxfId="223">
      <pivotArea outline="0" collapsedLevelsAreSubtotals="1" fieldPosition="0"/>
    </format>
    <format dxfId="224">
      <pivotArea type="origin" dataOnly="0" labelOnly="1" outline="0" fieldPosition="0"/>
    </format>
    <format dxfId="225">
      <pivotArea field="3" type="button" dataOnly="0" labelOnly="1" outline="0" axis="axisCol" fieldPosition="0"/>
    </format>
    <format dxfId="226">
      <pivotArea type="topRight" dataOnly="0" labelOnly="1" outline="0" fieldPosition="0"/>
    </format>
    <format dxfId="227">
      <pivotArea field="1" type="button" dataOnly="0" labelOnly="1" outline="0" axis="axisRow" fieldPosition="0"/>
    </format>
    <format dxfId="228">
      <pivotArea dataOnly="0" labelOnly="1" fieldPosition="0">
        <references count="1">
          <reference field="1" count="0"/>
        </references>
      </pivotArea>
    </format>
    <format dxfId="229">
      <pivotArea dataOnly="0" labelOnly="1" grandRow="1" outline="0" fieldPosition="0"/>
    </format>
    <format dxfId="230">
      <pivotArea dataOnly="0" labelOnly="1" fieldPosition="0">
        <references count="1">
          <reference field="3" count="0"/>
        </references>
      </pivotArea>
    </format>
    <format dxfId="231">
      <pivotArea dataOnly="0" labelOnly="1" grandCol="1" outline="0" fieldPosition="0"/>
    </format>
  </formats>
  <pivotTableStyleInfo name="PivotStyleLight16" showRowHeaders="1" showColHeaders="1" showRowStripes="0" showColStripes="0" showLastColumn="1"/>
  <filters count="1">
    <filter fld="1"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8D5016D-AC8C-6F43-9864-094DD455AF4E}" name="PivotTable12" cacheId="293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8" rowHeaderCaption="League" colHeaderCaption="Result">
  <location ref="S2:V7" firstHeaderRow="1" firstDataRow="2" firstDataCol="1"/>
  <pivotFields count="16">
    <pivotField showAll="0">
      <items count="7">
        <item x="0"/>
        <item x="1"/>
        <item x="2"/>
        <item x="3"/>
        <item x="4"/>
        <item x="5"/>
        <item t="default"/>
      </items>
    </pivotField>
    <pivotField axis="axisRow" showAll="0" sortType="ascending">
      <items count="14">
        <item n="ATP" h="1" m="1" x="11"/>
        <item n="ATP2" h="1" x="4"/>
        <item x="2"/>
        <item h="1" m="1" x="6"/>
        <item x="0"/>
        <item h="1" m="1" x="10"/>
        <item m="1" x="7"/>
        <item x="1"/>
        <item h="1" m="1" x="9"/>
        <item m="1" x="8"/>
        <item n="UFC" h="1" m="1" x="12"/>
        <item n="UFC2" h="1" x="3"/>
        <item h="1" x="5"/>
        <item t="default"/>
      </items>
    </pivotField>
    <pivotField showAll="0"/>
    <pivotField showAll="0"/>
    <pivotField showAll="0"/>
    <pivotField showAll="0">
      <items count="7">
        <item x="0"/>
        <item x="1"/>
        <item x="2"/>
        <item x="3"/>
        <item x="4"/>
        <item x="5"/>
        <item t="default"/>
      </items>
    </pivotField>
    <pivotField showAll="0"/>
    <pivotField axis="axisCol" dataField="1" showAll="0">
      <items count="5">
        <item x="0"/>
        <item x="1"/>
        <item h="1" m="1" x="3"/>
        <item h="1" x="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v="2"/>
    </i>
    <i>
      <x v="4"/>
    </i>
    <i>
      <x v="7"/>
    </i>
    <i t="grand">
      <x/>
    </i>
  </rowItems>
  <colFields count="1">
    <field x="7"/>
  </colFields>
  <colItems count="3">
    <i>
      <x/>
    </i>
    <i>
      <x v="1"/>
    </i>
    <i t="grand">
      <x/>
    </i>
  </colItems>
  <dataFields count="1">
    <dataField name="W/L Table" fld="7" subtotal="count" baseField="0" baseItem="0"/>
  </dataFields>
  <formats count="6">
    <format dxfId="215">
      <pivotArea type="all" dataOnly="0" outline="0" fieldPosition="0"/>
    </format>
    <format dxfId="216">
      <pivotArea outline="0" collapsedLevelsAreSubtotals="1" fieldPosition="0"/>
    </format>
    <format dxfId="217">
      <pivotArea field="1" type="button" dataOnly="0" labelOnly="1" outline="0" axis="axisRow" fieldPosition="0"/>
    </format>
    <format dxfId="218">
      <pivotArea dataOnly="0" labelOnly="1" fieldPosition="0">
        <references count="1">
          <reference field="1" count="0"/>
        </references>
      </pivotArea>
    </format>
    <format dxfId="219">
      <pivotArea dataOnly="0" labelOnly="1" grandRow="1" outline="0" fieldPosition="0"/>
    </format>
    <format dxfId="220">
      <pivotArea outline="0" fieldPosition="0">
        <references count="1">
          <reference field="4294967294" count="1">
            <x v="0"/>
          </reference>
        </references>
      </pivotArea>
    </format>
  </formats>
  <chartFormats count="5">
    <chartFormat chart="9" format="4" series="1">
      <pivotArea type="data" outline="0" fieldPosition="0">
        <references count="2">
          <reference field="4294967294" count="1" selected="0">
            <x v="0"/>
          </reference>
          <reference field="7" count="1" selected="0">
            <x v="0"/>
          </reference>
        </references>
      </pivotArea>
    </chartFormat>
    <chartFormat chart="9" format="5" series="1">
      <pivotArea type="data" outline="0" fieldPosition="0">
        <references count="2">
          <reference field="4294967294" count="1" selected="0">
            <x v="0"/>
          </reference>
          <reference field="7" count="1" selected="0">
            <x v="1"/>
          </reference>
        </references>
      </pivotArea>
    </chartFormat>
    <chartFormat chart="25" format="0" series="1">
      <pivotArea type="data" outline="0" fieldPosition="0">
        <references count="2">
          <reference field="4294967294" count="1" selected="0">
            <x v="0"/>
          </reference>
          <reference field="7" count="1" selected="0">
            <x v="0"/>
          </reference>
        </references>
      </pivotArea>
    </chartFormat>
    <chartFormat chart="25" format="1" series="1">
      <pivotArea type="data" outline="0" fieldPosition="0">
        <references count="2">
          <reference field="4294967294" count="1" selected="0">
            <x v="0"/>
          </reference>
          <reference field="7" count="1" selected="0">
            <x v="1"/>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FBF129D-FC5C-114C-BC12-7CB6B896C093}" name="PivotTable1"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10:G16" firstHeaderRow="1" firstDataRow="1" firstDataCol="1"/>
  <pivotFields count="16">
    <pivotField showAll="0">
      <items count="7">
        <item x="0"/>
        <item x="1"/>
        <item x="2"/>
        <item x="3"/>
        <item x="4"/>
        <item x="5"/>
        <item t="default"/>
      </items>
    </pivotField>
    <pivotField showAll="0"/>
    <pivotField showAll="0"/>
    <pivotField axis="axisRow" showAll="0">
      <items count="13">
        <item m="1" x="7"/>
        <item m="1" x="6"/>
        <item x="2"/>
        <item m="1" x="5"/>
        <item m="1" x="8"/>
        <item x="0"/>
        <item m="1" x="9"/>
        <item x="1"/>
        <item m="1" x="10"/>
        <item x="3"/>
        <item m="1" x="11"/>
        <item x="4"/>
        <item t="default"/>
      </items>
    </pivotField>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3"/>
  </rowFields>
  <rowItems count="6">
    <i>
      <x v="2"/>
    </i>
    <i>
      <x v="5"/>
    </i>
    <i>
      <x v="7"/>
    </i>
    <i>
      <x v="9"/>
    </i>
    <i>
      <x v="11"/>
    </i>
    <i t="grand">
      <x/>
    </i>
  </rowItems>
  <colItems count="1">
    <i/>
  </colItems>
  <dataFields count="1">
    <dataField name="Sum of Return" fld="8" baseField="0" baseItem="0" numFmtId="165"/>
  </dataFields>
  <formats count="1">
    <format dxfId="214">
      <pivotArea outline="0" collapsedLevelsAreSubtotals="1" fieldPosition="0"/>
    </format>
  </format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5"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BA62B03-8AB2-7A43-B8EC-6607A49F790D}" name="PT Running Total" cacheId="293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2">
  <location ref="P3:P4" firstHeaderRow="1" firstDataRow="1" firstDataCol="0"/>
  <pivotFields count="16">
    <pivotField multipleItemSelectionAllowed="1" showAll="0" measureFilter="1">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showAll="0"/>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Return" fld="8" baseField="0" baseItem="0" numFmtId="8"/>
  </dataFields>
  <formats count="2">
    <format dxfId="212">
      <pivotArea outline="0" collapsedLevelsAreSubtotals="1" fieldPosition="0"/>
    </format>
    <format dxfId="213">
      <pivotArea outline="0" fieldPosition="0">
        <references count="1">
          <reference field="4294967294" count="1">
            <x v="0"/>
          </reference>
        </references>
      </pivotArea>
    </format>
  </formats>
  <chartFormats count="2">
    <chartFormat chart="18" format="32" series="1">
      <pivotArea type="data" outline="0" fieldPosition="0">
        <references count="1">
          <reference field="4294967294" count="1" selected="0">
            <x v="0"/>
          </reference>
        </references>
      </pivotArea>
    </chartFormat>
    <chartFormat chart="19" format="6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4FABC94-313C-A243-98DF-9AF58B227A6E}" name="Vis Total Bets"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D3" firstHeaderRow="1" firstDataRow="1" firstDataCol="0"/>
  <pivotFields count="16">
    <pivotField showAll="0">
      <items count="7">
        <item x="0"/>
        <item x="1"/>
        <item x="2"/>
        <item x="3"/>
        <item x="4"/>
        <item x="5"/>
        <item t="default"/>
      </items>
    </pivotField>
    <pivotField showAll="0"/>
    <pivotField showAll="0"/>
    <pivotField showAll="0"/>
    <pivotField showAll="0"/>
    <pivotField showAll="0">
      <items count="7">
        <item x="0"/>
        <item x="1"/>
        <item x="2"/>
        <item x="3"/>
        <item x="4"/>
        <item x="5"/>
        <item t="default"/>
      </items>
    </pivotField>
    <pivotField showAll="0"/>
    <pivotField dataField="1"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Result "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1A83208-0DA3-294E-87B0-8D00A048CC9A}" name="PivotTable14"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22:I27" firstHeaderRow="1" firstDataRow="1" firstDataCol="1"/>
  <pivotFields count="16">
    <pivotField showAll="0">
      <items count="7">
        <item x="0"/>
        <item x="1"/>
        <item x="2"/>
        <item x="3"/>
        <item x="4"/>
        <item x="5"/>
        <item t="default"/>
      </items>
    </pivotField>
    <pivotField showAll="0"/>
    <pivotField showAll="0"/>
    <pivotField showAll="0"/>
    <pivotField showAll="0"/>
    <pivotField axis="axisRow" showAll="0">
      <items count="7">
        <item x="0"/>
        <item x="1"/>
        <item x="2"/>
        <item x="3"/>
        <item x="4"/>
        <item x="5"/>
        <item t="default"/>
      </items>
    </pivotField>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5"/>
  </rowFields>
  <rowItems count="5">
    <i>
      <x/>
    </i>
    <i>
      <x v="1"/>
    </i>
    <i>
      <x v="2"/>
    </i>
    <i>
      <x v="3"/>
    </i>
    <i t="grand">
      <x/>
    </i>
  </rowItems>
  <colItems count="1">
    <i/>
  </colItems>
  <dataFields count="1">
    <dataField name="Sum of ROI" fld="11" baseField="0" baseItem="0" numFmtId="10"/>
  </dataFields>
  <formats count="1">
    <format dxfId="21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AE655A97-DD97-E44B-B3D5-5049419B9C9D}" name="PivotTable7" cacheId="29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S26:W31" firstHeaderRow="1" firstDataRow="2" firstDataCol="1"/>
  <pivotFields count="16">
    <pivotField numFmtId="166" showAll="0">
      <items count="7">
        <item x="0"/>
        <item x="1"/>
        <item x="2"/>
        <item x="3"/>
        <item x="4"/>
        <item x="5"/>
        <item t="default"/>
      </items>
    </pivotField>
    <pivotField axis="axisRow" showAll="0">
      <items count="14">
        <item h="1" x="4"/>
        <item x="2"/>
        <item h="1" m="1" x="6"/>
        <item h="1" m="1" x="12"/>
        <item x="0"/>
        <item h="1" m="1" x="10"/>
        <item m="1" x="7"/>
        <item x="1"/>
        <item h="1" m="1" x="9"/>
        <item m="1" x="8"/>
        <item h="1" m="1" x="11"/>
        <item h="1" x="3"/>
        <item h="1" x="5"/>
        <item t="default"/>
      </items>
    </pivotField>
    <pivotField showAll="0"/>
    <pivotField axis="axisCol" showAll="0">
      <items count="13">
        <item m="1" x="7"/>
        <item m="1" x="6"/>
        <item x="2"/>
        <item m="1" x="5"/>
        <item m="1" x="8"/>
        <item x="0"/>
        <item m="1" x="9"/>
        <item x="1"/>
        <item m="1" x="10"/>
        <item x="3"/>
        <item m="1" x="11"/>
        <item x="4"/>
        <item t="default"/>
      </items>
    </pivotField>
    <pivotField dataField="1" numFmtId="44" showAll="0"/>
    <pivotField numFmtId="164" showAll="0">
      <items count="7">
        <item x="0"/>
        <item x="1"/>
        <item x="2"/>
        <item x="3"/>
        <item x="4"/>
        <item x="5"/>
        <item t="default"/>
      </items>
    </pivotField>
    <pivotField numFmtId="2" showAll="0"/>
    <pivotField showAll="0"/>
    <pivotField numFmtId="8" showAll="0"/>
    <pivotField numFmtId="165"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s>
  <rowFields count="1">
    <field x="1"/>
  </rowFields>
  <rowItems count="4">
    <i>
      <x v="1"/>
    </i>
    <i>
      <x v="4"/>
    </i>
    <i>
      <x v="7"/>
    </i>
    <i t="grand">
      <x/>
    </i>
  </rowItems>
  <colFields count="1">
    <field x="3"/>
  </colFields>
  <colItems count="4">
    <i>
      <x v="5"/>
    </i>
    <i>
      <x v="7"/>
    </i>
    <i>
      <x v="9"/>
    </i>
    <i t="grand">
      <x/>
    </i>
  </colItems>
  <dataFields count="1">
    <dataField name="Sum of Stake" fld="4" baseField="0" baseItem="0" numFmtId="44"/>
  </dataFields>
  <chartFormats count="8">
    <chartFormat chart="19" format="14" series="1">
      <pivotArea type="data" outline="0" fieldPosition="0">
        <references count="2">
          <reference field="4294967294" count="1" selected="0">
            <x v="0"/>
          </reference>
          <reference field="3" count="1" selected="0">
            <x v="0"/>
          </reference>
        </references>
      </pivotArea>
    </chartFormat>
    <chartFormat chart="19" format="15" series="1">
      <pivotArea type="data" outline="0" fieldPosition="0">
        <references count="2">
          <reference field="4294967294" count="1" selected="0">
            <x v="0"/>
          </reference>
          <reference field="3" count="1" selected="0">
            <x v="1"/>
          </reference>
        </references>
      </pivotArea>
    </chartFormat>
    <chartFormat chart="19" format="16" series="1">
      <pivotArea type="data" outline="0" fieldPosition="0">
        <references count="2">
          <reference field="4294967294" count="1" selected="0">
            <x v="0"/>
          </reference>
          <reference field="3" count="1" selected="0">
            <x v="2"/>
          </reference>
        </references>
      </pivotArea>
    </chartFormat>
    <chartFormat chart="19" format="17" series="1">
      <pivotArea type="data" outline="0" fieldPosition="0">
        <references count="2">
          <reference field="4294967294" count="1" selected="0">
            <x v="0"/>
          </reference>
          <reference field="3" count="1" selected="0">
            <x v="3"/>
          </reference>
        </references>
      </pivotArea>
    </chartFormat>
    <chartFormat chart="19" format="18" series="1">
      <pivotArea type="data" outline="0" fieldPosition="0">
        <references count="2">
          <reference field="4294967294" count="1" selected="0">
            <x v="0"/>
          </reference>
          <reference field="3" count="1" selected="0">
            <x v="5"/>
          </reference>
        </references>
      </pivotArea>
    </chartFormat>
    <chartFormat chart="19" format="19" series="1">
      <pivotArea type="data" outline="0" fieldPosition="0">
        <references count="2">
          <reference field="4294967294" count="1" selected="0">
            <x v="0"/>
          </reference>
          <reference field="3" count="1" selected="0">
            <x v="7"/>
          </reference>
        </references>
      </pivotArea>
    </chartFormat>
    <chartFormat chart="19" format="20" series="1">
      <pivotArea type="data" outline="0" fieldPosition="0">
        <references count="2">
          <reference field="4294967294" count="1" selected="0">
            <x v="0"/>
          </reference>
          <reference field="3" count="1" selected="0">
            <x v="9"/>
          </reference>
        </references>
      </pivotArea>
    </chartFormat>
    <chartFormat chart="19"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gue1" xr10:uid="{915CC1DB-3ACD-5146-B586-B0F3F1546E13}" sourceName="League">
  <extLst>
    <x:ext xmlns:x15="http://schemas.microsoft.com/office/spreadsheetml/2010/11/main" uri="{2F2917AC-EB37-4324-AD4E-5DD8C200BD13}">
      <x15:tableSlicerCache tableId="7"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10CB5B63-C8DC-7F4C-9BFC-BEC77D90FEF5}" sourceName="Type">
  <extLst>
    <x:ext xmlns:x15="http://schemas.microsoft.com/office/spreadsheetml/2010/11/main" uri="{2F2917AC-EB37-4324-AD4E-5DD8C200BD13}">
      <x15:tableSlicerCache tableId="7" column="10"/>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sbook1" xr10:uid="{18CD58F7-8D8B-9548-A2C1-C76617ADE392}" sourceName="Sportsbook">
  <extLst>
    <x:ext xmlns:x15="http://schemas.microsoft.com/office/spreadsheetml/2010/11/main" uri="{2F2917AC-EB37-4324-AD4E-5DD8C200BD13}">
      <x15:tableSlicerCache tableId="7" column="1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gue 2" xr10:uid="{799104DC-E508-144C-8243-13666EE3D291}" cache="Slicer_League1" caption="League" rowHeight="251883"/>
  <slicer name="Type 2" xr10:uid="{BA088356-1ED3-F743-B84A-26E351E22BE6}" cache="Slicer_Type1" caption="Type" rowHeight="251883"/>
  <slicer name="Sportsbook 2" xr10:uid="{4D281FAC-F5A3-7B40-99C8-D74BC5ACB0EC}" cache="Slicer_Sportsbook1" caption="Sportsbook"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gue 1" xr10:uid="{16E89FFE-9650-4645-A6D3-D5EA955D0D0B}" cache="Slicer_League1" caption="League" rowHeight="251883"/>
  <slicer name="Type 1" xr10:uid="{519D8ECB-F54B-524F-9A3C-0E0CB7B01573}" cache="Slicer_Type1" caption="Type" rowHeight="251883"/>
  <slicer name="Sportsbook 1" xr10:uid="{ACC362C9-B976-174B-AC42-1725B7D2F24D}" cache="Slicer_Sportsbook1" caption="Sportsbook"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9FEA7B8-60A2-804F-943E-C2F0EE9AD01C}" name="Bet_Log" displayName="Bet_Log" ref="A1:K1000" totalsRowShown="0" headerRowDxfId="534">
  <autoFilter ref="A1:K1000" xr:uid="{59FEA7B8-60A2-804F-943E-C2F0EE9AD01C}"/>
  <tableColumns count="11">
    <tableColumn id="1" xr3:uid="{C255FB8B-1D5B-CA4D-86B4-80373B1C8B86}" name="Date" dataDxfId="533"/>
    <tableColumn id="2" xr3:uid="{69D53710-4850-DC4F-89CB-EA8F447D194C}" name="League" dataDxfId="532"/>
    <tableColumn id="3" xr3:uid="{B9FB8AB9-E9FC-B549-83D4-41ED2D55F55F}" name="Selection" dataDxfId="531"/>
    <tableColumn id="10" xr3:uid="{2AC1B516-8BAF-EB43-9F48-08A714B9B5F3}" name="Type" dataDxfId="530"/>
    <tableColumn id="4" xr3:uid="{6DA5789A-3B01-7540-A53A-B6928E6C2817}" name="Stake" dataDxfId="529"/>
    <tableColumn id="14" xr3:uid="{8313E84B-37D1-3D47-8C88-BCE68BEF1CCD}" name="Odds" dataDxfId="528"/>
    <tableColumn id="5" xr3:uid="{C5B2AC01-9787-EA43-8705-8973C3CEA74C}" name="Decimal" dataDxfId="527">
      <calculatedColumnFormula array="1">IF(ISBLANK(F2), "", IFERROR(_xlfn.IFS(LEFT(F2,1)="+", (VALUE(MID(F2,2,LEN(F2)))+100)/100, VALUE(F2)&gt;0, (F2+100)/100, VALUE(F2)&lt;0, (ABS(F2)+100)/ABS(F2), F2=0, 0), ""))</calculatedColumnFormula>
    </tableColumn>
    <tableColumn id="6" xr3:uid="{81B40D20-1E1C-DB4F-A4C5-70797A9D00A2}" name="Result " dataDxfId="526"/>
    <tableColumn id="7" xr3:uid="{F4627936-9015-CD47-9A23-A1CC82D37A47}" name="Return" dataDxfId="525">
      <calculatedColumnFormula>IF(Bet_Log[[#This Row],[Result ]]="", "", IF(Bet_Log[[#This Row],[Result ]]="Win", Bet_Log[[#This Row],[Stake]]*Bet_Log[[#This Row],[Decimal]]-Bet_Log[[#This Row],[Stake]], IF(Bet_Log[[#This Row],[Result ]]="Loss", -Bet_Log[[#This Row],[Stake]], IF(Bet_Log[[#This Row],[Result ]]="Push", 0, ""))))</calculatedColumnFormula>
    </tableColumn>
    <tableColumn id="8" xr3:uid="{0A1827A0-5E00-FB42-A440-984F5FF590E8}" name="Net Profit" dataDxfId="523">
      <calculatedColumnFormula>Bet_Log[[#This Row],[Return]]</calculatedColumnFormula>
    </tableColumn>
    <tableColumn id="13" xr3:uid="{1B463162-26DA-AB4E-8293-FC20CF40ED50}" name="Sportsbook" dataDxfId="52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7E5153-2317-9043-9C52-E8249E88398E}" name="Bet_Type" displayName="Bet_Type" ref="B2:B9" totalsRowShown="0">
  <autoFilter ref="B2:B9" xr:uid="{207E5153-2317-9043-9C52-E8249E88398E}"/>
  <tableColumns count="1">
    <tableColumn id="1" xr3:uid="{883B5F1B-8FB1-0849-AE08-08FF0EE7BDDA}" name="Bet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4A7264F-3173-7C49-BB63-227C96C16856}" name="Sportsbook" displayName="Sportsbook" ref="D2:D6" totalsRowShown="0">
  <autoFilter ref="D2:D6" xr:uid="{E4A7264F-3173-7C49-BB63-227C96C16856}"/>
  <tableColumns count="1">
    <tableColumn id="1" xr3:uid="{8DA1BC1F-FA54-9B46-B79B-288921B1634A}" name="Sportsbook"/>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BA8910-3B4E-0A40-99C2-3BA06E14015B}" name="League" displayName="League" ref="F2:F12" totalsRowShown="0">
  <autoFilter ref="F2:F12" xr:uid="{E5BA8910-3B4E-0A40-99C2-3BA06E14015B}"/>
  <tableColumns count="1">
    <tableColumn id="1" xr3:uid="{2EB3B0E3-1727-D84B-B24B-1936831B8BFC}" name="Leag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B2E4B0E-AC3E-F340-B226-1F34D9397F83}" name="Result" displayName="Result" ref="H2:H5" totalsRowShown="0">
  <autoFilter ref="H2:H5" xr:uid="{CB2E4B0E-AC3E-F340-B226-1F34D9397F83}"/>
  <tableColumns count="1">
    <tableColumn id="1" xr3:uid="{74DB64BA-3B68-A64F-BAAB-67CB8D55025B}" name="Resul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A460D77-BED0-8645-88C7-426F1BEBD7F1}" sourceName="Date">
  <pivotTables>
    <pivotTable tabId="9" name="Vis Net Return"/>
  </pivotTables>
  <state minimalRefreshVersion="6" lastRefreshVersion="6" pivotCacheId="1659277436"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C728B415-65A6-B54D-B428-B89C56966DF9}" cache="NativeTimeline_Date" caption="Date" level="2" selectionLevel="2" scrollPosition="2025-01-01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18" Type="http://schemas.openxmlformats.org/officeDocument/2006/relationships/pivotTable" Target="../pivotTables/pivotTable24.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17" Type="http://schemas.openxmlformats.org/officeDocument/2006/relationships/pivotTable" Target="../pivotTables/pivotTable23.xml"/><Relationship Id="rId2" Type="http://schemas.openxmlformats.org/officeDocument/2006/relationships/pivotTable" Target="../pivotTables/pivotTable8.xml"/><Relationship Id="rId16" Type="http://schemas.openxmlformats.org/officeDocument/2006/relationships/pivotTable" Target="../pivotTables/pivotTable22.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5" Type="http://schemas.openxmlformats.org/officeDocument/2006/relationships/pivotTable" Target="../pivotTables/pivotTable21.xml"/><Relationship Id="rId10" Type="http://schemas.openxmlformats.org/officeDocument/2006/relationships/pivotTable" Target="../pivotTables/pivotTable16.xml"/><Relationship Id="rId19" Type="http://schemas.openxmlformats.org/officeDocument/2006/relationships/pivotTable" Target="../pivotTables/pivotTable25.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92C0C-4F28-DF44-87DC-155492CE0FB9}">
  <sheetPr codeName="Sheet1"/>
  <dimension ref="D20:N30"/>
  <sheetViews>
    <sheetView showGridLines="0" workbookViewId="0">
      <selection activeCell="J10" sqref="J10"/>
    </sheetView>
  </sheetViews>
  <sheetFormatPr baseColWidth="10" defaultRowHeight="16" x14ac:dyDescent="0.2"/>
  <sheetData>
    <row r="20" spans="4:14" x14ac:dyDescent="0.2">
      <c r="E20" s="17"/>
    </row>
    <row r="24" spans="4:14" x14ac:dyDescent="0.2">
      <c r="D24" s="19"/>
    </row>
    <row r="30" spans="4:14" ht="19" x14ac:dyDescent="0.2">
      <c r="N30" s="25"/>
    </row>
  </sheetData>
  <pageMargins left="0.7" right="0.7" top="0.75" bottom="0.75" header="0.3" footer="0.3"/>
  <pageSetup orientation="portrait" horizontalDpi="0" verticalDpi="0"/>
  <drawing r:id="rId1"/>
  <extLst>
    <ext xmlns:x15="http://schemas.microsoft.com/office/spreadsheetml/2010/11/main" uri="{3A4CF648-6AED-40f4-86FF-DC5316D8AED3}">
      <x14:slicerList xmlns:x14="http://schemas.microsoft.com/office/spreadsheetml/2009/9/main">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EF3EC-5BEC-A34D-9E5B-86BE4CE8AC66}">
  <sheetPr codeName="Sheet3"/>
  <dimension ref="B4:K60"/>
  <sheetViews>
    <sheetView workbookViewId="0">
      <selection activeCell="P38" sqref="P38"/>
    </sheetView>
  </sheetViews>
  <sheetFormatPr baseColWidth="10" defaultColWidth="15.83203125" defaultRowHeight="16" x14ac:dyDescent="0.2"/>
  <cols>
    <col min="1" max="1" width="15.83203125" style="12"/>
    <col min="2" max="8" width="15.83203125" style="12" customWidth="1"/>
    <col min="9" max="9" width="15.5" style="12" bestFit="1" customWidth="1"/>
    <col min="10" max="10" width="11.83203125" style="12" bestFit="1" customWidth="1"/>
    <col min="11" max="16384" width="15.83203125" style="12"/>
  </cols>
  <sheetData>
    <row r="4" spans="2:11" x14ac:dyDescent="0.2">
      <c r="B4" s="11" t="s">
        <v>9</v>
      </c>
      <c r="C4" s="12" t="s">
        <v>37</v>
      </c>
      <c r="D4" s="12" t="s">
        <v>33</v>
      </c>
      <c r="E4" s="12" t="s">
        <v>35</v>
      </c>
      <c r="F4" s="12" t="s">
        <v>36</v>
      </c>
      <c r="G4" s="12" t="s">
        <v>25</v>
      </c>
      <c r="I4" s="11" t="s">
        <v>44</v>
      </c>
      <c r="J4" s="12" t="s">
        <v>45</v>
      </c>
    </row>
    <row r="5" spans="2:11" x14ac:dyDescent="0.2">
      <c r="B5" s="12" t="s">
        <v>14</v>
      </c>
      <c r="C5" s="34">
        <v>1</v>
      </c>
      <c r="D5" s="13">
        <v>-120</v>
      </c>
      <c r="E5" s="13">
        <v>120</v>
      </c>
      <c r="F5" s="13">
        <v>120</v>
      </c>
      <c r="G5" s="14">
        <v>-1</v>
      </c>
      <c r="I5" s="12" t="s">
        <v>14</v>
      </c>
      <c r="J5" s="14">
        <v>0.20869565217391303</v>
      </c>
    </row>
    <row r="6" spans="2:11" x14ac:dyDescent="0.2">
      <c r="B6" s="12" t="s">
        <v>10</v>
      </c>
      <c r="C6" s="34">
        <v>1</v>
      </c>
      <c r="D6" s="13">
        <v>100</v>
      </c>
      <c r="E6" s="13">
        <v>140</v>
      </c>
      <c r="F6" s="13">
        <v>140</v>
      </c>
      <c r="G6" s="14">
        <v>0.7142857142857143</v>
      </c>
      <c r="I6" s="12" t="s">
        <v>10</v>
      </c>
      <c r="J6" s="14">
        <v>0.24347826086956523</v>
      </c>
    </row>
    <row r="7" spans="2:11" x14ac:dyDescent="0.2">
      <c r="B7" s="12" t="s">
        <v>11</v>
      </c>
      <c r="C7" s="34">
        <v>2</v>
      </c>
      <c r="D7" s="13">
        <v>143.85964912280701</v>
      </c>
      <c r="E7" s="13">
        <v>160</v>
      </c>
      <c r="F7" s="13">
        <v>80</v>
      </c>
      <c r="G7" s="14">
        <v>0.89912280701754388</v>
      </c>
      <c r="I7" s="12" t="s">
        <v>11</v>
      </c>
      <c r="J7" s="14">
        <v>0.27826086956521739</v>
      </c>
    </row>
    <row r="8" spans="2:11" x14ac:dyDescent="0.2">
      <c r="B8" s="12" t="s">
        <v>55</v>
      </c>
      <c r="C8" s="34">
        <v>1</v>
      </c>
      <c r="D8" s="13">
        <v>-80</v>
      </c>
      <c r="E8" s="13">
        <v>80</v>
      </c>
      <c r="F8" s="13">
        <v>80</v>
      </c>
      <c r="G8" s="14">
        <v>-1</v>
      </c>
      <c r="I8" s="12" t="s">
        <v>55</v>
      </c>
      <c r="J8" s="14">
        <v>0.1391304347826087</v>
      </c>
    </row>
    <row r="9" spans="2:11" x14ac:dyDescent="0.2">
      <c r="B9" s="12" t="s">
        <v>56</v>
      </c>
      <c r="C9" s="34">
        <v>1</v>
      </c>
      <c r="D9" s="13">
        <v>35.714285714285722</v>
      </c>
      <c r="E9" s="13">
        <v>75</v>
      </c>
      <c r="F9" s="13">
        <v>75</v>
      </c>
      <c r="G9" s="14">
        <v>0.47619047619047628</v>
      </c>
      <c r="I9" s="12" t="s">
        <v>56</v>
      </c>
      <c r="J9" s="14">
        <v>0.13043478260869565</v>
      </c>
    </row>
    <row r="10" spans="2:11" x14ac:dyDescent="0.2">
      <c r="B10" s="12" t="s">
        <v>31</v>
      </c>
      <c r="C10" s="34">
        <v>6</v>
      </c>
      <c r="D10" s="13">
        <v>79.573934837092736</v>
      </c>
      <c r="E10" s="13">
        <v>575</v>
      </c>
      <c r="F10" s="13">
        <v>95.833333333333329</v>
      </c>
      <c r="G10" s="14">
        <v>0.13838945189059607</v>
      </c>
      <c r="I10" s="12" t="s">
        <v>31</v>
      </c>
      <c r="J10" s="14">
        <v>1</v>
      </c>
    </row>
    <row r="11" spans="2:11" x14ac:dyDescent="0.2">
      <c r="B11"/>
      <c r="C11"/>
      <c r="D11"/>
      <c r="E11"/>
      <c r="F11"/>
      <c r="G11"/>
      <c r="I11"/>
      <c r="J11"/>
    </row>
    <row r="12" spans="2:11" x14ac:dyDescent="0.2">
      <c r="B12"/>
      <c r="C12"/>
      <c r="D12"/>
      <c r="E12"/>
      <c r="F12"/>
      <c r="G12"/>
      <c r="I12"/>
      <c r="J12"/>
    </row>
    <row r="13" spans="2:11" x14ac:dyDescent="0.2">
      <c r="B13"/>
      <c r="C13"/>
      <c r="D13"/>
      <c r="E13"/>
      <c r="F13"/>
      <c r="G13"/>
      <c r="I13"/>
      <c r="J13"/>
    </row>
    <row r="14" spans="2:11" x14ac:dyDescent="0.2">
      <c r="B14"/>
      <c r="C14"/>
      <c r="D14"/>
      <c r="E14"/>
      <c r="F14"/>
      <c r="G14"/>
      <c r="I14"/>
      <c r="J14"/>
      <c r="K14"/>
    </row>
    <row r="15" spans="2:11" x14ac:dyDescent="0.2">
      <c r="B15"/>
      <c r="C15"/>
      <c r="D15"/>
      <c r="E15"/>
      <c r="F15"/>
      <c r="G15"/>
      <c r="I15"/>
      <c r="J15"/>
      <c r="K15"/>
    </row>
    <row r="16" spans="2:11" x14ac:dyDescent="0.2">
      <c r="B16"/>
      <c r="C16"/>
      <c r="D16"/>
      <c r="E16"/>
      <c r="F16"/>
      <c r="G16"/>
      <c r="K16"/>
    </row>
    <row r="17" spans="2:11" x14ac:dyDescent="0.2">
      <c r="K17"/>
    </row>
    <row r="18" spans="2:11" x14ac:dyDescent="0.2">
      <c r="K18"/>
    </row>
    <row r="19" spans="2:11" x14ac:dyDescent="0.2">
      <c r="B19" s="11" t="s">
        <v>38</v>
      </c>
      <c r="C19" s="11" t="s">
        <v>0</v>
      </c>
      <c r="H19"/>
      <c r="I19"/>
      <c r="J19"/>
      <c r="K19"/>
    </row>
    <row r="20" spans="2:11" x14ac:dyDescent="0.2">
      <c r="B20" s="11" t="s">
        <v>9</v>
      </c>
      <c r="C20" s="12" t="s">
        <v>1</v>
      </c>
      <c r="D20" s="12" t="s">
        <v>2</v>
      </c>
      <c r="E20" s="12" t="s">
        <v>50</v>
      </c>
      <c r="F20" s="12" t="s">
        <v>51</v>
      </c>
      <c r="G20" s="12" t="s">
        <v>31</v>
      </c>
      <c r="H20"/>
      <c r="I20"/>
      <c r="J20"/>
      <c r="K20"/>
    </row>
    <row r="21" spans="2:11" x14ac:dyDescent="0.2">
      <c r="B21" s="12" t="s">
        <v>14</v>
      </c>
      <c r="C21" s="13">
        <v>0</v>
      </c>
      <c r="D21" s="13">
        <v>0</v>
      </c>
      <c r="E21" s="13">
        <v>-120</v>
      </c>
      <c r="F21" s="13">
        <v>0</v>
      </c>
      <c r="G21" s="13">
        <v>-120</v>
      </c>
      <c r="H21"/>
      <c r="I21"/>
      <c r="J21"/>
      <c r="K21"/>
    </row>
    <row r="22" spans="2:11" x14ac:dyDescent="0.2">
      <c r="B22" s="12" t="s">
        <v>10</v>
      </c>
      <c r="C22" s="13">
        <v>0</v>
      </c>
      <c r="D22" s="13">
        <v>0</v>
      </c>
      <c r="E22" s="13">
        <v>0</v>
      </c>
      <c r="F22" s="13">
        <v>100</v>
      </c>
      <c r="G22" s="13">
        <v>100</v>
      </c>
      <c r="H22"/>
      <c r="I22"/>
      <c r="J22"/>
      <c r="K22"/>
    </row>
    <row r="23" spans="2:11" x14ac:dyDescent="0.2">
      <c r="B23" s="12" t="s">
        <v>11</v>
      </c>
      <c r="C23" s="13">
        <v>0</v>
      </c>
      <c r="D23" s="13">
        <v>43.859649122807014</v>
      </c>
      <c r="E23" s="13">
        <v>0</v>
      </c>
      <c r="F23" s="13">
        <v>100</v>
      </c>
      <c r="G23" s="13">
        <v>143.85964912280701</v>
      </c>
      <c r="H23"/>
      <c r="I23"/>
      <c r="J23"/>
      <c r="K23"/>
    </row>
    <row r="24" spans="2:11" x14ac:dyDescent="0.2">
      <c r="B24" s="12" t="s">
        <v>55</v>
      </c>
      <c r="C24" s="13">
        <v>0</v>
      </c>
      <c r="D24" s="13">
        <v>-80</v>
      </c>
      <c r="E24" s="13">
        <v>0</v>
      </c>
      <c r="F24" s="13">
        <v>0</v>
      </c>
      <c r="G24" s="13">
        <v>-80</v>
      </c>
      <c r="H24"/>
      <c r="I24"/>
      <c r="J24"/>
      <c r="K24"/>
    </row>
    <row r="25" spans="2:11" x14ac:dyDescent="0.2">
      <c r="B25" s="12" t="s">
        <v>56</v>
      </c>
      <c r="C25" s="13">
        <v>35.714285714285722</v>
      </c>
      <c r="D25" s="13">
        <v>0</v>
      </c>
      <c r="E25" s="13">
        <v>0</v>
      </c>
      <c r="F25" s="13">
        <v>0</v>
      </c>
      <c r="G25" s="13">
        <v>35.714285714285722</v>
      </c>
      <c r="H25"/>
      <c r="I25"/>
      <c r="J25"/>
      <c r="K25"/>
    </row>
    <row r="26" spans="2:11" x14ac:dyDescent="0.2">
      <c r="B26" s="12" t="s">
        <v>31</v>
      </c>
      <c r="C26" s="13">
        <v>35.714285714285722</v>
      </c>
      <c r="D26" s="13">
        <v>-36.140350877192986</v>
      </c>
      <c r="E26" s="13">
        <v>-120</v>
      </c>
      <c r="F26" s="13">
        <v>200</v>
      </c>
      <c r="G26" s="13">
        <v>79.573934837092736</v>
      </c>
      <c r="H26"/>
      <c r="I26"/>
      <c r="J26"/>
      <c r="K26"/>
    </row>
    <row r="27" spans="2:11" x14ac:dyDescent="0.2">
      <c r="B27"/>
      <c r="C27"/>
      <c r="D27"/>
      <c r="E27"/>
      <c r="F27"/>
      <c r="G27"/>
      <c r="H27"/>
      <c r="I27"/>
      <c r="J27"/>
      <c r="K27"/>
    </row>
    <row r="28" spans="2:11" x14ac:dyDescent="0.2">
      <c r="B28"/>
      <c r="C28"/>
      <c r="D28"/>
      <c r="E28"/>
      <c r="F28"/>
      <c r="G28"/>
      <c r="H28"/>
      <c r="I28"/>
      <c r="J28"/>
      <c r="K28"/>
    </row>
    <row r="29" spans="2:11" x14ac:dyDescent="0.2">
      <c r="B29"/>
      <c r="C29"/>
      <c r="D29"/>
      <c r="E29"/>
      <c r="F29"/>
      <c r="G29"/>
      <c r="H29"/>
      <c r="I29"/>
      <c r="J29"/>
      <c r="K29"/>
    </row>
    <row r="30" spans="2:11" x14ac:dyDescent="0.2">
      <c r="B30"/>
      <c r="C30"/>
      <c r="D30"/>
      <c r="E30"/>
      <c r="F30"/>
      <c r="G30"/>
      <c r="H30"/>
      <c r="I30"/>
      <c r="J30"/>
      <c r="K30"/>
    </row>
    <row r="31" spans="2:11" x14ac:dyDescent="0.2">
      <c r="B31"/>
      <c r="C31"/>
      <c r="D31"/>
      <c r="E31"/>
      <c r="F31"/>
      <c r="G31"/>
      <c r="H31"/>
      <c r="I31"/>
      <c r="J31"/>
      <c r="K31"/>
    </row>
    <row r="36" spans="2:11" x14ac:dyDescent="0.2">
      <c r="K36"/>
    </row>
    <row r="37" spans="2:11" x14ac:dyDescent="0.2">
      <c r="K37"/>
    </row>
    <row r="38" spans="2:11" x14ac:dyDescent="0.2">
      <c r="B38" s="11" t="s">
        <v>4</v>
      </c>
      <c r="C38" s="12" t="s">
        <v>35</v>
      </c>
      <c r="D38" s="12" t="s">
        <v>40</v>
      </c>
      <c r="E38" s="12" t="s">
        <v>41</v>
      </c>
      <c r="F38" s="12" t="s">
        <v>42</v>
      </c>
      <c r="K38"/>
    </row>
    <row r="39" spans="2:11" x14ac:dyDescent="0.2">
      <c r="B39" s="12" t="s">
        <v>7</v>
      </c>
      <c r="C39" s="13">
        <v>75</v>
      </c>
      <c r="D39" s="14">
        <v>0.14285714285714285</v>
      </c>
      <c r="E39" s="13">
        <v>35.714285714285722</v>
      </c>
      <c r="F39" s="14">
        <v>1</v>
      </c>
      <c r="K39"/>
    </row>
    <row r="40" spans="2:11" x14ac:dyDescent="0.2">
      <c r="B40" s="12" t="s">
        <v>6</v>
      </c>
      <c r="C40" s="13">
        <v>260</v>
      </c>
      <c r="D40" s="14">
        <v>0.49523809523809526</v>
      </c>
      <c r="E40" s="13">
        <v>-20</v>
      </c>
      <c r="F40" s="14">
        <v>-0.55999999999999983</v>
      </c>
      <c r="K40"/>
    </row>
    <row r="41" spans="2:11" x14ac:dyDescent="0.2">
      <c r="B41" s="12" t="s">
        <v>5</v>
      </c>
      <c r="C41" s="13">
        <v>110</v>
      </c>
      <c r="D41" s="14">
        <v>0.20952380952380953</v>
      </c>
      <c r="E41" s="13">
        <v>100</v>
      </c>
      <c r="F41" s="14">
        <v>2.7999999999999994</v>
      </c>
      <c r="K41"/>
    </row>
    <row r="42" spans="2:11" x14ac:dyDescent="0.2">
      <c r="B42" s="12" t="s">
        <v>8</v>
      </c>
      <c r="C42" s="13">
        <v>80</v>
      </c>
      <c r="D42" s="14">
        <v>0.15238095238095239</v>
      </c>
      <c r="E42" s="13">
        <v>-80</v>
      </c>
      <c r="F42" s="14">
        <v>-2.2399999999999993</v>
      </c>
      <c r="K42"/>
    </row>
    <row r="43" spans="2:11" x14ac:dyDescent="0.2">
      <c r="B43" s="12" t="s">
        <v>31</v>
      </c>
      <c r="C43" s="13">
        <v>525</v>
      </c>
      <c r="D43" s="14">
        <v>1</v>
      </c>
      <c r="E43" s="13">
        <v>35.714285714285722</v>
      </c>
      <c r="F43" s="14">
        <v>1</v>
      </c>
      <c r="K43"/>
    </row>
    <row r="44" spans="2:11" x14ac:dyDescent="0.2">
      <c r="B44"/>
      <c r="C44"/>
      <c r="D44"/>
      <c r="E44"/>
      <c r="F44"/>
      <c r="I44" s="11" t="s">
        <v>49</v>
      </c>
      <c r="J44" s="11" t="s">
        <v>34</v>
      </c>
    </row>
    <row r="45" spans="2:11" x14ac:dyDescent="0.2">
      <c r="I45" s="11" t="s">
        <v>9</v>
      </c>
      <c r="J45" s="12" t="s">
        <v>27</v>
      </c>
      <c r="K45" s="12" t="s">
        <v>29</v>
      </c>
    </row>
    <row r="46" spans="2:11" x14ac:dyDescent="0.2">
      <c r="I46" s="12" t="s">
        <v>14</v>
      </c>
      <c r="J46" s="14">
        <v>0</v>
      </c>
      <c r="K46" s="14">
        <v>1</v>
      </c>
    </row>
    <row r="47" spans="2:11" x14ac:dyDescent="0.2">
      <c r="B47" s="11" t="s">
        <v>47</v>
      </c>
      <c r="C47" s="11" t="s">
        <v>46</v>
      </c>
      <c r="F47"/>
      <c r="G47"/>
      <c r="I47" s="12" t="s">
        <v>10</v>
      </c>
      <c r="J47" s="14">
        <v>1</v>
      </c>
      <c r="K47" s="14">
        <v>0</v>
      </c>
    </row>
    <row r="48" spans="2:11" x14ac:dyDescent="0.2">
      <c r="B48" s="11" t="s">
        <v>44</v>
      </c>
      <c r="C48" s="12" t="s">
        <v>27</v>
      </c>
      <c r="D48" s="12" t="s">
        <v>29</v>
      </c>
      <c r="E48" s="12" t="s">
        <v>31</v>
      </c>
      <c r="F48"/>
      <c r="G48"/>
      <c r="I48" s="12" t="s">
        <v>11</v>
      </c>
      <c r="J48" s="14">
        <v>1</v>
      </c>
      <c r="K48" s="14">
        <v>0</v>
      </c>
    </row>
    <row r="49" spans="2:11" x14ac:dyDescent="0.2">
      <c r="B49" s="12" t="s">
        <v>14</v>
      </c>
      <c r="C49" s="34">
        <v>0</v>
      </c>
      <c r="D49" s="34">
        <v>1</v>
      </c>
      <c r="E49" s="34">
        <v>1</v>
      </c>
      <c r="F49"/>
      <c r="G49"/>
      <c r="I49" s="12" t="s">
        <v>55</v>
      </c>
      <c r="J49" s="14">
        <v>0</v>
      </c>
      <c r="K49" s="14">
        <v>1</v>
      </c>
    </row>
    <row r="50" spans="2:11" x14ac:dyDescent="0.2">
      <c r="B50" s="12" t="s">
        <v>10</v>
      </c>
      <c r="C50" s="34">
        <v>1</v>
      </c>
      <c r="D50" s="34">
        <v>0</v>
      </c>
      <c r="E50" s="34">
        <v>1</v>
      </c>
      <c r="F50"/>
      <c r="G50"/>
      <c r="I50" s="12" t="s">
        <v>56</v>
      </c>
      <c r="J50" s="14">
        <v>1</v>
      </c>
      <c r="K50" s="14">
        <v>0</v>
      </c>
    </row>
    <row r="51" spans="2:11" x14ac:dyDescent="0.2">
      <c r="B51" s="12" t="s">
        <v>11</v>
      </c>
      <c r="C51" s="34">
        <v>2</v>
      </c>
      <c r="D51" s="34">
        <v>0</v>
      </c>
      <c r="E51" s="34">
        <v>2</v>
      </c>
      <c r="F51"/>
      <c r="G51"/>
      <c r="I51" s="12" t="s">
        <v>31</v>
      </c>
      <c r="J51" s="14">
        <v>0.66666666666666663</v>
      </c>
      <c r="K51" s="14">
        <v>0.33333333333333331</v>
      </c>
    </row>
    <row r="52" spans="2:11" x14ac:dyDescent="0.2">
      <c r="B52" s="12" t="s">
        <v>55</v>
      </c>
      <c r="C52" s="34">
        <v>0</v>
      </c>
      <c r="D52" s="34">
        <v>1</v>
      </c>
      <c r="E52" s="34">
        <v>1</v>
      </c>
      <c r="F52"/>
      <c r="G52"/>
      <c r="I52"/>
      <c r="J52"/>
      <c r="K52"/>
    </row>
    <row r="53" spans="2:11" x14ac:dyDescent="0.2">
      <c r="B53" s="12" t="s">
        <v>56</v>
      </c>
      <c r="C53" s="34">
        <v>1</v>
      </c>
      <c r="D53" s="34">
        <v>0</v>
      </c>
      <c r="E53" s="34">
        <v>1</v>
      </c>
      <c r="F53"/>
      <c r="G53"/>
      <c r="I53"/>
      <c r="J53"/>
      <c r="K53"/>
    </row>
    <row r="54" spans="2:11" x14ac:dyDescent="0.2">
      <c r="B54" s="12" t="s">
        <v>31</v>
      </c>
      <c r="C54" s="34">
        <v>4</v>
      </c>
      <c r="D54" s="34">
        <v>2</v>
      </c>
      <c r="E54" s="34">
        <v>6</v>
      </c>
      <c r="F54"/>
      <c r="G54"/>
      <c r="I54"/>
      <c r="J54"/>
      <c r="K54"/>
    </row>
    <row r="55" spans="2:11" x14ac:dyDescent="0.2">
      <c r="B55"/>
      <c r="C55"/>
      <c r="D55"/>
      <c r="E55"/>
      <c r="F55"/>
      <c r="G55"/>
      <c r="I55"/>
      <c r="J55"/>
      <c r="K55"/>
    </row>
    <row r="56" spans="2:11" x14ac:dyDescent="0.2">
      <c r="B56"/>
      <c r="C56"/>
      <c r="D56"/>
      <c r="E56"/>
      <c r="F56"/>
      <c r="G56"/>
      <c r="I56"/>
      <c r="J56"/>
      <c r="K56"/>
    </row>
    <row r="57" spans="2:11" x14ac:dyDescent="0.2">
      <c r="B57"/>
      <c r="C57"/>
      <c r="D57"/>
      <c r="E57"/>
      <c r="F57"/>
      <c r="G57"/>
    </row>
    <row r="58" spans="2:11" x14ac:dyDescent="0.2">
      <c r="B58"/>
      <c r="C58"/>
      <c r="D58"/>
      <c r="E58"/>
      <c r="F58"/>
      <c r="G58"/>
    </row>
    <row r="59" spans="2:11" x14ac:dyDescent="0.2">
      <c r="B59"/>
      <c r="C59"/>
      <c r="D59"/>
      <c r="E59"/>
      <c r="F59"/>
      <c r="G59"/>
    </row>
    <row r="60" spans="2:11" x14ac:dyDescent="0.2">
      <c r="B60"/>
      <c r="C60"/>
      <c r="D60"/>
      <c r="E60"/>
      <c r="F60"/>
      <c r="G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5B83E-3FCB-F448-A474-5E7262E94C62}">
  <sheetPr codeName="Sheet4"/>
  <dimension ref="A1:K1000"/>
  <sheetViews>
    <sheetView tabSelected="1" workbookViewId="0">
      <selection activeCell="A8" sqref="A8"/>
    </sheetView>
  </sheetViews>
  <sheetFormatPr baseColWidth="10" defaultRowHeight="16" x14ac:dyDescent="0.2"/>
  <cols>
    <col min="1" max="1" width="21.1640625" style="28" customWidth="1"/>
    <col min="2" max="2" width="16.33203125" customWidth="1"/>
    <col min="3" max="3" width="37.6640625" customWidth="1"/>
    <col min="4" max="4" width="17.83203125" customWidth="1"/>
    <col min="5" max="5" width="15.33203125" customWidth="1"/>
    <col min="6" max="6" width="16.33203125" style="10" customWidth="1"/>
    <col min="7" max="7" width="18.5" customWidth="1"/>
    <col min="8" max="8" width="18.1640625" customWidth="1"/>
    <col min="9" max="9" width="16.5" customWidth="1"/>
    <col min="10" max="10" width="18" customWidth="1"/>
    <col min="11" max="11" width="14.33203125" style="10" customWidth="1"/>
  </cols>
  <sheetData>
    <row r="1" spans="1:11" ht="57" customHeight="1" x14ac:dyDescent="0.2">
      <c r="A1" s="26" t="s">
        <v>17</v>
      </c>
      <c r="B1" s="5" t="s">
        <v>9</v>
      </c>
      <c r="C1" s="5" t="s">
        <v>20</v>
      </c>
      <c r="D1" s="5" t="s">
        <v>18</v>
      </c>
      <c r="E1" s="5" t="s">
        <v>21</v>
      </c>
      <c r="F1" s="5" t="s">
        <v>19</v>
      </c>
      <c r="G1" s="5" t="s">
        <v>28</v>
      </c>
      <c r="H1" s="5" t="s">
        <v>26</v>
      </c>
      <c r="I1" s="5" t="s">
        <v>23</v>
      </c>
      <c r="J1" s="5" t="s">
        <v>24</v>
      </c>
      <c r="K1" s="5" t="s">
        <v>4</v>
      </c>
    </row>
    <row r="2" spans="1:11" x14ac:dyDescent="0.2">
      <c r="A2" s="27">
        <v>45658</v>
      </c>
      <c r="B2" s="1" t="s">
        <v>11</v>
      </c>
      <c r="C2" s="6" t="s">
        <v>66</v>
      </c>
      <c r="D2" s="1" t="s">
        <v>51</v>
      </c>
      <c r="E2" s="7">
        <v>110</v>
      </c>
      <c r="F2" s="8">
        <v>-110</v>
      </c>
      <c r="G2" s="3" cm="1">
        <f t="array" ref="G2">IF(ISBLANK(F2), "", IFERROR(_xlfn.IFS(LEFT(F2,1)="+", (VALUE(MID(F2,2,LEN(F2)))+100)/100, VALUE(F2)&gt;0, (F2+100)/100, VALUE(F2)&lt;0, (ABS(F2)+100)/ABS(F2), F2=0, 0), ""))</f>
        <v>1.9090909090909092</v>
      </c>
      <c r="H2" s="1" t="s">
        <v>27</v>
      </c>
      <c r="I2" s="4">
        <f>IF(Bet_Log[[#This Row],[Result ]]="", "", IF(Bet_Log[[#This Row],[Result ]]="Win", Bet_Log[[#This Row],[Stake]]*Bet_Log[[#This Row],[Decimal]]-Bet_Log[[#This Row],[Stake]], IF(Bet_Log[[#This Row],[Result ]]="Loss", -Bet_Log[[#This Row],[Stake]], IF(Bet_Log[[#This Row],[Result ]]="Push", 0, ""))))</f>
        <v>100</v>
      </c>
      <c r="J2" s="2">
        <f>IF(Bet_Log[[#This Row],[Return]]="", "", Bet_Log[[#This Row],[Return]])</f>
        <v>100</v>
      </c>
      <c r="K2" s="9" t="s">
        <v>5</v>
      </c>
    </row>
    <row r="3" spans="1:11" x14ac:dyDescent="0.2">
      <c r="A3" s="27">
        <v>45658</v>
      </c>
      <c r="B3" s="1" t="s">
        <v>10</v>
      </c>
      <c r="C3" s="6" t="s">
        <v>67</v>
      </c>
      <c r="D3" s="1" t="s">
        <v>51</v>
      </c>
      <c r="E3" s="7">
        <v>140</v>
      </c>
      <c r="F3" s="8">
        <v>-140</v>
      </c>
      <c r="G3" s="3" cm="1">
        <f t="array" ref="G3">IF(ISBLANK(F3), "", IFERROR(_xlfn.IFS(LEFT(F3,1)="+", (VALUE(MID(F3,2,LEN(F3)))+100)/100, VALUE(F3)&gt;0, (F3+100)/100, VALUE(F3)&lt;0, (ABS(F3)+100)/ABS(F3), F3=0, 0), ""))</f>
        <v>1.7142857142857142</v>
      </c>
      <c r="H3" s="1" t="s">
        <v>27</v>
      </c>
      <c r="I3" s="4">
        <f>IF(Bet_Log[[#This Row],[Result ]]="", "", IF(Bet_Log[[#This Row],[Result ]]="Win", Bet_Log[[#This Row],[Stake]]*Bet_Log[[#This Row],[Decimal]]-Bet_Log[[#This Row],[Stake]], IF(Bet_Log[[#This Row],[Result ]]="Loss", -Bet_Log[[#This Row],[Stake]], IF(Bet_Log[[#This Row],[Result ]]="Push", 0, ""))))</f>
        <v>100</v>
      </c>
      <c r="J3" s="2">
        <f>IF(Bet_Log[[#This Row],[Return]]="", "", J2 + Bet_Log[[#This Row],[Return]])</f>
        <v>200</v>
      </c>
      <c r="K3" s="9" t="s">
        <v>6</v>
      </c>
    </row>
    <row r="4" spans="1:11" x14ac:dyDescent="0.2">
      <c r="A4" s="27">
        <v>45659</v>
      </c>
      <c r="B4" s="1" t="s">
        <v>14</v>
      </c>
      <c r="C4" s="6" t="s">
        <v>68</v>
      </c>
      <c r="D4" s="1" t="s">
        <v>50</v>
      </c>
      <c r="E4" s="7">
        <v>120</v>
      </c>
      <c r="F4" s="8">
        <v>120</v>
      </c>
      <c r="G4" s="3" cm="1">
        <f t="array" ref="G4">IF(ISBLANK(F4), "", IFERROR(_xlfn.IFS(LEFT(F4,1)="+", (VALUE(MID(F4,2,LEN(F4)))+100)/100, VALUE(F4)&gt;0, (F4+100)/100, VALUE(F4)&lt;0, (ABS(F4)+100)/ABS(F4), F4=0, 0), ""))</f>
        <v>2.2000000000000002</v>
      </c>
      <c r="H4" s="1" t="s">
        <v>29</v>
      </c>
      <c r="I4" s="4">
        <f>IF(Bet_Log[[#This Row],[Result ]]="", "", IF(Bet_Log[[#This Row],[Result ]]="Win", Bet_Log[[#This Row],[Stake]]*Bet_Log[[#This Row],[Decimal]]-Bet_Log[[#This Row],[Stake]], IF(Bet_Log[[#This Row],[Result ]]="Loss", -Bet_Log[[#This Row],[Stake]], IF(Bet_Log[[#This Row],[Result ]]="Push", 0, ""))))</f>
        <v>-120</v>
      </c>
      <c r="J4" s="2">
        <f>IF(Bet_Log[[#This Row],[Return]]="", "", J3 + Bet_Log[[#This Row],[Return]])</f>
        <v>80</v>
      </c>
      <c r="K4" s="9" t="s">
        <v>6</v>
      </c>
    </row>
    <row r="5" spans="1:11" x14ac:dyDescent="0.2">
      <c r="A5" s="27">
        <v>45660</v>
      </c>
      <c r="B5" s="1" t="s">
        <v>53</v>
      </c>
      <c r="C5" s="6" t="s">
        <v>69</v>
      </c>
      <c r="D5" s="1" t="s">
        <v>1</v>
      </c>
      <c r="E5" s="7">
        <v>75</v>
      </c>
      <c r="F5" s="8">
        <v>-210</v>
      </c>
      <c r="G5" s="3" cm="1">
        <f t="array" ref="G5">IF(ISBLANK(F5), "", IFERROR(_xlfn.IFS(LEFT(F5,1)="+", (VALUE(MID(F5,2,LEN(F5)))+100)/100, VALUE(F5)&gt;0, (F5+100)/100, VALUE(F5)&lt;0, (ABS(F5)+100)/ABS(F5), F5=0, 0), ""))</f>
        <v>1.4761904761904763</v>
      </c>
      <c r="H5" s="1" t="s">
        <v>27</v>
      </c>
      <c r="I5" s="4">
        <f>IF(Bet_Log[[#This Row],[Result ]]="", "", IF(Bet_Log[[#This Row],[Result ]]="Win", Bet_Log[[#This Row],[Stake]]*Bet_Log[[#This Row],[Decimal]]-Bet_Log[[#This Row],[Stake]], IF(Bet_Log[[#This Row],[Result ]]="Loss", -Bet_Log[[#This Row],[Stake]], IF(Bet_Log[[#This Row],[Result ]]="Push", 0, ""))))</f>
        <v>35.714285714285722</v>
      </c>
      <c r="J5" s="2">
        <f>IF(Bet_Log[[#This Row],[Return]]="", "", J4 + Bet_Log[[#This Row],[Return]])</f>
        <v>115.71428571428572</v>
      </c>
      <c r="K5" s="9" t="s">
        <v>7</v>
      </c>
    </row>
    <row r="6" spans="1:11" x14ac:dyDescent="0.2">
      <c r="A6" s="27">
        <v>45661</v>
      </c>
      <c r="B6" s="1" t="s">
        <v>54</v>
      </c>
      <c r="C6" s="6" t="s">
        <v>70</v>
      </c>
      <c r="D6" s="1" t="s">
        <v>2</v>
      </c>
      <c r="E6" s="7">
        <v>80</v>
      </c>
      <c r="F6" s="8">
        <v>120</v>
      </c>
      <c r="G6" s="3" cm="1">
        <f t="array" ref="G6">IF(ISBLANK(F6), "", IFERROR(_xlfn.IFS(LEFT(F6,1)="+", (VALUE(MID(F6,2,LEN(F6)))+100)/100, VALUE(F6)&gt;0, (F6+100)/100, VALUE(F6)&lt;0, (ABS(F6)+100)/ABS(F6), F6=0, 0), ""))</f>
        <v>2.2000000000000002</v>
      </c>
      <c r="H6" s="1" t="s">
        <v>29</v>
      </c>
      <c r="I6" s="4">
        <f>IF(Bet_Log[[#This Row],[Result ]]="", "", IF(Bet_Log[[#This Row],[Result ]]="Win", Bet_Log[[#This Row],[Stake]]*Bet_Log[[#This Row],[Decimal]]-Bet_Log[[#This Row],[Stake]], IF(Bet_Log[[#This Row],[Result ]]="Loss", -Bet_Log[[#This Row],[Stake]], IF(Bet_Log[[#This Row],[Result ]]="Push", 0, ""))))</f>
        <v>-80</v>
      </c>
      <c r="J6" s="2">
        <f>IF(Bet_Log[[#This Row],[Return]]="", "", J5+ Bet_Log[[#This Row],[Return]])</f>
        <v>35.714285714285722</v>
      </c>
      <c r="K6" s="9" t="s">
        <v>8</v>
      </c>
    </row>
    <row r="7" spans="1:11" x14ac:dyDescent="0.2">
      <c r="A7" s="27">
        <v>45662</v>
      </c>
      <c r="B7" s="1" t="s">
        <v>11</v>
      </c>
      <c r="C7" s="6" t="s">
        <v>71</v>
      </c>
      <c r="D7" s="1" t="s">
        <v>2</v>
      </c>
      <c r="E7" s="7">
        <v>50</v>
      </c>
      <c r="F7" s="8">
        <v>-114</v>
      </c>
      <c r="G7" s="3" cm="1">
        <f t="array" ref="G7">IF(ISBLANK(F7), "", IFERROR(_xlfn.IFS(LEFT(F7,1)="+", (VALUE(MID(F7,2,LEN(F7)))+100)/100, VALUE(F7)&gt;0, (F7+100)/100, VALUE(F7)&lt;0, (ABS(F7)+100)/ABS(F7), F7=0, 0), ""))</f>
        <v>1.8771929824561404</v>
      </c>
      <c r="H7" s="1" t="s">
        <v>27</v>
      </c>
      <c r="I7" s="4">
        <f>IF(Bet_Log[[#This Row],[Result ]]="", "", IF(Bet_Log[[#This Row],[Result ]]="Win", Bet_Log[[#This Row],[Stake]]*Bet_Log[[#This Row],[Decimal]]-Bet_Log[[#This Row],[Stake]], IF(Bet_Log[[#This Row],[Result ]]="Loss", -Bet_Log[[#This Row],[Stake]], IF(Bet_Log[[#This Row],[Result ]]="Push", 0, ""))))</f>
        <v>43.859649122807014</v>
      </c>
      <c r="J7" s="2">
        <f>IF(Bet_Log[[#This Row],[Return]]="", "", J6 + Bet_Log[[#This Row],[Return]])</f>
        <v>79.573934837092736</v>
      </c>
      <c r="K7" s="9" t="s">
        <v>5</v>
      </c>
    </row>
    <row r="8" spans="1:11" x14ac:dyDescent="0.2">
      <c r="A8" s="27"/>
      <c r="B8" s="1"/>
      <c r="C8" s="6"/>
      <c r="D8" s="1"/>
      <c r="E8" s="7"/>
      <c r="F8" s="8"/>
      <c r="G8" s="3" t="str" cm="1">
        <f t="array" ref="G8">IF(ISBLANK(F8), "", IFERROR(_xlfn.IFS(LEFT(F8,1)="+", (VALUE(MID(F8,2,LEN(F8)))+100)/100, VALUE(F8)&gt;0, (F8+100)/100, VALUE(F8)&lt;0, (ABS(F8)+100)/ABS(F8), F8=0, 0), ""))</f>
        <v/>
      </c>
      <c r="H8" s="1"/>
      <c r="I8" s="4" t="str">
        <f>IF(Bet_Log[[#This Row],[Result ]]="", "", IF(Bet_Log[[#This Row],[Result ]]="Win", Bet_Log[[#This Row],[Stake]]*Bet_Log[[#This Row],[Decimal]]-Bet_Log[[#This Row],[Stake]], IF(Bet_Log[[#This Row],[Result ]]="Loss", -Bet_Log[[#This Row],[Stake]], IF(Bet_Log[[#This Row],[Result ]]="Push", 0, ""))))</f>
        <v/>
      </c>
      <c r="J8" s="2" t="str">
        <f>IF(Bet_Log[[#This Row],[Return]]="", "", J7 + Bet_Log[[#This Row],[Return]])</f>
        <v/>
      </c>
      <c r="K8" s="9"/>
    </row>
    <row r="9" spans="1:11" x14ac:dyDescent="0.2">
      <c r="A9" s="27"/>
      <c r="B9" s="1"/>
      <c r="C9" s="6"/>
      <c r="D9" s="1"/>
      <c r="E9" s="7"/>
      <c r="F9" s="8"/>
      <c r="G9" s="3" t="str" cm="1">
        <f t="array" ref="G9">IF(ISBLANK(F9), "", IFERROR(_xlfn.IFS(LEFT(F9,1)="+", (VALUE(MID(F9,2,LEN(F9)))+100)/100, VALUE(F9)&gt;0, (F9+100)/100, VALUE(F9)&lt;0, (ABS(F9)+100)/ABS(F9), F9=0, 0), ""))</f>
        <v/>
      </c>
      <c r="H9" s="1"/>
      <c r="I9" s="4" t="str">
        <f>IF(Bet_Log[[#This Row],[Result ]]="", "", IF(Bet_Log[[#This Row],[Result ]]="Win", Bet_Log[[#This Row],[Stake]]*Bet_Log[[#This Row],[Decimal]]-Bet_Log[[#This Row],[Stake]], IF(Bet_Log[[#This Row],[Result ]]="Loss", -Bet_Log[[#This Row],[Stake]], IF(Bet_Log[[#This Row],[Result ]]="Push", 0, ""))))</f>
        <v/>
      </c>
      <c r="J9" s="2" t="str">
        <f>IF(Bet_Log[[#This Row],[Return]]="", "", J8 + Bet_Log[[#This Row],[Return]])</f>
        <v/>
      </c>
      <c r="K9" s="9"/>
    </row>
    <row r="10" spans="1:11" x14ac:dyDescent="0.2">
      <c r="A10" s="27"/>
      <c r="B10" s="1"/>
      <c r="C10" s="6"/>
      <c r="D10" s="1"/>
      <c r="E10" s="7"/>
      <c r="F10" s="8"/>
      <c r="G10" s="3" t="str" cm="1">
        <f t="array" ref="G10">IF(ISBLANK(F10), "", IFERROR(_xlfn.IFS(LEFT(F10,1)="+", (VALUE(MID(F10,2,LEN(F10)))+100)/100, VALUE(F10)&gt;0, (F10+100)/100, VALUE(F10)&lt;0, (ABS(F10)+100)/ABS(F10), F10=0, 0), ""))</f>
        <v/>
      </c>
      <c r="H10" s="1"/>
      <c r="I10" s="4" t="str">
        <f>IF(Bet_Log[[#This Row],[Result ]]="", "", IF(Bet_Log[[#This Row],[Result ]]="Win", Bet_Log[[#This Row],[Stake]]*Bet_Log[[#This Row],[Decimal]]-Bet_Log[[#This Row],[Stake]], IF(Bet_Log[[#This Row],[Result ]]="Loss", -Bet_Log[[#This Row],[Stake]], IF(Bet_Log[[#This Row],[Result ]]="Push", 0, ""))))</f>
        <v/>
      </c>
      <c r="J10" s="2" t="str">
        <f>IF(Bet_Log[[#This Row],[Return]]="", "", J9+ Bet_Log[[#This Row],[Return]])</f>
        <v/>
      </c>
      <c r="K10" s="9"/>
    </row>
    <row r="11" spans="1:11" x14ac:dyDescent="0.2">
      <c r="A11" s="27"/>
      <c r="B11" s="1"/>
      <c r="C11" s="6"/>
      <c r="D11" s="1"/>
      <c r="E11" s="7"/>
      <c r="F11" s="8"/>
      <c r="G11" s="3" t="str" cm="1">
        <f t="array" ref="G11">IF(ISBLANK(F11), "", IFERROR(_xlfn.IFS(LEFT(F11,1)="+", (VALUE(MID(F11,2,LEN(F11)))+100)/100, VALUE(F11)&gt;0, (F11+100)/100, VALUE(F11)&lt;0, (ABS(F11)+100)/ABS(F11), F11=0, 0), ""))</f>
        <v/>
      </c>
      <c r="H11" s="1"/>
      <c r="I11" s="4" t="str">
        <f>IF(Bet_Log[[#This Row],[Result ]]="", "", IF(Bet_Log[[#This Row],[Result ]]="Win", Bet_Log[[#This Row],[Stake]]*Bet_Log[[#This Row],[Decimal]]-Bet_Log[[#This Row],[Stake]], IF(Bet_Log[[#This Row],[Result ]]="Loss", -Bet_Log[[#This Row],[Stake]], IF(Bet_Log[[#This Row],[Result ]]="Push", 0, ""))))</f>
        <v/>
      </c>
      <c r="J11" s="2" t="str">
        <f>IF(Bet_Log[[#This Row],[Return]]="", "", J10 + Bet_Log[[#This Row],[Return]])</f>
        <v/>
      </c>
      <c r="K11" s="9"/>
    </row>
    <row r="12" spans="1:11" x14ac:dyDescent="0.2">
      <c r="A12" s="27"/>
      <c r="B12" s="1"/>
      <c r="C12" s="6"/>
      <c r="D12" s="1"/>
      <c r="E12" s="7"/>
      <c r="F12" s="8"/>
      <c r="G12" s="3" t="str" cm="1">
        <f t="array" ref="G12">IF(ISBLANK(F12), "", IFERROR(_xlfn.IFS(LEFT(F12,1)="+", (VALUE(MID(F12,2,LEN(F12)))+100)/100, VALUE(F12)&gt;0, (F12+100)/100, VALUE(F12)&lt;0, (ABS(F12)+100)/ABS(F12), F12=0, 0), ""))</f>
        <v/>
      </c>
      <c r="H12" s="1"/>
      <c r="I12" s="4" t="str">
        <f>IF(Bet_Log[[#This Row],[Result ]]="", "", IF(Bet_Log[[#This Row],[Result ]]="Win", Bet_Log[[#This Row],[Stake]]*Bet_Log[[#This Row],[Decimal]]-Bet_Log[[#This Row],[Stake]], IF(Bet_Log[[#This Row],[Result ]]="Loss", -Bet_Log[[#This Row],[Stake]], IF(Bet_Log[[#This Row],[Result ]]="Push", 0, ""))))</f>
        <v/>
      </c>
      <c r="J12" s="2" t="str">
        <f>IF(Bet_Log[[#This Row],[Return]]="", "", J11 + Bet_Log[[#This Row],[Return]])</f>
        <v/>
      </c>
      <c r="K12" s="9"/>
    </row>
    <row r="13" spans="1:11" x14ac:dyDescent="0.2">
      <c r="A13" s="27"/>
      <c r="B13" s="1"/>
      <c r="C13" s="6"/>
      <c r="D13" s="1"/>
      <c r="E13" s="7"/>
      <c r="F13" s="8"/>
      <c r="G13" s="3" t="str" cm="1">
        <f t="array" ref="G13">IF(ISBLANK(F13), "", IFERROR(_xlfn.IFS(LEFT(F13,1)="+", (VALUE(MID(F13,2,LEN(F13)))+100)/100, VALUE(F13)&gt;0, (F13+100)/100, VALUE(F13)&lt;0, (ABS(F13)+100)/ABS(F13), F13=0, 0), ""))</f>
        <v/>
      </c>
      <c r="H13" s="1"/>
      <c r="I13" s="4" t="str">
        <f>IF(Bet_Log[[#This Row],[Result ]]="", "", IF(Bet_Log[[#This Row],[Result ]]="Win", Bet_Log[[#This Row],[Stake]]*Bet_Log[[#This Row],[Decimal]]-Bet_Log[[#This Row],[Stake]], IF(Bet_Log[[#This Row],[Result ]]="Loss", -Bet_Log[[#This Row],[Stake]], IF(Bet_Log[[#This Row],[Result ]]="Push", 0, ""))))</f>
        <v/>
      </c>
      <c r="J13" s="2" t="str">
        <f>IF(Bet_Log[[#This Row],[Return]]="", "", J12 + Bet_Log[[#This Row],[Return]])</f>
        <v/>
      </c>
      <c r="K13" s="9"/>
    </row>
    <row r="14" spans="1:11" x14ac:dyDescent="0.2">
      <c r="A14" s="27"/>
      <c r="B14" s="1"/>
      <c r="C14" s="6"/>
      <c r="D14" s="1"/>
      <c r="E14" s="7"/>
      <c r="F14" s="8"/>
      <c r="G14" s="3" t="str" cm="1">
        <f t="array" ref="G14">IF(ISBLANK(F14), "", IFERROR(_xlfn.IFS(LEFT(F14,1)="+", (VALUE(MID(F14,2,LEN(F14)))+100)/100, VALUE(F14)&gt;0, (F14+100)/100, VALUE(F14)&lt;0, (ABS(F14)+100)/ABS(F14), F14=0, 0), ""))</f>
        <v/>
      </c>
      <c r="H14" s="1"/>
      <c r="I14" s="4" t="str">
        <f>IF(Bet_Log[[#This Row],[Result ]]="", "", IF(Bet_Log[[#This Row],[Result ]]="Win", Bet_Log[[#This Row],[Stake]]*Bet_Log[[#This Row],[Decimal]]-Bet_Log[[#This Row],[Stake]], IF(Bet_Log[[#This Row],[Result ]]="Loss", -Bet_Log[[#This Row],[Stake]], IF(Bet_Log[[#This Row],[Result ]]="Push", 0, ""))))</f>
        <v/>
      </c>
      <c r="J14" s="2" t="str">
        <f>IF(Bet_Log[[#This Row],[Return]]="", "", J13+ Bet_Log[[#This Row],[Return]])</f>
        <v/>
      </c>
      <c r="K14" s="9"/>
    </row>
    <row r="15" spans="1:11" x14ac:dyDescent="0.2">
      <c r="A15" s="27"/>
      <c r="B15" s="1"/>
      <c r="C15" s="6"/>
      <c r="D15" s="1"/>
      <c r="E15" s="7"/>
      <c r="F15" s="8"/>
      <c r="G15" s="3" t="str" cm="1">
        <f t="array" ref="G15">IF(ISBLANK(F15), "", IFERROR(_xlfn.IFS(LEFT(F15,1)="+", (VALUE(MID(F15,2,LEN(F15)))+100)/100, VALUE(F15)&gt;0, (F15+100)/100, VALUE(F15)&lt;0, (ABS(F15)+100)/ABS(F15), F15=0, 0), ""))</f>
        <v/>
      </c>
      <c r="H15" s="1"/>
      <c r="I15" s="4" t="str">
        <f>IF(Bet_Log[[#This Row],[Result ]]="", "", IF(Bet_Log[[#This Row],[Result ]]="Win", Bet_Log[[#This Row],[Stake]]*Bet_Log[[#This Row],[Decimal]]-Bet_Log[[#This Row],[Stake]], IF(Bet_Log[[#This Row],[Result ]]="Loss", -Bet_Log[[#This Row],[Stake]], IF(Bet_Log[[#This Row],[Result ]]="Push", 0, ""))))</f>
        <v/>
      </c>
      <c r="J15" s="2" t="str">
        <f>IF(Bet_Log[[#This Row],[Return]]="", "", J14 + Bet_Log[[#This Row],[Return]])</f>
        <v/>
      </c>
      <c r="K15" s="9"/>
    </row>
    <row r="16" spans="1:11" x14ac:dyDescent="0.2">
      <c r="A16" s="27"/>
      <c r="B16" s="1"/>
      <c r="C16" s="6"/>
      <c r="D16" s="1"/>
      <c r="E16" s="7"/>
      <c r="F16" s="8"/>
      <c r="G16" s="3" t="str" cm="1">
        <f t="array" ref="G16">IF(ISBLANK(F16), "", IFERROR(_xlfn.IFS(LEFT(F16,1)="+", (VALUE(MID(F16,2,LEN(F16)))+100)/100, VALUE(F16)&gt;0, (F16+100)/100, VALUE(F16)&lt;0, (ABS(F16)+100)/ABS(F16), F16=0, 0), ""))</f>
        <v/>
      </c>
      <c r="H16" s="1"/>
      <c r="I16" s="4" t="str">
        <f>IF(Bet_Log[[#This Row],[Result ]]="", "", IF(Bet_Log[[#This Row],[Result ]]="Win", Bet_Log[[#This Row],[Stake]]*Bet_Log[[#This Row],[Decimal]]-Bet_Log[[#This Row],[Stake]], IF(Bet_Log[[#This Row],[Result ]]="Loss", -Bet_Log[[#This Row],[Stake]], IF(Bet_Log[[#This Row],[Result ]]="Push", 0, ""))))</f>
        <v/>
      </c>
      <c r="J16" s="2" t="str">
        <f>IF(Bet_Log[[#This Row],[Return]]="", "", J15 + Bet_Log[[#This Row],[Return]])</f>
        <v/>
      </c>
      <c r="K16" s="9"/>
    </row>
    <row r="17" spans="1:11" x14ac:dyDescent="0.2">
      <c r="A17" s="27"/>
      <c r="B17" s="1"/>
      <c r="C17" s="6"/>
      <c r="D17" s="1"/>
      <c r="E17" s="7"/>
      <c r="F17" s="8"/>
      <c r="G17" s="3" t="str" cm="1">
        <f t="array" ref="G17">IF(ISBLANK(F17), "", IFERROR(_xlfn.IFS(LEFT(F17,1)="+", (VALUE(MID(F17,2,LEN(F17)))+100)/100, VALUE(F17)&gt;0, (F17+100)/100, VALUE(F17)&lt;0, (ABS(F17)+100)/ABS(F17), F17=0, 0), ""))</f>
        <v/>
      </c>
      <c r="H17" s="1"/>
      <c r="I17" s="4" t="str">
        <f>IF(Bet_Log[[#This Row],[Result ]]="", "", IF(Bet_Log[[#This Row],[Result ]]="Win", Bet_Log[[#This Row],[Stake]]*Bet_Log[[#This Row],[Decimal]]-Bet_Log[[#This Row],[Stake]], IF(Bet_Log[[#This Row],[Result ]]="Loss", -Bet_Log[[#This Row],[Stake]], IF(Bet_Log[[#This Row],[Result ]]="Push", 0, ""))))</f>
        <v/>
      </c>
      <c r="J17" s="2" t="str">
        <f>IF(Bet_Log[[#This Row],[Return]]="", "", J16 + Bet_Log[[#This Row],[Return]])</f>
        <v/>
      </c>
      <c r="K17" s="9"/>
    </row>
    <row r="18" spans="1:11" x14ac:dyDescent="0.2">
      <c r="A18" s="27"/>
      <c r="B18" s="1"/>
      <c r="C18" s="6"/>
      <c r="D18" s="1"/>
      <c r="E18" s="7"/>
      <c r="F18" s="8"/>
      <c r="G18" s="3" t="str" cm="1">
        <f t="array" ref="G18">IF(ISBLANK(F18), "", IFERROR(_xlfn.IFS(LEFT(F18,1)="+", (VALUE(MID(F18,2,LEN(F18)))+100)/100, VALUE(F18)&gt;0, (F18+100)/100, VALUE(F18)&lt;0, (ABS(F18)+100)/ABS(F18), F18=0, 0), ""))</f>
        <v/>
      </c>
      <c r="H18" s="1"/>
      <c r="I18" s="4" t="str">
        <f>IF(Bet_Log[[#This Row],[Result ]]="", "", IF(Bet_Log[[#This Row],[Result ]]="Win", Bet_Log[[#This Row],[Stake]]*Bet_Log[[#This Row],[Decimal]]-Bet_Log[[#This Row],[Stake]], IF(Bet_Log[[#This Row],[Result ]]="Loss", -Bet_Log[[#This Row],[Stake]], IF(Bet_Log[[#This Row],[Result ]]="Push", 0, ""))))</f>
        <v/>
      </c>
      <c r="J18" s="2" t="str">
        <f>IF(Bet_Log[[#This Row],[Return]]="", "", J17+ Bet_Log[[#This Row],[Return]])</f>
        <v/>
      </c>
      <c r="K18" s="9"/>
    </row>
    <row r="19" spans="1:11" x14ac:dyDescent="0.2">
      <c r="A19" s="27"/>
      <c r="B19" s="1"/>
      <c r="C19" s="6"/>
      <c r="D19" s="1"/>
      <c r="E19" s="7"/>
      <c r="F19" s="8"/>
      <c r="G19" s="3" t="str" cm="1">
        <f t="array" ref="G19">IF(ISBLANK(F19), "", IFERROR(_xlfn.IFS(LEFT(F19,1)="+", (VALUE(MID(F19,2,LEN(F19)))+100)/100, VALUE(F19)&gt;0, (F19+100)/100, VALUE(F19)&lt;0, (ABS(F19)+100)/ABS(F19), F19=0, 0), ""))</f>
        <v/>
      </c>
      <c r="H19" s="1"/>
      <c r="I19" s="4" t="str">
        <f>IF(Bet_Log[[#This Row],[Result ]]="", "", IF(Bet_Log[[#This Row],[Result ]]="Win", Bet_Log[[#This Row],[Stake]]*Bet_Log[[#This Row],[Decimal]]-Bet_Log[[#This Row],[Stake]], IF(Bet_Log[[#This Row],[Result ]]="Loss", -Bet_Log[[#This Row],[Stake]], IF(Bet_Log[[#This Row],[Result ]]="Push", 0, ""))))</f>
        <v/>
      </c>
      <c r="J19" s="2" t="str">
        <f>IF(Bet_Log[[#This Row],[Return]]="", "", J18 + Bet_Log[[#This Row],[Return]])</f>
        <v/>
      </c>
      <c r="K19" s="9"/>
    </row>
    <row r="20" spans="1:11" x14ac:dyDescent="0.2">
      <c r="A20" s="27"/>
      <c r="B20" s="1"/>
      <c r="C20" s="6"/>
      <c r="D20" s="1"/>
      <c r="E20" s="7"/>
      <c r="F20" s="8"/>
      <c r="G20" s="3" t="str" cm="1">
        <f t="array" ref="G20">IF(ISBLANK(F20), "", IFERROR(_xlfn.IFS(LEFT(F20,1)="+", (VALUE(MID(F20,2,LEN(F20)))+100)/100, VALUE(F20)&gt;0, (F20+100)/100, VALUE(F20)&lt;0, (ABS(F20)+100)/ABS(F20), F20=0, 0), ""))</f>
        <v/>
      </c>
      <c r="H20" s="1"/>
      <c r="I20" s="4" t="str">
        <f>IF(Bet_Log[[#This Row],[Result ]]="", "", IF(Bet_Log[[#This Row],[Result ]]="Win", Bet_Log[[#This Row],[Stake]]*Bet_Log[[#This Row],[Decimal]]-Bet_Log[[#This Row],[Stake]], IF(Bet_Log[[#This Row],[Result ]]="Loss", -Bet_Log[[#This Row],[Stake]], IF(Bet_Log[[#This Row],[Result ]]="Push", 0, ""))))</f>
        <v/>
      </c>
      <c r="J20" s="2" t="str">
        <f>IF(Bet_Log[[#This Row],[Return]]="", "", J19 + Bet_Log[[#This Row],[Return]])</f>
        <v/>
      </c>
      <c r="K20" s="9"/>
    </row>
    <row r="21" spans="1:11" x14ac:dyDescent="0.2">
      <c r="A21" s="27"/>
      <c r="B21" s="1"/>
      <c r="C21" s="6"/>
      <c r="D21" s="1"/>
      <c r="E21" s="7"/>
      <c r="F21" s="8"/>
      <c r="G21" s="3" t="str" cm="1">
        <f t="array" ref="G21">IF(ISBLANK(F21), "", IFERROR(_xlfn.IFS(LEFT(F21,1)="+", (VALUE(MID(F21,2,LEN(F21)))+100)/100, VALUE(F21)&gt;0, (F21+100)/100, VALUE(F21)&lt;0, (ABS(F21)+100)/ABS(F21), F21=0, 0), ""))</f>
        <v/>
      </c>
      <c r="H21" s="1"/>
      <c r="I21" s="4" t="str">
        <f>IF(Bet_Log[[#This Row],[Result ]]="", "", IF(Bet_Log[[#This Row],[Result ]]="Win", Bet_Log[[#This Row],[Stake]]*Bet_Log[[#This Row],[Decimal]]-Bet_Log[[#This Row],[Stake]], IF(Bet_Log[[#This Row],[Result ]]="Loss", -Bet_Log[[#This Row],[Stake]], IF(Bet_Log[[#This Row],[Result ]]="Push", 0, ""))))</f>
        <v/>
      </c>
      <c r="J21" s="2" t="str">
        <f>IF(Bet_Log[[#This Row],[Return]]="", "", J20 + Bet_Log[[#This Row],[Return]])</f>
        <v/>
      </c>
      <c r="K21" s="9"/>
    </row>
    <row r="22" spans="1:11" x14ac:dyDescent="0.2">
      <c r="A22" s="27"/>
      <c r="B22" s="1"/>
      <c r="C22" s="6"/>
      <c r="D22" s="1"/>
      <c r="E22" s="7"/>
      <c r="F22" s="8"/>
      <c r="G22" s="3" t="str" cm="1">
        <f t="array" ref="G22">IF(ISBLANK(F22), "", IFERROR(_xlfn.IFS(LEFT(F22,1)="+", (VALUE(MID(F22,2,LEN(F22)))+100)/100, VALUE(F22)&gt;0, (F22+100)/100, VALUE(F22)&lt;0, (ABS(F22)+100)/ABS(F22), F22=0, 0), ""))</f>
        <v/>
      </c>
      <c r="H22" s="1"/>
      <c r="I22" s="4" t="str">
        <f>IF(Bet_Log[[#This Row],[Result ]]="", "", IF(Bet_Log[[#This Row],[Result ]]="Win", Bet_Log[[#This Row],[Stake]]*Bet_Log[[#This Row],[Decimal]]-Bet_Log[[#This Row],[Stake]], IF(Bet_Log[[#This Row],[Result ]]="Loss", -Bet_Log[[#This Row],[Stake]], IF(Bet_Log[[#This Row],[Result ]]="Push", 0, ""))))</f>
        <v/>
      </c>
      <c r="J22" s="2" t="str">
        <f>IF(Bet_Log[[#This Row],[Return]]="", "", J21+ Bet_Log[[#This Row],[Return]])</f>
        <v/>
      </c>
      <c r="K22" s="9"/>
    </row>
    <row r="23" spans="1:11" x14ac:dyDescent="0.2">
      <c r="A23" s="27"/>
      <c r="B23" s="1"/>
      <c r="C23" s="6"/>
      <c r="D23" s="1"/>
      <c r="E23" s="7"/>
      <c r="F23" s="8"/>
      <c r="G23" s="3" t="str" cm="1">
        <f t="array" ref="G23">IF(ISBLANK(F23), "", IFERROR(_xlfn.IFS(LEFT(F23,1)="+", (VALUE(MID(F23,2,LEN(F23)))+100)/100, VALUE(F23)&gt;0, (F23+100)/100, VALUE(F23)&lt;0, (ABS(F23)+100)/ABS(F23), F23=0, 0), ""))</f>
        <v/>
      </c>
      <c r="H23" s="1"/>
      <c r="I23" s="4" t="str">
        <f>IF(Bet_Log[[#This Row],[Result ]]="", "", IF(Bet_Log[[#This Row],[Result ]]="Win", Bet_Log[[#This Row],[Stake]]*Bet_Log[[#This Row],[Decimal]]-Bet_Log[[#This Row],[Stake]], IF(Bet_Log[[#This Row],[Result ]]="Loss", -Bet_Log[[#This Row],[Stake]], IF(Bet_Log[[#This Row],[Result ]]="Push", 0, ""))))</f>
        <v/>
      </c>
      <c r="J23" s="2" t="str">
        <f>IF(Bet_Log[[#This Row],[Return]]="", "", J22 + Bet_Log[[#This Row],[Return]])</f>
        <v/>
      </c>
      <c r="K23" s="9"/>
    </row>
    <row r="24" spans="1:11" x14ac:dyDescent="0.2">
      <c r="A24" s="27"/>
      <c r="B24" s="1"/>
      <c r="C24" s="6"/>
      <c r="D24" s="1"/>
      <c r="E24" s="7"/>
      <c r="F24" s="8"/>
      <c r="G24" s="3" t="str" cm="1">
        <f t="array" ref="G24">IF(ISBLANK(F24), "", IFERROR(_xlfn.IFS(LEFT(F24,1)="+", (VALUE(MID(F24,2,LEN(F24)))+100)/100, VALUE(F24)&gt;0, (F24+100)/100, VALUE(F24)&lt;0, (ABS(F24)+100)/ABS(F24), F24=0, 0), ""))</f>
        <v/>
      </c>
      <c r="H24" s="1"/>
      <c r="I24" s="4" t="str">
        <f>IF(Bet_Log[[#This Row],[Result ]]="", "", IF(Bet_Log[[#This Row],[Result ]]="Win", Bet_Log[[#This Row],[Stake]]*Bet_Log[[#This Row],[Decimal]]-Bet_Log[[#This Row],[Stake]], IF(Bet_Log[[#This Row],[Result ]]="Loss", -Bet_Log[[#This Row],[Stake]], IF(Bet_Log[[#This Row],[Result ]]="Push", 0, ""))))</f>
        <v/>
      </c>
      <c r="J24" s="2" t="str">
        <f>IF(Bet_Log[[#This Row],[Return]]="", "", J23 + Bet_Log[[#This Row],[Return]])</f>
        <v/>
      </c>
      <c r="K24" s="9"/>
    </row>
    <row r="25" spans="1:11" x14ac:dyDescent="0.2">
      <c r="A25" s="27"/>
      <c r="B25" s="1"/>
      <c r="C25" s="6"/>
      <c r="D25" s="1"/>
      <c r="E25" s="7"/>
      <c r="F25" s="8"/>
      <c r="G25" s="3" t="str" cm="1">
        <f t="array" ref="G25">IF(ISBLANK(F25), "", IFERROR(_xlfn.IFS(LEFT(F25,1)="+", (VALUE(MID(F25,2,LEN(F25)))+100)/100, VALUE(F25)&gt;0, (F25+100)/100, VALUE(F25)&lt;0, (ABS(F25)+100)/ABS(F25), F25=0, 0), ""))</f>
        <v/>
      </c>
      <c r="H25" s="1"/>
      <c r="I25" s="4" t="str">
        <f>IF(Bet_Log[[#This Row],[Result ]]="", "", IF(Bet_Log[[#This Row],[Result ]]="Win", Bet_Log[[#This Row],[Stake]]*Bet_Log[[#This Row],[Decimal]]-Bet_Log[[#This Row],[Stake]], IF(Bet_Log[[#This Row],[Result ]]="Loss", -Bet_Log[[#This Row],[Stake]], IF(Bet_Log[[#This Row],[Result ]]="Push", 0, ""))))</f>
        <v/>
      </c>
      <c r="J25" s="2" t="str">
        <f>IF(Bet_Log[[#This Row],[Return]]="", "", J24 + Bet_Log[[#This Row],[Return]])</f>
        <v/>
      </c>
      <c r="K25" s="9"/>
    </row>
    <row r="26" spans="1:11" x14ac:dyDescent="0.2">
      <c r="A26" s="27"/>
      <c r="B26" s="1"/>
      <c r="C26" s="6"/>
      <c r="D26" s="1"/>
      <c r="E26" s="7"/>
      <c r="F26" s="8"/>
      <c r="G26" s="3" t="str" cm="1">
        <f t="array" ref="G26">IF(ISBLANK(F26), "", IFERROR(_xlfn.IFS(LEFT(F26,1)="+", (VALUE(MID(F26,2,LEN(F26)))+100)/100, VALUE(F26)&gt;0, (F26+100)/100, VALUE(F26)&lt;0, (ABS(F26)+100)/ABS(F26), F26=0, 0), ""))</f>
        <v/>
      </c>
      <c r="H26" s="1"/>
      <c r="I26" s="4" t="str">
        <f>IF(Bet_Log[[#This Row],[Result ]]="", "", IF(Bet_Log[[#This Row],[Result ]]="Win", Bet_Log[[#This Row],[Stake]]*Bet_Log[[#This Row],[Decimal]]-Bet_Log[[#This Row],[Stake]], IF(Bet_Log[[#This Row],[Result ]]="Loss", -Bet_Log[[#This Row],[Stake]], IF(Bet_Log[[#This Row],[Result ]]="Push", 0, ""))))</f>
        <v/>
      </c>
      <c r="J26" s="2" t="str">
        <f>IF(Bet_Log[[#This Row],[Return]]="", "", J25 + Bet_Log[[#This Row],[Return]])</f>
        <v/>
      </c>
      <c r="K26" s="9"/>
    </row>
    <row r="27" spans="1:11" x14ac:dyDescent="0.2">
      <c r="A27" s="27"/>
      <c r="B27" s="1"/>
      <c r="C27" s="6"/>
      <c r="D27" s="1"/>
      <c r="E27" s="7"/>
      <c r="F27" s="8"/>
      <c r="G27" s="3" t="str" cm="1">
        <f t="array" ref="G27">IF(ISBLANK(F27), "", IFERROR(_xlfn.IFS(LEFT(F27,1)="+", (VALUE(MID(F27,2,LEN(F27)))+100)/100, VALUE(F27)&gt;0, (F27+100)/100, VALUE(F27)&lt;0, (ABS(F27)+100)/ABS(F27), F27=0, 0), ""))</f>
        <v/>
      </c>
      <c r="H27" s="1"/>
      <c r="I27" s="4" t="str">
        <f>IF(Bet_Log[[#This Row],[Result ]]="", "", IF(Bet_Log[[#This Row],[Result ]]="Win", Bet_Log[[#This Row],[Stake]]*Bet_Log[[#This Row],[Decimal]]-Bet_Log[[#This Row],[Stake]], IF(Bet_Log[[#This Row],[Result ]]="Loss", -Bet_Log[[#This Row],[Stake]], IF(Bet_Log[[#This Row],[Result ]]="Push", 0, ""))))</f>
        <v/>
      </c>
      <c r="J27" s="2" t="str">
        <f>IF(Bet_Log[[#This Row],[Return]]="", "", J26 + Bet_Log[[#This Row],[Return]])</f>
        <v/>
      </c>
      <c r="K27" s="9"/>
    </row>
    <row r="28" spans="1:11" x14ac:dyDescent="0.2">
      <c r="A28" s="27"/>
      <c r="B28" s="1"/>
      <c r="C28" s="6"/>
      <c r="D28" s="1"/>
      <c r="E28" s="7"/>
      <c r="F28" s="8"/>
      <c r="G28" s="3" t="str" cm="1">
        <f t="array" ref="G28">IF(ISBLANK(F28), "", IFERROR(_xlfn.IFS(LEFT(F28,1)="+", (VALUE(MID(F28,2,LEN(F28)))+100)/100, VALUE(F28)&gt;0, (F28+100)/100, VALUE(F28)&lt;0, (ABS(F28)+100)/ABS(F28), F28=0, 0), ""))</f>
        <v/>
      </c>
      <c r="H28" s="1"/>
      <c r="I28" s="4" t="str">
        <f>IF(Bet_Log[[#This Row],[Result ]]="", "", IF(Bet_Log[[#This Row],[Result ]]="Win", Bet_Log[[#This Row],[Stake]]*Bet_Log[[#This Row],[Decimal]]-Bet_Log[[#This Row],[Stake]], IF(Bet_Log[[#This Row],[Result ]]="Loss", -Bet_Log[[#This Row],[Stake]], IF(Bet_Log[[#This Row],[Result ]]="Push", 0, ""))))</f>
        <v/>
      </c>
      <c r="J28" s="2" t="str">
        <f>IF(Bet_Log[[#This Row],[Return]]="", "", J27 + Bet_Log[[#This Row],[Return]])</f>
        <v/>
      </c>
      <c r="K28" s="9"/>
    </row>
    <row r="29" spans="1:11" x14ac:dyDescent="0.2">
      <c r="A29" s="27"/>
      <c r="B29" s="1"/>
      <c r="C29" s="6"/>
      <c r="D29" s="1"/>
      <c r="E29" s="7"/>
      <c r="F29" s="8"/>
      <c r="G29" s="3" t="str" cm="1">
        <f t="array" ref="G29">IF(ISBLANK(F29), "", IFERROR(_xlfn.IFS(LEFT(F29,1)="+", (VALUE(MID(F29,2,LEN(F29)))+100)/100, VALUE(F29)&gt;0, (F29+100)/100, VALUE(F29)&lt;0, (ABS(F29)+100)/ABS(F29), F29=0, 0), ""))</f>
        <v/>
      </c>
      <c r="H29" s="1"/>
      <c r="I29" s="4" t="str">
        <f>IF(Bet_Log[[#This Row],[Result ]]="", "", IF(Bet_Log[[#This Row],[Result ]]="Win", Bet_Log[[#This Row],[Stake]]*Bet_Log[[#This Row],[Decimal]]-Bet_Log[[#This Row],[Stake]], IF(Bet_Log[[#This Row],[Result ]]="Loss", -Bet_Log[[#This Row],[Stake]], IF(Bet_Log[[#This Row],[Result ]]="Push", 0, ""))))</f>
        <v/>
      </c>
      <c r="J29" s="2" t="str">
        <f>IF(Bet_Log[[#This Row],[Return]]="", "", J28 + Bet_Log[[#This Row],[Return]])</f>
        <v/>
      </c>
      <c r="K29" s="9"/>
    </row>
    <row r="30" spans="1:11" x14ac:dyDescent="0.2">
      <c r="A30" s="27"/>
      <c r="B30" s="1"/>
      <c r="C30" s="6"/>
      <c r="D30" s="1"/>
      <c r="E30" s="7"/>
      <c r="F30" s="8"/>
      <c r="G30" s="3" t="str" cm="1">
        <f t="array" ref="G30">IF(ISBLANK(F30), "", IFERROR(_xlfn.IFS(LEFT(F30,1)="+", (VALUE(MID(F30,2,LEN(F30)))+100)/100, VALUE(F30)&gt;0, (F30+100)/100, VALUE(F30)&lt;0, (ABS(F30)+100)/ABS(F30), F30=0, 0), ""))</f>
        <v/>
      </c>
      <c r="H30" s="1"/>
      <c r="I30" s="4" t="str">
        <f>IF(Bet_Log[[#This Row],[Result ]]="", "", IF(Bet_Log[[#This Row],[Result ]]="Win", Bet_Log[[#This Row],[Stake]]*Bet_Log[[#This Row],[Decimal]]-Bet_Log[[#This Row],[Stake]], IF(Bet_Log[[#This Row],[Result ]]="Loss", -Bet_Log[[#This Row],[Stake]], IF(Bet_Log[[#This Row],[Result ]]="Push", 0, ""))))</f>
        <v/>
      </c>
      <c r="J30" s="2" t="str">
        <f>IF(Bet_Log[[#This Row],[Return]]="", "", J29 + Bet_Log[[#This Row],[Return]])</f>
        <v/>
      </c>
      <c r="K30" s="9"/>
    </row>
    <row r="31" spans="1:11" x14ac:dyDescent="0.2">
      <c r="A31" s="27"/>
      <c r="B31" s="1"/>
      <c r="C31" s="6"/>
      <c r="D31" s="1"/>
      <c r="E31" s="7"/>
      <c r="F31" s="8"/>
      <c r="G31" s="3" t="str" cm="1">
        <f t="array" ref="G31">IF(ISBLANK(F31), "", IFERROR(_xlfn.IFS(LEFT(F31,1)="+", (VALUE(MID(F31,2,LEN(F31)))+100)/100, VALUE(F31)&gt;0, (F31+100)/100, VALUE(F31)&lt;0, (ABS(F31)+100)/ABS(F31), F31=0, 0), ""))</f>
        <v/>
      </c>
      <c r="H31" s="1"/>
      <c r="I31" s="4" t="str">
        <f>IF(Bet_Log[[#This Row],[Result ]]="", "", IF(Bet_Log[[#This Row],[Result ]]="Win", Bet_Log[[#This Row],[Stake]]*Bet_Log[[#This Row],[Decimal]]-Bet_Log[[#This Row],[Stake]], IF(Bet_Log[[#This Row],[Result ]]="Loss", -Bet_Log[[#This Row],[Stake]], IF(Bet_Log[[#This Row],[Result ]]="Push", 0, ""))))</f>
        <v/>
      </c>
      <c r="J31" s="2" t="str">
        <f>IF(Bet_Log[[#This Row],[Return]]="", "", J30 + Bet_Log[[#This Row],[Return]])</f>
        <v/>
      </c>
      <c r="K31" s="9"/>
    </row>
    <row r="32" spans="1:11" x14ac:dyDescent="0.2">
      <c r="A32" s="27"/>
      <c r="B32" s="1"/>
      <c r="C32" s="6"/>
      <c r="D32" s="1"/>
      <c r="E32" s="7"/>
      <c r="F32" s="8"/>
      <c r="G32" s="3" t="str" cm="1">
        <f t="array" ref="G32">IF(ISBLANK(F32), "", IFERROR(_xlfn.IFS(LEFT(F32,1)="+", (VALUE(MID(F32,2,LEN(F32)))+100)/100, VALUE(F32)&gt;0, (F32+100)/100, VALUE(F32)&lt;0, (ABS(F32)+100)/ABS(F32), F32=0, 0), ""))</f>
        <v/>
      </c>
      <c r="H32" s="1"/>
      <c r="I32" s="4" t="str">
        <f>IF(Bet_Log[[#This Row],[Result ]]="", "", IF(Bet_Log[[#This Row],[Result ]]="Win", Bet_Log[[#This Row],[Stake]]*Bet_Log[[#This Row],[Decimal]]-Bet_Log[[#This Row],[Stake]], IF(Bet_Log[[#This Row],[Result ]]="Loss", -Bet_Log[[#This Row],[Stake]], IF(Bet_Log[[#This Row],[Result ]]="Push", 0, ""))))</f>
        <v/>
      </c>
      <c r="J32" s="2" t="str">
        <f>IF(Bet_Log[[#This Row],[Return]]="", "", J31 + Bet_Log[[#This Row],[Return]])</f>
        <v/>
      </c>
      <c r="K32" s="9"/>
    </row>
    <row r="33" spans="1:11" x14ac:dyDescent="0.2">
      <c r="A33" s="27"/>
      <c r="B33" s="1"/>
      <c r="C33" s="6"/>
      <c r="D33" s="1"/>
      <c r="E33" s="7"/>
      <c r="F33" s="8"/>
      <c r="G33" s="3" t="str" cm="1">
        <f t="array" ref="G33">IF(ISBLANK(F33), "", IFERROR(_xlfn.IFS(LEFT(F33,1)="+", (VALUE(MID(F33,2,LEN(F33)))+100)/100, VALUE(F33)&gt;0, (F33+100)/100, VALUE(F33)&lt;0, (ABS(F33)+100)/ABS(F33), F33=0, 0), ""))</f>
        <v/>
      </c>
      <c r="H33" s="1"/>
      <c r="I33" s="4" t="str">
        <f>IF(Bet_Log[[#This Row],[Result ]]="", "", IF(Bet_Log[[#This Row],[Result ]]="Win", Bet_Log[[#This Row],[Stake]]*Bet_Log[[#This Row],[Decimal]]-Bet_Log[[#This Row],[Stake]], IF(Bet_Log[[#This Row],[Result ]]="Loss", -Bet_Log[[#This Row],[Stake]], IF(Bet_Log[[#This Row],[Result ]]="Push", 0, ""))))</f>
        <v/>
      </c>
      <c r="J33" s="2" t="str">
        <f>IF(Bet_Log[[#This Row],[Return]]="", "", J32 + Bet_Log[[#This Row],[Return]])</f>
        <v/>
      </c>
      <c r="K33" s="9"/>
    </row>
    <row r="34" spans="1:11" x14ac:dyDescent="0.2">
      <c r="A34" s="27"/>
      <c r="B34" s="1"/>
      <c r="C34" s="6"/>
      <c r="D34" s="1"/>
      <c r="E34" s="7"/>
      <c r="F34" s="8"/>
      <c r="G34" s="3" t="str" cm="1">
        <f t="array" ref="G34">IF(ISBLANK(F34), "", IFERROR(_xlfn.IFS(LEFT(F34,1)="+", (VALUE(MID(F34,2,LEN(F34)))+100)/100, VALUE(F34)&gt;0, (F34+100)/100, VALUE(F34)&lt;0, (ABS(F34)+100)/ABS(F34), F34=0, 0), ""))</f>
        <v/>
      </c>
      <c r="H34" s="1"/>
      <c r="I34" s="4" t="str">
        <f>IF(Bet_Log[[#This Row],[Result ]]="", "", IF(Bet_Log[[#This Row],[Result ]]="Win", Bet_Log[[#This Row],[Stake]]*Bet_Log[[#This Row],[Decimal]]-Bet_Log[[#This Row],[Stake]], IF(Bet_Log[[#This Row],[Result ]]="Loss", -Bet_Log[[#This Row],[Stake]], IF(Bet_Log[[#This Row],[Result ]]="Push", 0, ""))))</f>
        <v/>
      </c>
      <c r="J34" s="2" t="str">
        <f>IF(Bet_Log[[#This Row],[Return]]="", "", J33 + Bet_Log[[#This Row],[Return]])</f>
        <v/>
      </c>
      <c r="K34" s="9"/>
    </row>
    <row r="35" spans="1:11" x14ac:dyDescent="0.2">
      <c r="A35" s="27"/>
      <c r="B35" s="1"/>
      <c r="C35" s="6"/>
      <c r="D35" s="1"/>
      <c r="E35" s="7"/>
      <c r="F35" s="8"/>
      <c r="G35" s="3" t="str" cm="1">
        <f t="array" ref="G35">IF(ISBLANK(F35), "", IFERROR(_xlfn.IFS(LEFT(F35,1)="+", (VALUE(MID(F35,2,LEN(F35)))+100)/100, VALUE(F35)&gt;0, (F35+100)/100, VALUE(F35)&lt;0, (ABS(F35)+100)/ABS(F35), F35=0, 0), ""))</f>
        <v/>
      </c>
      <c r="H35" s="1"/>
      <c r="I35" s="4" t="str">
        <f>IF(Bet_Log[[#This Row],[Result ]]="", "", IF(Bet_Log[[#This Row],[Result ]]="Win", Bet_Log[[#This Row],[Stake]]*Bet_Log[[#This Row],[Decimal]]-Bet_Log[[#This Row],[Stake]], IF(Bet_Log[[#This Row],[Result ]]="Loss", -Bet_Log[[#This Row],[Stake]], IF(Bet_Log[[#This Row],[Result ]]="Push", 0, ""))))</f>
        <v/>
      </c>
      <c r="J35" s="2" t="str">
        <f>IF(Bet_Log[[#This Row],[Return]]="", "", J34 + Bet_Log[[#This Row],[Return]])</f>
        <v/>
      </c>
      <c r="K35" s="9"/>
    </row>
    <row r="36" spans="1:11" x14ac:dyDescent="0.2">
      <c r="A36" s="27"/>
      <c r="B36" s="1"/>
      <c r="C36" s="6"/>
      <c r="D36" s="1"/>
      <c r="E36" s="7"/>
      <c r="F36" s="8"/>
      <c r="G36" s="3" t="str" cm="1">
        <f t="array" ref="G36">IF(ISBLANK(F36), "", IFERROR(_xlfn.IFS(LEFT(F36,1)="+", (VALUE(MID(F36,2,LEN(F36)))+100)/100, VALUE(F36)&gt;0, (F36+100)/100, VALUE(F36)&lt;0, (ABS(F36)+100)/ABS(F36), F36=0, 0), ""))</f>
        <v/>
      </c>
      <c r="H36" s="1"/>
      <c r="I36" s="4" t="str">
        <f>IF(Bet_Log[[#This Row],[Result ]]="", "", IF(Bet_Log[[#This Row],[Result ]]="Win", Bet_Log[[#This Row],[Stake]]*Bet_Log[[#This Row],[Decimal]]-Bet_Log[[#This Row],[Stake]], IF(Bet_Log[[#This Row],[Result ]]="Loss", -Bet_Log[[#This Row],[Stake]], IF(Bet_Log[[#This Row],[Result ]]="Push", 0, ""))))</f>
        <v/>
      </c>
      <c r="J36" s="2" t="str">
        <f>IF(Bet_Log[[#This Row],[Return]]="", "", J35 + Bet_Log[[#This Row],[Return]])</f>
        <v/>
      </c>
      <c r="K36" s="9"/>
    </row>
    <row r="37" spans="1:11" x14ac:dyDescent="0.2">
      <c r="A37" s="27"/>
      <c r="B37" s="1"/>
      <c r="C37" s="6"/>
      <c r="D37" s="1"/>
      <c r="E37" s="7"/>
      <c r="F37" s="8"/>
      <c r="G37" s="3" t="str" cm="1">
        <f t="array" ref="G37">IF(ISBLANK(F37), "", IFERROR(_xlfn.IFS(LEFT(F37,1)="+", (VALUE(MID(F37,2,LEN(F37)))+100)/100, VALUE(F37)&gt;0, (F37+100)/100, VALUE(F37)&lt;0, (ABS(F37)+100)/ABS(F37), F37=0, 0), ""))</f>
        <v/>
      </c>
      <c r="H37" s="1"/>
      <c r="I37" s="4" t="str">
        <f>IF(Bet_Log[[#This Row],[Result ]]="", "", IF(Bet_Log[[#This Row],[Result ]]="Win", Bet_Log[[#This Row],[Stake]]*Bet_Log[[#This Row],[Decimal]]-Bet_Log[[#This Row],[Stake]], IF(Bet_Log[[#This Row],[Result ]]="Loss", -Bet_Log[[#This Row],[Stake]], IF(Bet_Log[[#This Row],[Result ]]="Push", 0, ""))))</f>
        <v/>
      </c>
      <c r="J37" s="2" t="str">
        <f>IF(Bet_Log[[#This Row],[Return]]="", "", J36 + Bet_Log[[#This Row],[Return]])</f>
        <v/>
      </c>
      <c r="K37" s="9"/>
    </row>
    <row r="38" spans="1:11" x14ac:dyDescent="0.2">
      <c r="A38" s="27"/>
      <c r="B38" s="1"/>
      <c r="C38" s="6"/>
      <c r="D38" s="1"/>
      <c r="E38" s="7"/>
      <c r="F38" s="8"/>
      <c r="G38" s="3" t="str" cm="1">
        <f t="array" ref="G38">IF(ISBLANK(F38), "", IFERROR(_xlfn.IFS(LEFT(F38,1)="+", (VALUE(MID(F38,2,LEN(F38)))+100)/100, VALUE(F38)&gt;0, (F38+100)/100, VALUE(F38)&lt;0, (ABS(F38)+100)/ABS(F38), F38=0, 0), ""))</f>
        <v/>
      </c>
      <c r="H38" s="1"/>
      <c r="I38" s="4" t="str">
        <f>IF(Bet_Log[[#This Row],[Result ]]="", "", IF(Bet_Log[[#This Row],[Result ]]="Win", Bet_Log[[#This Row],[Stake]]*Bet_Log[[#This Row],[Decimal]]-Bet_Log[[#This Row],[Stake]], IF(Bet_Log[[#This Row],[Result ]]="Loss", -Bet_Log[[#This Row],[Stake]], IF(Bet_Log[[#This Row],[Result ]]="Push", 0, ""))))</f>
        <v/>
      </c>
      <c r="J38" s="2" t="str">
        <f>IF(Bet_Log[[#This Row],[Return]]="", "", J37 + Bet_Log[[#This Row],[Return]])</f>
        <v/>
      </c>
      <c r="K38" s="9"/>
    </row>
    <row r="39" spans="1:11" x14ac:dyDescent="0.2">
      <c r="A39" s="27"/>
      <c r="B39" s="1"/>
      <c r="C39" s="6"/>
      <c r="D39" s="1"/>
      <c r="E39" s="7"/>
      <c r="F39" s="8"/>
      <c r="G39" s="3" t="str" cm="1">
        <f t="array" ref="G39">IF(ISBLANK(F39), "", IFERROR(_xlfn.IFS(LEFT(F39,1)="+", (VALUE(MID(F39,2,LEN(F39)))+100)/100, VALUE(F39)&gt;0, (F39+100)/100, VALUE(F39)&lt;0, (ABS(F39)+100)/ABS(F39), F39=0, 0), ""))</f>
        <v/>
      </c>
      <c r="H39" s="1"/>
      <c r="I39" s="4" t="str">
        <f>IF(Bet_Log[[#This Row],[Result ]]="", "", IF(Bet_Log[[#This Row],[Result ]]="Win", Bet_Log[[#This Row],[Stake]]*Bet_Log[[#This Row],[Decimal]]-Bet_Log[[#This Row],[Stake]], IF(Bet_Log[[#This Row],[Result ]]="Loss", -Bet_Log[[#This Row],[Stake]], IF(Bet_Log[[#This Row],[Result ]]="Push", 0, ""))))</f>
        <v/>
      </c>
      <c r="J39" s="2" t="str">
        <f>IF(Bet_Log[[#This Row],[Return]]="", "", J38 + Bet_Log[[#This Row],[Return]])</f>
        <v/>
      </c>
      <c r="K39" s="9"/>
    </row>
    <row r="40" spans="1:11" x14ac:dyDescent="0.2">
      <c r="A40" s="27"/>
      <c r="B40" s="1"/>
      <c r="C40" s="6"/>
      <c r="D40" s="1"/>
      <c r="E40" s="7"/>
      <c r="F40" s="8"/>
      <c r="G40" s="3" t="str" cm="1">
        <f t="array" ref="G40">IF(ISBLANK(F40), "", IFERROR(_xlfn.IFS(LEFT(F40,1)="+", (VALUE(MID(F40,2,LEN(F40)))+100)/100, VALUE(F40)&gt;0, (F40+100)/100, VALUE(F40)&lt;0, (ABS(F40)+100)/ABS(F40), F40=0, 0), ""))</f>
        <v/>
      </c>
      <c r="H40" s="1"/>
      <c r="I40" s="4" t="str">
        <f>IF(Bet_Log[[#This Row],[Result ]]="", "", IF(Bet_Log[[#This Row],[Result ]]="Win", Bet_Log[[#This Row],[Stake]]*Bet_Log[[#This Row],[Decimal]]-Bet_Log[[#This Row],[Stake]], IF(Bet_Log[[#This Row],[Result ]]="Loss", -Bet_Log[[#This Row],[Stake]], IF(Bet_Log[[#This Row],[Result ]]="Push", 0, ""))))</f>
        <v/>
      </c>
      <c r="J40" s="2" t="str">
        <f>IF(Bet_Log[[#This Row],[Return]]="", "", J39 + Bet_Log[[#This Row],[Return]])</f>
        <v/>
      </c>
      <c r="K40" s="9"/>
    </row>
    <row r="41" spans="1:11" x14ac:dyDescent="0.2">
      <c r="A41" s="27"/>
      <c r="B41" s="1"/>
      <c r="C41" s="6"/>
      <c r="D41" s="1"/>
      <c r="E41" s="7"/>
      <c r="F41" s="8"/>
      <c r="G41" s="3" t="str" cm="1">
        <f t="array" ref="G41">IF(ISBLANK(F41), "", IFERROR(_xlfn.IFS(LEFT(F41,1)="+", (VALUE(MID(F41,2,LEN(F41)))+100)/100, VALUE(F41)&gt;0, (F41+100)/100, VALUE(F41)&lt;0, (ABS(F41)+100)/ABS(F41), F41=0, 0), ""))</f>
        <v/>
      </c>
      <c r="H41" s="1"/>
      <c r="I41" s="4" t="str">
        <f>IF(Bet_Log[[#This Row],[Result ]]="", "", IF(Bet_Log[[#This Row],[Result ]]="Win", Bet_Log[[#This Row],[Stake]]*Bet_Log[[#This Row],[Decimal]]-Bet_Log[[#This Row],[Stake]], IF(Bet_Log[[#This Row],[Result ]]="Loss", -Bet_Log[[#This Row],[Stake]], IF(Bet_Log[[#This Row],[Result ]]="Push", 0, ""))))</f>
        <v/>
      </c>
      <c r="J41" s="2" t="str">
        <f>IF(Bet_Log[[#This Row],[Return]]="", "", J40 + Bet_Log[[#This Row],[Return]])</f>
        <v/>
      </c>
      <c r="K41" s="9"/>
    </row>
    <row r="42" spans="1:11" x14ac:dyDescent="0.2">
      <c r="A42" s="27"/>
      <c r="B42" s="1"/>
      <c r="C42" s="6"/>
      <c r="D42" s="1"/>
      <c r="E42" s="7"/>
      <c r="F42" s="8"/>
      <c r="G42" s="3" t="str" cm="1">
        <f t="array" ref="G42">IF(ISBLANK(F42), "", IFERROR(_xlfn.IFS(LEFT(F42,1)="+", (VALUE(MID(F42,2,LEN(F42)))+100)/100, VALUE(F42)&gt;0, (F42+100)/100, VALUE(F42)&lt;0, (ABS(F42)+100)/ABS(F42), F42=0, 0), ""))</f>
        <v/>
      </c>
      <c r="H42" s="1"/>
      <c r="I42" s="4" t="str">
        <f>IF(Bet_Log[[#This Row],[Result ]]="", "", IF(Bet_Log[[#This Row],[Result ]]="Win", Bet_Log[[#This Row],[Stake]]*Bet_Log[[#This Row],[Decimal]]-Bet_Log[[#This Row],[Stake]], IF(Bet_Log[[#This Row],[Result ]]="Loss", -Bet_Log[[#This Row],[Stake]], IF(Bet_Log[[#This Row],[Result ]]="Push", 0, ""))))</f>
        <v/>
      </c>
      <c r="J42" s="2" t="str">
        <f>IF(Bet_Log[[#This Row],[Return]]="", "", J41 + Bet_Log[[#This Row],[Return]])</f>
        <v/>
      </c>
      <c r="K42" s="9"/>
    </row>
    <row r="43" spans="1:11" x14ac:dyDescent="0.2">
      <c r="A43" s="27"/>
      <c r="B43" s="1"/>
      <c r="C43" s="6"/>
      <c r="D43" s="1"/>
      <c r="E43" s="7"/>
      <c r="F43" s="8"/>
      <c r="G43" s="3" t="str" cm="1">
        <f t="array" ref="G43">IF(ISBLANK(F43), "", IFERROR(_xlfn.IFS(LEFT(F43,1)="+", (VALUE(MID(F43,2,LEN(F43)))+100)/100, VALUE(F43)&gt;0, (F43+100)/100, VALUE(F43)&lt;0, (ABS(F43)+100)/ABS(F43), F43=0, 0), ""))</f>
        <v/>
      </c>
      <c r="H43" s="1"/>
      <c r="I43" s="4" t="str">
        <f>IF(Bet_Log[[#This Row],[Result ]]="", "", IF(Bet_Log[[#This Row],[Result ]]="Win", Bet_Log[[#This Row],[Stake]]*Bet_Log[[#This Row],[Decimal]]-Bet_Log[[#This Row],[Stake]], IF(Bet_Log[[#This Row],[Result ]]="Loss", -Bet_Log[[#This Row],[Stake]], IF(Bet_Log[[#This Row],[Result ]]="Push", 0, ""))))</f>
        <v/>
      </c>
      <c r="J43" s="2" t="str">
        <f>IF(Bet_Log[[#This Row],[Return]]="", "", J42 + Bet_Log[[#This Row],[Return]])</f>
        <v/>
      </c>
      <c r="K43" s="9"/>
    </row>
    <row r="44" spans="1:11" x14ac:dyDescent="0.2">
      <c r="A44" s="27"/>
      <c r="B44" s="1"/>
      <c r="C44" s="6"/>
      <c r="D44" s="1"/>
      <c r="E44" s="7"/>
      <c r="F44" s="8"/>
      <c r="G44" s="3" t="str" cm="1">
        <f t="array" ref="G44">IF(ISBLANK(F44), "", IFERROR(_xlfn.IFS(LEFT(F44,1)="+", (VALUE(MID(F44,2,LEN(F44)))+100)/100, VALUE(F44)&gt;0, (F44+100)/100, VALUE(F44)&lt;0, (ABS(F44)+100)/ABS(F44), F44=0, 0), ""))</f>
        <v/>
      </c>
      <c r="H44" s="1"/>
      <c r="I44" s="4" t="str">
        <f>IF(Bet_Log[[#This Row],[Result ]]="", "", IF(Bet_Log[[#This Row],[Result ]]="Win", Bet_Log[[#This Row],[Stake]]*Bet_Log[[#This Row],[Decimal]]-Bet_Log[[#This Row],[Stake]], IF(Bet_Log[[#This Row],[Result ]]="Loss", -Bet_Log[[#This Row],[Stake]], IF(Bet_Log[[#This Row],[Result ]]="Push", 0, ""))))</f>
        <v/>
      </c>
      <c r="J44" s="2" t="str">
        <f>IF(Bet_Log[[#This Row],[Return]]="", "", J43 + Bet_Log[[#This Row],[Return]])</f>
        <v/>
      </c>
      <c r="K44" s="9"/>
    </row>
    <row r="45" spans="1:11" x14ac:dyDescent="0.2">
      <c r="A45" s="27"/>
      <c r="B45" s="1"/>
      <c r="C45" s="6"/>
      <c r="D45" s="1"/>
      <c r="E45" s="7"/>
      <c r="F45" s="8"/>
      <c r="G45" s="3" t="str" cm="1">
        <f t="array" ref="G45">IF(ISBLANK(F45), "", IFERROR(_xlfn.IFS(LEFT(F45,1)="+", (VALUE(MID(F45,2,LEN(F45)))+100)/100, VALUE(F45)&gt;0, (F45+100)/100, VALUE(F45)&lt;0, (ABS(F45)+100)/ABS(F45), F45=0, 0), ""))</f>
        <v/>
      </c>
      <c r="H45" s="1"/>
      <c r="I45" s="4" t="str">
        <f>IF(Bet_Log[[#This Row],[Result ]]="", "", IF(Bet_Log[[#This Row],[Result ]]="Win", Bet_Log[[#This Row],[Stake]]*Bet_Log[[#This Row],[Decimal]]-Bet_Log[[#This Row],[Stake]], IF(Bet_Log[[#This Row],[Result ]]="Loss", -Bet_Log[[#This Row],[Stake]], IF(Bet_Log[[#This Row],[Result ]]="Push", 0, ""))))</f>
        <v/>
      </c>
      <c r="J45" s="2" t="str">
        <f>IF(Bet_Log[[#This Row],[Return]]="", "", J44 + Bet_Log[[#This Row],[Return]])</f>
        <v/>
      </c>
      <c r="K45" s="9"/>
    </row>
    <row r="46" spans="1:11" x14ac:dyDescent="0.2">
      <c r="A46" s="27"/>
      <c r="B46" s="1"/>
      <c r="C46" s="6"/>
      <c r="D46" s="1"/>
      <c r="E46" s="7"/>
      <c r="F46" s="8"/>
      <c r="G46" s="3" t="str" cm="1">
        <f t="array" ref="G46">IF(ISBLANK(F46), "", IFERROR(_xlfn.IFS(LEFT(F46,1)="+", (VALUE(MID(F46,2,LEN(F46)))+100)/100, VALUE(F46)&gt;0, (F46+100)/100, VALUE(F46)&lt;0, (ABS(F46)+100)/ABS(F46), F46=0, 0), ""))</f>
        <v/>
      </c>
      <c r="H46" s="1"/>
      <c r="I46" s="4" t="str">
        <f>IF(Bet_Log[[#This Row],[Result ]]="", "", IF(Bet_Log[[#This Row],[Result ]]="Win", Bet_Log[[#This Row],[Stake]]*Bet_Log[[#This Row],[Decimal]]-Bet_Log[[#This Row],[Stake]], IF(Bet_Log[[#This Row],[Result ]]="Loss", -Bet_Log[[#This Row],[Stake]], IF(Bet_Log[[#This Row],[Result ]]="Push", 0, ""))))</f>
        <v/>
      </c>
      <c r="J46" s="2" t="str">
        <f>IF(Bet_Log[[#This Row],[Return]]="", "", J45 + Bet_Log[[#This Row],[Return]])</f>
        <v/>
      </c>
      <c r="K46" s="9"/>
    </row>
    <row r="47" spans="1:11" x14ac:dyDescent="0.2">
      <c r="A47" s="27"/>
      <c r="B47" s="1"/>
      <c r="C47" s="6"/>
      <c r="D47" s="1"/>
      <c r="E47" s="7"/>
      <c r="F47" s="8"/>
      <c r="G47" s="3" t="str" cm="1">
        <f t="array" ref="G47">IF(ISBLANK(F47), "", IFERROR(_xlfn.IFS(LEFT(F47,1)="+", (VALUE(MID(F47,2,LEN(F47)))+100)/100, VALUE(F47)&gt;0, (F47+100)/100, VALUE(F47)&lt;0, (ABS(F47)+100)/ABS(F47), F47=0, 0), ""))</f>
        <v/>
      </c>
      <c r="H47" s="1"/>
      <c r="I47" s="4" t="str">
        <f>IF(Bet_Log[[#This Row],[Result ]]="", "", IF(Bet_Log[[#This Row],[Result ]]="Win", Bet_Log[[#This Row],[Stake]]*Bet_Log[[#This Row],[Decimal]]-Bet_Log[[#This Row],[Stake]], IF(Bet_Log[[#This Row],[Result ]]="Loss", -Bet_Log[[#This Row],[Stake]], IF(Bet_Log[[#This Row],[Result ]]="Push", 0, ""))))</f>
        <v/>
      </c>
      <c r="J47" s="2" t="str">
        <f>IF(Bet_Log[[#This Row],[Return]]="", "", J46 + Bet_Log[[#This Row],[Return]])</f>
        <v/>
      </c>
      <c r="K47" s="9"/>
    </row>
    <row r="48" spans="1:11" x14ac:dyDescent="0.2">
      <c r="A48" s="27"/>
      <c r="B48" s="1"/>
      <c r="C48" s="6"/>
      <c r="D48" s="1"/>
      <c r="E48" s="7"/>
      <c r="F48" s="8"/>
      <c r="G48" s="3" t="str" cm="1">
        <f t="array" ref="G48">IF(ISBLANK(F48), "", IFERROR(_xlfn.IFS(LEFT(F48,1)="+", (VALUE(MID(F48,2,LEN(F48)))+100)/100, VALUE(F48)&gt;0, (F48+100)/100, VALUE(F48)&lt;0, (ABS(F48)+100)/ABS(F48), F48=0, 0), ""))</f>
        <v/>
      </c>
      <c r="H48" s="1"/>
      <c r="I48" s="4" t="str">
        <f>IF(Bet_Log[[#This Row],[Result ]]="", "", IF(Bet_Log[[#This Row],[Result ]]="Win", Bet_Log[[#This Row],[Stake]]*Bet_Log[[#This Row],[Decimal]]-Bet_Log[[#This Row],[Stake]], IF(Bet_Log[[#This Row],[Result ]]="Loss", -Bet_Log[[#This Row],[Stake]], IF(Bet_Log[[#This Row],[Result ]]="Push", 0, ""))))</f>
        <v/>
      </c>
      <c r="J48" s="2" t="str">
        <f>IF(Bet_Log[[#This Row],[Return]]="", "", J47 + Bet_Log[[#This Row],[Return]])</f>
        <v/>
      </c>
      <c r="K48" s="9"/>
    </row>
    <row r="49" spans="1:11" x14ac:dyDescent="0.2">
      <c r="A49" s="27"/>
      <c r="B49" s="1"/>
      <c r="C49" s="6"/>
      <c r="D49" s="1"/>
      <c r="E49" s="7"/>
      <c r="F49" s="8"/>
      <c r="G49" s="3" t="str" cm="1">
        <f t="array" ref="G49">IF(ISBLANK(F49), "", IFERROR(_xlfn.IFS(LEFT(F49,1)="+", (VALUE(MID(F49,2,LEN(F49)))+100)/100, VALUE(F49)&gt;0, (F49+100)/100, VALUE(F49)&lt;0, (ABS(F49)+100)/ABS(F49), F49=0, 0), ""))</f>
        <v/>
      </c>
      <c r="H49" s="1"/>
      <c r="I49" s="4" t="str">
        <f>IF(Bet_Log[[#This Row],[Result ]]="", "", IF(Bet_Log[[#This Row],[Result ]]="Win", Bet_Log[[#This Row],[Stake]]*Bet_Log[[#This Row],[Decimal]]-Bet_Log[[#This Row],[Stake]], IF(Bet_Log[[#This Row],[Result ]]="Loss", -Bet_Log[[#This Row],[Stake]], IF(Bet_Log[[#This Row],[Result ]]="Push", 0, ""))))</f>
        <v/>
      </c>
      <c r="J49" s="2" t="str">
        <f>IF(Bet_Log[[#This Row],[Return]]="", "", J48 + Bet_Log[[#This Row],[Return]])</f>
        <v/>
      </c>
      <c r="K49" s="9"/>
    </row>
    <row r="50" spans="1:11" x14ac:dyDescent="0.2">
      <c r="A50" s="27"/>
      <c r="B50" s="1"/>
      <c r="C50" s="6"/>
      <c r="D50" s="1"/>
      <c r="E50" s="7"/>
      <c r="F50" s="8"/>
      <c r="G50" s="3" t="str" cm="1">
        <f t="array" ref="G50">IF(ISBLANK(F50), "", IFERROR(_xlfn.IFS(LEFT(F50,1)="+", (VALUE(MID(F50,2,LEN(F50)))+100)/100, VALUE(F50)&gt;0, (F50+100)/100, VALUE(F50)&lt;0, (ABS(F50)+100)/ABS(F50), F50=0, 0), ""))</f>
        <v/>
      </c>
      <c r="H50" s="1"/>
      <c r="I50" s="4" t="str">
        <f>IF(Bet_Log[[#This Row],[Result ]]="", "", IF(Bet_Log[[#This Row],[Result ]]="Win", Bet_Log[[#This Row],[Stake]]*Bet_Log[[#This Row],[Decimal]]-Bet_Log[[#This Row],[Stake]], IF(Bet_Log[[#This Row],[Result ]]="Loss", -Bet_Log[[#This Row],[Stake]], IF(Bet_Log[[#This Row],[Result ]]="Push", 0, ""))))</f>
        <v/>
      </c>
      <c r="J50" s="2" t="str">
        <f>IF(Bet_Log[[#This Row],[Return]]="", "", J49 + Bet_Log[[#This Row],[Return]])</f>
        <v/>
      </c>
      <c r="K50" s="9"/>
    </row>
    <row r="51" spans="1:11" x14ac:dyDescent="0.2">
      <c r="A51" s="27"/>
      <c r="B51" s="1"/>
      <c r="C51" s="6"/>
      <c r="D51" s="1"/>
      <c r="E51" s="7"/>
      <c r="F51" s="8"/>
      <c r="G51" s="3" t="str" cm="1">
        <f t="array" ref="G51">IF(ISBLANK(F51), "", IFERROR(_xlfn.IFS(LEFT(F51,1)="+", (VALUE(MID(F51,2,LEN(F51)))+100)/100, VALUE(F51)&gt;0, (F51+100)/100, VALUE(F51)&lt;0, (ABS(F51)+100)/ABS(F51), F51=0, 0), ""))</f>
        <v/>
      </c>
      <c r="H51" s="1"/>
      <c r="I51" s="4" t="str">
        <f>IF(Bet_Log[[#This Row],[Result ]]="", "", IF(Bet_Log[[#This Row],[Result ]]="Win", Bet_Log[[#This Row],[Stake]]*Bet_Log[[#This Row],[Decimal]]-Bet_Log[[#This Row],[Stake]], IF(Bet_Log[[#This Row],[Result ]]="Loss", -Bet_Log[[#This Row],[Stake]], IF(Bet_Log[[#This Row],[Result ]]="Push", 0, ""))))</f>
        <v/>
      </c>
      <c r="J51" s="2" t="str">
        <f>IF(Bet_Log[[#This Row],[Return]]="", "", J50 + Bet_Log[[#This Row],[Return]])</f>
        <v/>
      </c>
      <c r="K51" s="9"/>
    </row>
    <row r="52" spans="1:11" x14ac:dyDescent="0.2">
      <c r="A52" s="27"/>
      <c r="B52" s="1"/>
      <c r="C52" s="6"/>
      <c r="D52" s="1"/>
      <c r="E52" s="7"/>
      <c r="F52" s="8"/>
      <c r="G52" s="3" t="str" cm="1">
        <f t="array" ref="G52">IF(ISBLANK(F52), "", IFERROR(_xlfn.IFS(LEFT(F52,1)="+", (VALUE(MID(F52,2,LEN(F52)))+100)/100, VALUE(F52)&gt;0, (F52+100)/100, VALUE(F52)&lt;0, (ABS(F52)+100)/ABS(F52), F52=0, 0), ""))</f>
        <v/>
      </c>
      <c r="H52" s="1"/>
      <c r="I52" s="4" t="str">
        <f>IF(Bet_Log[[#This Row],[Result ]]="", "", IF(Bet_Log[[#This Row],[Result ]]="Win", Bet_Log[[#This Row],[Stake]]*Bet_Log[[#This Row],[Decimal]]-Bet_Log[[#This Row],[Stake]], IF(Bet_Log[[#This Row],[Result ]]="Loss", -Bet_Log[[#This Row],[Stake]], IF(Bet_Log[[#This Row],[Result ]]="Push", 0, ""))))</f>
        <v/>
      </c>
      <c r="J52" s="2" t="str">
        <f>IF(Bet_Log[[#This Row],[Return]]="", "", J51 + Bet_Log[[#This Row],[Return]])</f>
        <v/>
      </c>
      <c r="K52" s="9"/>
    </row>
    <row r="53" spans="1:11" x14ac:dyDescent="0.2">
      <c r="A53" s="27"/>
      <c r="B53" s="1"/>
      <c r="C53" s="6"/>
      <c r="D53" s="1"/>
      <c r="E53" s="7"/>
      <c r="F53" s="8"/>
      <c r="G53" s="3" t="str" cm="1">
        <f t="array" ref="G53">IF(ISBLANK(F53), "", IFERROR(_xlfn.IFS(LEFT(F53,1)="+", (VALUE(MID(F53,2,LEN(F53)))+100)/100, VALUE(F53)&gt;0, (F53+100)/100, VALUE(F53)&lt;0, (ABS(F53)+100)/ABS(F53), F53=0, 0), ""))</f>
        <v/>
      </c>
      <c r="H53" s="1"/>
      <c r="I53" s="4" t="str">
        <f>IF(Bet_Log[[#This Row],[Result ]]="", "", IF(Bet_Log[[#This Row],[Result ]]="Win", Bet_Log[[#This Row],[Stake]]*Bet_Log[[#This Row],[Decimal]]-Bet_Log[[#This Row],[Stake]], IF(Bet_Log[[#This Row],[Result ]]="Loss", -Bet_Log[[#This Row],[Stake]], IF(Bet_Log[[#This Row],[Result ]]="Push", 0, ""))))</f>
        <v/>
      </c>
      <c r="J53" s="2" t="str">
        <f>IF(Bet_Log[[#This Row],[Return]]="", "", J52 + Bet_Log[[#This Row],[Return]])</f>
        <v/>
      </c>
      <c r="K53" s="9"/>
    </row>
    <row r="54" spans="1:11" x14ac:dyDescent="0.2">
      <c r="A54" s="27"/>
      <c r="B54" s="1"/>
      <c r="C54" s="6"/>
      <c r="D54" s="1"/>
      <c r="E54" s="7"/>
      <c r="F54" s="8"/>
      <c r="G54" s="3" t="str" cm="1">
        <f t="array" ref="G54">IF(ISBLANK(F54), "", IFERROR(_xlfn.IFS(LEFT(F54,1)="+", (VALUE(MID(F54,2,LEN(F54)))+100)/100, VALUE(F54)&gt;0, (F54+100)/100, VALUE(F54)&lt;0, (ABS(F54)+100)/ABS(F54), F54=0, 0), ""))</f>
        <v/>
      </c>
      <c r="H54" s="1"/>
      <c r="I54" s="4" t="str">
        <f>IF(Bet_Log[[#This Row],[Result ]]="", "", IF(Bet_Log[[#This Row],[Result ]]="Win", Bet_Log[[#This Row],[Stake]]*Bet_Log[[#This Row],[Decimal]]-Bet_Log[[#This Row],[Stake]], IF(Bet_Log[[#This Row],[Result ]]="Loss", -Bet_Log[[#This Row],[Stake]], IF(Bet_Log[[#This Row],[Result ]]="Push", 0, ""))))</f>
        <v/>
      </c>
      <c r="J54" s="2" t="str">
        <f>IF(Bet_Log[[#This Row],[Return]]="", "", J53 + Bet_Log[[#This Row],[Return]])</f>
        <v/>
      </c>
      <c r="K54" s="9"/>
    </row>
    <row r="55" spans="1:11" x14ac:dyDescent="0.2">
      <c r="A55" s="27"/>
      <c r="B55" s="1"/>
      <c r="C55" s="6"/>
      <c r="D55" s="1"/>
      <c r="E55" s="7"/>
      <c r="F55" s="8"/>
      <c r="G55" s="3" t="str" cm="1">
        <f t="array" ref="G55">IF(ISBLANK(F55), "", IFERROR(_xlfn.IFS(LEFT(F55,1)="+", (VALUE(MID(F55,2,LEN(F55)))+100)/100, VALUE(F55)&gt;0, (F55+100)/100, VALUE(F55)&lt;0, (ABS(F55)+100)/ABS(F55), F55=0, 0), ""))</f>
        <v/>
      </c>
      <c r="H55" s="1"/>
      <c r="I55" s="4" t="str">
        <f>IF(Bet_Log[[#This Row],[Result ]]="", "", IF(Bet_Log[[#This Row],[Result ]]="Win", Bet_Log[[#This Row],[Stake]]*Bet_Log[[#This Row],[Decimal]]-Bet_Log[[#This Row],[Stake]], IF(Bet_Log[[#This Row],[Result ]]="Loss", -Bet_Log[[#This Row],[Stake]], IF(Bet_Log[[#This Row],[Result ]]="Push", 0, ""))))</f>
        <v/>
      </c>
      <c r="J55" s="2" t="str">
        <f>IF(Bet_Log[[#This Row],[Return]]="", "", J54 + Bet_Log[[#This Row],[Return]])</f>
        <v/>
      </c>
      <c r="K55" s="9"/>
    </row>
    <row r="56" spans="1:11" x14ac:dyDescent="0.2">
      <c r="A56" s="27"/>
      <c r="B56" s="1"/>
      <c r="C56" s="6"/>
      <c r="D56" s="1"/>
      <c r="E56" s="7"/>
      <c r="F56" s="8"/>
      <c r="G56" s="3" t="str" cm="1">
        <f t="array" ref="G56">IF(ISBLANK(F56), "", IFERROR(_xlfn.IFS(LEFT(F56,1)="+", (VALUE(MID(F56,2,LEN(F56)))+100)/100, VALUE(F56)&gt;0, (F56+100)/100, VALUE(F56)&lt;0, (ABS(F56)+100)/ABS(F56), F56=0, 0), ""))</f>
        <v/>
      </c>
      <c r="H56" s="1"/>
      <c r="I56" s="4" t="str">
        <f>IF(Bet_Log[[#This Row],[Result ]]="", "", IF(Bet_Log[[#This Row],[Result ]]="Win", Bet_Log[[#This Row],[Stake]]*Bet_Log[[#This Row],[Decimal]]-Bet_Log[[#This Row],[Stake]], IF(Bet_Log[[#This Row],[Result ]]="Loss", -Bet_Log[[#This Row],[Stake]], IF(Bet_Log[[#This Row],[Result ]]="Push", 0, ""))))</f>
        <v/>
      </c>
      <c r="J56" s="2" t="str">
        <f>IF(Bet_Log[[#This Row],[Return]]="", "", J55 + Bet_Log[[#This Row],[Return]])</f>
        <v/>
      </c>
      <c r="K56" s="9"/>
    </row>
    <row r="57" spans="1:11" x14ac:dyDescent="0.2">
      <c r="A57" s="27"/>
      <c r="B57" s="1"/>
      <c r="C57" s="6"/>
      <c r="D57" s="1"/>
      <c r="E57" s="7"/>
      <c r="F57" s="8"/>
      <c r="G57" s="3" t="str" cm="1">
        <f t="array" ref="G57">IF(ISBLANK(F57), "", IFERROR(_xlfn.IFS(LEFT(F57,1)="+", (VALUE(MID(F57,2,LEN(F57)))+100)/100, VALUE(F57)&gt;0, (F57+100)/100, VALUE(F57)&lt;0, (ABS(F57)+100)/ABS(F57), F57=0, 0), ""))</f>
        <v/>
      </c>
      <c r="H57" s="1"/>
      <c r="I57" s="4" t="str">
        <f>IF(Bet_Log[[#This Row],[Result ]]="", "", IF(Bet_Log[[#This Row],[Result ]]="Win", Bet_Log[[#This Row],[Stake]]*Bet_Log[[#This Row],[Decimal]]-Bet_Log[[#This Row],[Stake]], IF(Bet_Log[[#This Row],[Result ]]="Loss", -Bet_Log[[#This Row],[Stake]], IF(Bet_Log[[#This Row],[Result ]]="Push", 0, ""))))</f>
        <v/>
      </c>
      <c r="J57" s="2" t="str">
        <f>IF(Bet_Log[[#This Row],[Return]]="", "", J56 + Bet_Log[[#This Row],[Return]])</f>
        <v/>
      </c>
      <c r="K57" s="9"/>
    </row>
    <row r="58" spans="1:11" x14ac:dyDescent="0.2">
      <c r="A58" s="27"/>
      <c r="B58" s="1"/>
      <c r="C58" s="6"/>
      <c r="D58" s="1"/>
      <c r="E58" s="7"/>
      <c r="F58" s="8"/>
      <c r="G58" s="3" t="str" cm="1">
        <f t="array" ref="G58">IF(ISBLANK(F58), "", IFERROR(_xlfn.IFS(LEFT(F58,1)="+", (VALUE(MID(F58,2,LEN(F58)))+100)/100, VALUE(F58)&gt;0, (F58+100)/100, VALUE(F58)&lt;0, (ABS(F58)+100)/ABS(F58), F58=0, 0), ""))</f>
        <v/>
      </c>
      <c r="H58" s="1"/>
      <c r="I58" s="4" t="str">
        <f>IF(Bet_Log[[#This Row],[Result ]]="", "", IF(Bet_Log[[#This Row],[Result ]]="Win", Bet_Log[[#This Row],[Stake]]*Bet_Log[[#This Row],[Decimal]]-Bet_Log[[#This Row],[Stake]], IF(Bet_Log[[#This Row],[Result ]]="Loss", -Bet_Log[[#This Row],[Stake]], IF(Bet_Log[[#This Row],[Result ]]="Push", 0, ""))))</f>
        <v/>
      </c>
      <c r="J58" s="2" t="str">
        <f>IF(Bet_Log[[#This Row],[Return]]="", "", J57 + Bet_Log[[#This Row],[Return]])</f>
        <v/>
      </c>
      <c r="K58" s="9"/>
    </row>
    <row r="59" spans="1:11" x14ac:dyDescent="0.2">
      <c r="A59" s="27"/>
      <c r="B59" s="1"/>
      <c r="C59" s="6"/>
      <c r="D59" s="1"/>
      <c r="E59" s="7"/>
      <c r="F59" s="8"/>
      <c r="G59" s="3" t="str" cm="1">
        <f t="array" ref="G59">IF(ISBLANK(F59), "", IFERROR(_xlfn.IFS(LEFT(F59,1)="+", (VALUE(MID(F59,2,LEN(F59)))+100)/100, VALUE(F59)&gt;0, (F59+100)/100, VALUE(F59)&lt;0, (ABS(F59)+100)/ABS(F59), F59=0, 0), ""))</f>
        <v/>
      </c>
      <c r="H59" s="1"/>
      <c r="I59" s="4" t="str">
        <f>IF(Bet_Log[[#This Row],[Result ]]="", "", IF(Bet_Log[[#This Row],[Result ]]="Win", Bet_Log[[#This Row],[Stake]]*Bet_Log[[#This Row],[Decimal]]-Bet_Log[[#This Row],[Stake]], IF(Bet_Log[[#This Row],[Result ]]="Loss", -Bet_Log[[#This Row],[Stake]], IF(Bet_Log[[#This Row],[Result ]]="Push", 0, ""))))</f>
        <v/>
      </c>
      <c r="J59" s="2" t="str">
        <f>IF(Bet_Log[[#This Row],[Return]]="", "", J58 + Bet_Log[[#This Row],[Return]])</f>
        <v/>
      </c>
      <c r="K59" s="9"/>
    </row>
    <row r="60" spans="1:11" x14ac:dyDescent="0.2">
      <c r="A60" s="27"/>
      <c r="B60" s="1"/>
      <c r="C60" s="6"/>
      <c r="D60" s="1"/>
      <c r="E60" s="7"/>
      <c r="F60" s="8"/>
      <c r="G60" s="3" t="str" cm="1">
        <f t="array" ref="G60">IF(ISBLANK(F60), "", IFERROR(_xlfn.IFS(LEFT(F60,1)="+", (VALUE(MID(F60,2,LEN(F60)))+100)/100, VALUE(F60)&gt;0, (F60+100)/100, VALUE(F60)&lt;0, (ABS(F60)+100)/ABS(F60), F60=0, 0), ""))</f>
        <v/>
      </c>
      <c r="H60" s="1"/>
      <c r="I60" s="4" t="str">
        <f>IF(Bet_Log[[#This Row],[Result ]]="", "", IF(Bet_Log[[#This Row],[Result ]]="Win", Bet_Log[[#This Row],[Stake]]*Bet_Log[[#This Row],[Decimal]]-Bet_Log[[#This Row],[Stake]], IF(Bet_Log[[#This Row],[Result ]]="Loss", -Bet_Log[[#This Row],[Stake]], IF(Bet_Log[[#This Row],[Result ]]="Push", 0, ""))))</f>
        <v/>
      </c>
      <c r="J60" s="2" t="str">
        <f>IF(Bet_Log[[#This Row],[Return]]="", "", J59 + Bet_Log[[#This Row],[Return]])</f>
        <v/>
      </c>
      <c r="K60" s="9"/>
    </row>
    <row r="61" spans="1:11" x14ac:dyDescent="0.2">
      <c r="A61" s="27"/>
      <c r="B61" s="1"/>
      <c r="C61" s="6"/>
      <c r="D61" s="1"/>
      <c r="E61" s="7"/>
      <c r="F61" s="8"/>
      <c r="G61" s="3" t="str" cm="1">
        <f t="array" ref="G61">IF(ISBLANK(F61), "", IFERROR(_xlfn.IFS(LEFT(F61,1)="+", (VALUE(MID(F61,2,LEN(F61)))+100)/100, VALUE(F61)&gt;0, (F61+100)/100, VALUE(F61)&lt;0, (ABS(F61)+100)/ABS(F61), F61=0, 0), ""))</f>
        <v/>
      </c>
      <c r="H61" s="1"/>
      <c r="I61" s="4" t="str">
        <f>IF(Bet_Log[[#This Row],[Result ]]="", "", IF(Bet_Log[[#This Row],[Result ]]="Win", Bet_Log[[#This Row],[Stake]]*Bet_Log[[#This Row],[Decimal]]-Bet_Log[[#This Row],[Stake]], IF(Bet_Log[[#This Row],[Result ]]="Loss", -Bet_Log[[#This Row],[Stake]], IF(Bet_Log[[#This Row],[Result ]]="Push", 0, ""))))</f>
        <v/>
      </c>
      <c r="J61" s="2" t="str">
        <f>IF(Bet_Log[[#This Row],[Return]]="", "", J60 + Bet_Log[[#This Row],[Return]])</f>
        <v/>
      </c>
      <c r="K61" s="9"/>
    </row>
    <row r="62" spans="1:11" x14ac:dyDescent="0.2">
      <c r="A62" s="27"/>
      <c r="B62" s="1"/>
      <c r="C62" s="6"/>
      <c r="D62" s="1"/>
      <c r="E62" s="7"/>
      <c r="F62" s="8"/>
      <c r="G62" s="3" t="str" cm="1">
        <f t="array" ref="G62">IF(ISBLANK(F62), "", IFERROR(_xlfn.IFS(LEFT(F62,1)="+", (VALUE(MID(F62,2,LEN(F62)))+100)/100, VALUE(F62)&gt;0, (F62+100)/100, VALUE(F62)&lt;0, (ABS(F62)+100)/ABS(F62), F62=0, 0), ""))</f>
        <v/>
      </c>
      <c r="H62" s="1"/>
      <c r="I62" s="4" t="str">
        <f>IF(Bet_Log[[#This Row],[Result ]]="", "", IF(Bet_Log[[#This Row],[Result ]]="Win", Bet_Log[[#This Row],[Stake]]*Bet_Log[[#This Row],[Decimal]]-Bet_Log[[#This Row],[Stake]], IF(Bet_Log[[#This Row],[Result ]]="Loss", -Bet_Log[[#This Row],[Stake]], IF(Bet_Log[[#This Row],[Result ]]="Push", 0, ""))))</f>
        <v/>
      </c>
      <c r="J62" s="2" t="str">
        <f>IF(Bet_Log[[#This Row],[Return]]="", "", J61 + Bet_Log[[#This Row],[Return]])</f>
        <v/>
      </c>
      <c r="K62" s="9"/>
    </row>
    <row r="63" spans="1:11" x14ac:dyDescent="0.2">
      <c r="A63" s="27"/>
      <c r="B63" s="1"/>
      <c r="C63" s="6"/>
      <c r="D63" s="1"/>
      <c r="E63" s="7"/>
      <c r="F63" s="8"/>
      <c r="G63" s="3" t="str" cm="1">
        <f t="array" ref="G63">IF(ISBLANK(F63), "", IFERROR(_xlfn.IFS(LEFT(F63,1)="+", (VALUE(MID(F63,2,LEN(F63)))+100)/100, VALUE(F63)&gt;0, (F63+100)/100, VALUE(F63)&lt;0, (ABS(F63)+100)/ABS(F63), F63=0, 0), ""))</f>
        <v/>
      </c>
      <c r="H63" s="1"/>
      <c r="I63" s="4" t="str">
        <f>IF(Bet_Log[[#This Row],[Result ]]="", "", IF(Bet_Log[[#This Row],[Result ]]="Win", Bet_Log[[#This Row],[Stake]]*Bet_Log[[#This Row],[Decimal]]-Bet_Log[[#This Row],[Stake]], IF(Bet_Log[[#This Row],[Result ]]="Loss", -Bet_Log[[#This Row],[Stake]], IF(Bet_Log[[#This Row],[Result ]]="Push", 0, ""))))</f>
        <v/>
      </c>
      <c r="J63" s="2" t="str">
        <f>IF(Bet_Log[[#This Row],[Return]]="", "", J62 + Bet_Log[[#This Row],[Return]])</f>
        <v/>
      </c>
      <c r="K63" s="9"/>
    </row>
    <row r="64" spans="1:11" x14ac:dyDescent="0.2">
      <c r="A64" s="27"/>
      <c r="B64" s="1"/>
      <c r="C64" s="6"/>
      <c r="D64" s="1"/>
      <c r="E64" s="7"/>
      <c r="F64" s="8"/>
      <c r="G64" s="3" t="str" cm="1">
        <f t="array" ref="G64">IF(ISBLANK(F64), "", IFERROR(_xlfn.IFS(LEFT(F64,1)="+", (VALUE(MID(F64,2,LEN(F64)))+100)/100, VALUE(F64)&gt;0, (F64+100)/100, VALUE(F64)&lt;0, (ABS(F64)+100)/ABS(F64), F64=0, 0), ""))</f>
        <v/>
      </c>
      <c r="H64" s="1"/>
      <c r="I64" s="4" t="str">
        <f>IF(Bet_Log[[#This Row],[Result ]]="", "", IF(Bet_Log[[#This Row],[Result ]]="Win", Bet_Log[[#This Row],[Stake]]*Bet_Log[[#This Row],[Decimal]]-Bet_Log[[#This Row],[Stake]], IF(Bet_Log[[#This Row],[Result ]]="Loss", -Bet_Log[[#This Row],[Stake]], IF(Bet_Log[[#This Row],[Result ]]="Push", 0, ""))))</f>
        <v/>
      </c>
      <c r="J64" s="2" t="str">
        <f>IF(Bet_Log[[#This Row],[Return]]="", "", J63 + Bet_Log[[#This Row],[Return]])</f>
        <v/>
      </c>
      <c r="K64" s="9"/>
    </row>
    <row r="65" spans="1:11" x14ac:dyDescent="0.2">
      <c r="A65" s="27"/>
      <c r="B65" s="1"/>
      <c r="C65" s="6"/>
      <c r="D65" s="1"/>
      <c r="E65" s="7"/>
      <c r="F65" s="8"/>
      <c r="G65" s="3" t="str" cm="1">
        <f t="array" ref="G65">IF(ISBLANK(F65), "", IFERROR(_xlfn.IFS(LEFT(F65,1)="+", (VALUE(MID(F65,2,LEN(F65)))+100)/100, VALUE(F65)&gt;0, (F65+100)/100, VALUE(F65)&lt;0, (ABS(F65)+100)/ABS(F65), F65=0, 0), ""))</f>
        <v/>
      </c>
      <c r="H65" s="1"/>
      <c r="I65" s="4" t="str">
        <f>IF(Bet_Log[[#This Row],[Result ]]="", "", IF(Bet_Log[[#This Row],[Result ]]="Win", Bet_Log[[#This Row],[Stake]]*Bet_Log[[#This Row],[Decimal]]-Bet_Log[[#This Row],[Stake]], IF(Bet_Log[[#This Row],[Result ]]="Loss", -Bet_Log[[#This Row],[Stake]], IF(Bet_Log[[#This Row],[Result ]]="Push", 0, ""))))</f>
        <v/>
      </c>
      <c r="J65" s="2" t="str">
        <f>IF(Bet_Log[[#This Row],[Return]]="", "", J64 + Bet_Log[[#This Row],[Return]])</f>
        <v/>
      </c>
      <c r="K65" s="9"/>
    </row>
    <row r="66" spans="1:11" x14ac:dyDescent="0.2">
      <c r="A66" s="27"/>
      <c r="B66" s="1"/>
      <c r="C66" s="6"/>
      <c r="D66" s="1"/>
      <c r="E66" s="7"/>
      <c r="F66" s="8"/>
      <c r="G66" s="3" t="str" cm="1">
        <f t="array" ref="G66">IF(ISBLANK(F66), "", IFERROR(_xlfn.IFS(LEFT(F66,1)="+", (VALUE(MID(F66,2,LEN(F66)))+100)/100, VALUE(F66)&gt;0, (F66+100)/100, VALUE(F66)&lt;0, (ABS(F66)+100)/ABS(F66), F66=0, 0), ""))</f>
        <v/>
      </c>
      <c r="H66" s="1"/>
      <c r="I66" s="4" t="str">
        <f>IF(Bet_Log[[#This Row],[Result ]]="", "", IF(Bet_Log[[#This Row],[Result ]]="Win", Bet_Log[[#This Row],[Stake]]*Bet_Log[[#This Row],[Decimal]]-Bet_Log[[#This Row],[Stake]], IF(Bet_Log[[#This Row],[Result ]]="Loss", -Bet_Log[[#This Row],[Stake]], IF(Bet_Log[[#This Row],[Result ]]="Push", 0, ""))))</f>
        <v/>
      </c>
      <c r="J66" s="2" t="str">
        <f>IF(Bet_Log[[#This Row],[Return]]="", "", J65 + Bet_Log[[#This Row],[Return]])</f>
        <v/>
      </c>
      <c r="K66" s="9"/>
    </row>
    <row r="67" spans="1:11" x14ac:dyDescent="0.2">
      <c r="A67" s="27"/>
      <c r="B67" s="1"/>
      <c r="C67" s="6"/>
      <c r="D67" s="1"/>
      <c r="E67" s="7"/>
      <c r="F67" s="8"/>
      <c r="G67" s="3" t="str" cm="1">
        <f t="array" ref="G67">IF(ISBLANK(F67), "", IFERROR(_xlfn.IFS(LEFT(F67,1)="+", (VALUE(MID(F67,2,LEN(F67)))+100)/100, VALUE(F67)&gt;0, (F67+100)/100, VALUE(F67)&lt;0, (ABS(F67)+100)/ABS(F67), F67=0, 0), ""))</f>
        <v/>
      </c>
      <c r="H67" s="1"/>
      <c r="I67" s="4" t="str">
        <f>IF(Bet_Log[[#This Row],[Result ]]="", "", IF(Bet_Log[[#This Row],[Result ]]="Win", Bet_Log[[#This Row],[Stake]]*Bet_Log[[#This Row],[Decimal]]-Bet_Log[[#This Row],[Stake]], IF(Bet_Log[[#This Row],[Result ]]="Loss", -Bet_Log[[#This Row],[Stake]], IF(Bet_Log[[#This Row],[Result ]]="Push", 0, ""))))</f>
        <v/>
      </c>
      <c r="J67" s="2" t="str">
        <f>IF(Bet_Log[[#This Row],[Return]]="", "", J66 + Bet_Log[[#This Row],[Return]])</f>
        <v/>
      </c>
      <c r="K67" s="9"/>
    </row>
    <row r="68" spans="1:11" x14ac:dyDescent="0.2">
      <c r="A68" s="27"/>
      <c r="B68" s="1"/>
      <c r="C68" s="6"/>
      <c r="D68" s="1"/>
      <c r="E68" s="7"/>
      <c r="F68" s="8"/>
      <c r="G68" s="3" t="str" cm="1">
        <f t="array" ref="G68">IF(ISBLANK(F68), "", IFERROR(_xlfn.IFS(LEFT(F68,1)="+", (VALUE(MID(F68,2,LEN(F68)))+100)/100, VALUE(F68)&gt;0, (F68+100)/100, VALUE(F68)&lt;0, (ABS(F68)+100)/ABS(F68), F68=0, 0), ""))</f>
        <v/>
      </c>
      <c r="H68" s="1"/>
      <c r="I68" s="4" t="str">
        <f>IF(Bet_Log[[#This Row],[Result ]]="", "", IF(Bet_Log[[#This Row],[Result ]]="Win", Bet_Log[[#This Row],[Stake]]*Bet_Log[[#This Row],[Decimal]]-Bet_Log[[#This Row],[Stake]], IF(Bet_Log[[#This Row],[Result ]]="Loss", -Bet_Log[[#This Row],[Stake]], IF(Bet_Log[[#This Row],[Result ]]="Push", 0, ""))))</f>
        <v/>
      </c>
      <c r="J68" s="2" t="str">
        <f>IF(Bet_Log[[#This Row],[Return]]="", "", J67 + Bet_Log[[#This Row],[Return]])</f>
        <v/>
      </c>
      <c r="K68" s="9"/>
    </row>
    <row r="69" spans="1:11" x14ac:dyDescent="0.2">
      <c r="A69" s="27"/>
      <c r="B69" s="1"/>
      <c r="C69" s="6"/>
      <c r="D69" s="1"/>
      <c r="E69" s="7"/>
      <c r="F69" s="8"/>
      <c r="G69" s="3" t="str" cm="1">
        <f t="array" ref="G69">IF(ISBLANK(F69), "", IFERROR(_xlfn.IFS(LEFT(F69,1)="+", (VALUE(MID(F69,2,LEN(F69)))+100)/100, VALUE(F69)&gt;0, (F69+100)/100, VALUE(F69)&lt;0, (ABS(F69)+100)/ABS(F69), F69=0, 0), ""))</f>
        <v/>
      </c>
      <c r="H69" s="1"/>
      <c r="I69" s="4" t="str">
        <f>IF(Bet_Log[[#This Row],[Result ]]="", "", IF(Bet_Log[[#This Row],[Result ]]="Win", Bet_Log[[#This Row],[Stake]]*Bet_Log[[#This Row],[Decimal]]-Bet_Log[[#This Row],[Stake]], IF(Bet_Log[[#This Row],[Result ]]="Loss", -Bet_Log[[#This Row],[Stake]], IF(Bet_Log[[#This Row],[Result ]]="Push", 0, ""))))</f>
        <v/>
      </c>
      <c r="J69" s="2" t="str">
        <f>IF(Bet_Log[[#This Row],[Return]]="", "", J68 + Bet_Log[[#This Row],[Return]])</f>
        <v/>
      </c>
      <c r="K69" s="9"/>
    </row>
    <row r="70" spans="1:11" x14ac:dyDescent="0.2">
      <c r="A70" s="27"/>
      <c r="B70" s="1"/>
      <c r="C70" s="6"/>
      <c r="D70" s="1"/>
      <c r="E70" s="7"/>
      <c r="F70" s="8"/>
      <c r="G70" s="3" t="str" cm="1">
        <f t="array" ref="G70">IF(ISBLANK(F70), "", IFERROR(_xlfn.IFS(LEFT(F70,1)="+", (VALUE(MID(F70,2,LEN(F70)))+100)/100, VALUE(F70)&gt;0, (F70+100)/100, VALUE(F70)&lt;0, (ABS(F70)+100)/ABS(F70), F70=0, 0), ""))</f>
        <v/>
      </c>
      <c r="H70" s="1"/>
      <c r="I70" s="4" t="str">
        <f>IF(Bet_Log[[#This Row],[Result ]]="", "", IF(Bet_Log[[#This Row],[Result ]]="Win", Bet_Log[[#This Row],[Stake]]*Bet_Log[[#This Row],[Decimal]]-Bet_Log[[#This Row],[Stake]], IF(Bet_Log[[#This Row],[Result ]]="Loss", -Bet_Log[[#This Row],[Stake]], IF(Bet_Log[[#This Row],[Result ]]="Push", 0, ""))))</f>
        <v/>
      </c>
      <c r="J70" s="2" t="str">
        <f>IF(Bet_Log[[#This Row],[Return]]="", "", J69 + Bet_Log[[#This Row],[Return]])</f>
        <v/>
      </c>
      <c r="K70" s="9"/>
    </row>
    <row r="71" spans="1:11" x14ac:dyDescent="0.2">
      <c r="A71" s="27"/>
      <c r="B71" s="1"/>
      <c r="C71" s="6"/>
      <c r="D71" s="1"/>
      <c r="E71" s="7"/>
      <c r="F71" s="8"/>
      <c r="G71" s="3" t="str" cm="1">
        <f t="array" ref="G71">IF(ISBLANK(F71), "", IFERROR(_xlfn.IFS(LEFT(F71,1)="+", (VALUE(MID(F71,2,LEN(F71)))+100)/100, VALUE(F71)&gt;0, (F71+100)/100, VALUE(F71)&lt;0, (ABS(F71)+100)/ABS(F71), F71=0, 0), ""))</f>
        <v/>
      </c>
      <c r="H71" s="1"/>
      <c r="I71" s="4" t="str">
        <f>IF(Bet_Log[[#This Row],[Result ]]="", "", IF(Bet_Log[[#This Row],[Result ]]="Win", Bet_Log[[#This Row],[Stake]]*Bet_Log[[#This Row],[Decimal]]-Bet_Log[[#This Row],[Stake]], IF(Bet_Log[[#This Row],[Result ]]="Loss", -Bet_Log[[#This Row],[Stake]], IF(Bet_Log[[#This Row],[Result ]]="Push", 0, ""))))</f>
        <v/>
      </c>
      <c r="J71" s="2" t="str">
        <f>IF(Bet_Log[[#This Row],[Return]]="", "", J70 + Bet_Log[[#This Row],[Return]])</f>
        <v/>
      </c>
      <c r="K71" s="9"/>
    </row>
    <row r="72" spans="1:11" x14ac:dyDescent="0.2">
      <c r="A72" s="27"/>
      <c r="B72" s="1"/>
      <c r="C72" s="6"/>
      <c r="D72" s="1"/>
      <c r="E72" s="7"/>
      <c r="F72" s="8"/>
      <c r="G72" s="3" t="str" cm="1">
        <f t="array" ref="G72">IF(ISBLANK(F72), "", IFERROR(_xlfn.IFS(LEFT(F72,1)="+", (VALUE(MID(F72,2,LEN(F72)))+100)/100, VALUE(F72)&gt;0, (F72+100)/100, VALUE(F72)&lt;0, (ABS(F72)+100)/ABS(F72), F72=0, 0), ""))</f>
        <v/>
      </c>
      <c r="H72" s="1"/>
      <c r="I72" s="4" t="str">
        <f>IF(Bet_Log[[#This Row],[Result ]]="", "", IF(Bet_Log[[#This Row],[Result ]]="Win", Bet_Log[[#This Row],[Stake]]*Bet_Log[[#This Row],[Decimal]]-Bet_Log[[#This Row],[Stake]], IF(Bet_Log[[#This Row],[Result ]]="Loss", -Bet_Log[[#This Row],[Stake]], IF(Bet_Log[[#This Row],[Result ]]="Push", 0, ""))))</f>
        <v/>
      </c>
      <c r="J72" s="2" t="str">
        <f>IF(Bet_Log[[#This Row],[Return]]="", "", J71 + Bet_Log[[#This Row],[Return]])</f>
        <v/>
      </c>
      <c r="K72" s="9"/>
    </row>
    <row r="73" spans="1:11" x14ac:dyDescent="0.2">
      <c r="A73" s="27"/>
      <c r="B73" s="1"/>
      <c r="C73" s="6"/>
      <c r="D73" s="1"/>
      <c r="E73" s="7"/>
      <c r="F73" s="8"/>
      <c r="G73" s="3" t="str" cm="1">
        <f t="array" ref="G73">IF(ISBLANK(F73), "", IFERROR(_xlfn.IFS(LEFT(F73,1)="+", (VALUE(MID(F73,2,LEN(F73)))+100)/100, VALUE(F73)&gt;0, (F73+100)/100, VALUE(F73)&lt;0, (ABS(F73)+100)/ABS(F73), F73=0, 0), ""))</f>
        <v/>
      </c>
      <c r="H73" s="1"/>
      <c r="I73" s="4" t="str">
        <f>IF(Bet_Log[[#This Row],[Result ]]="", "", IF(Bet_Log[[#This Row],[Result ]]="Win", Bet_Log[[#This Row],[Stake]]*Bet_Log[[#This Row],[Decimal]]-Bet_Log[[#This Row],[Stake]], IF(Bet_Log[[#This Row],[Result ]]="Loss", -Bet_Log[[#This Row],[Stake]], IF(Bet_Log[[#This Row],[Result ]]="Push", 0, ""))))</f>
        <v/>
      </c>
      <c r="J73" s="2" t="str">
        <f>IF(Bet_Log[[#This Row],[Return]]="", "", J72 + Bet_Log[[#This Row],[Return]])</f>
        <v/>
      </c>
      <c r="K73" s="9"/>
    </row>
    <row r="74" spans="1:11" x14ac:dyDescent="0.2">
      <c r="A74" s="27"/>
      <c r="B74" s="1"/>
      <c r="C74" s="6"/>
      <c r="D74" s="1"/>
      <c r="E74" s="7"/>
      <c r="F74" s="8"/>
      <c r="G74" s="3" t="str" cm="1">
        <f t="array" ref="G74">IF(ISBLANK(F74), "", IFERROR(_xlfn.IFS(LEFT(F74,1)="+", (VALUE(MID(F74,2,LEN(F74)))+100)/100, VALUE(F74)&gt;0, (F74+100)/100, VALUE(F74)&lt;0, (ABS(F74)+100)/ABS(F74), F74=0, 0), ""))</f>
        <v/>
      </c>
      <c r="H74" s="1"/>
      <c r="I74" s="4" t="str">
        <f>IF(Bet_Log[[#This Row],[Result ]]="", "", IF(Bet_Log[[#This Row],[Result ]]="Win", Bet_Log[[#This Row],[Stake]]*Bet_Log[[#This Row],[Decimal]]-Bet_Log[[#This Row],[Stake]], IF(Bet_Log[[#This Row],[Result ]]="Loss", -Bet_Log[[#This Row],[Stake]], IF(Bet_Log[[#This Row],[Result ]]="Push", 0, ""))))</f>
        <v/>
      </c>
      <c r="J74" s="2" t="str">
        <f>IF(Bet_Log[[#This Row],[Return]]="", "", J73 + Bet_Log[[#This Row],[Return]])</f>
        <v/>
      </c>
      <c r="K74" s="9"/>
    </row>
    <row r="75" spans="1:11" x14ac:dyDescent="0.2">
      <c r="A75" s="27"/>
      <c r="B75" s="1"/>
      <c r="C75" s="6"/>
      <c r="D75" s="1"/>
      <c r="E75" s="7"/>
      <c r="F75" s="8"/>
      <c r="G75" s="3" t="str" cm="1">
        <f t="array" ref="G75">IF(ISBLANK(F75), "", IFERROR(_xlfn.IFS(LEFT(F75,1)="+", (VALUE(MID(F75,2,LEN(F75)))+100)/100, VALUE(F75)&gt;0, (F75+100)/100, VALUE(F75)&lt;0, (ABS(F75)+100)/ABS(F75), F75=0, 0), ""))</f>
        <v/>
      </c>
      <c r="H75" s="1"/>
      <c r="I75" s="4" t="str">
        <f>IF(Bet_Log[[#This Row],[Result ]]="", "", IF(Bet_Log[[#This Row],[Result ]]="Win", Bet_Log[[#This Row],[Stake]]*Bet_Log[[#This Row],[Decimal]]-Bet_Log[[#This Row],[Stake]], IF(Bet_Log[[#This Row],[Result ]]="Loss", -Bet_Log[[#This Row],[Stake]], IF(Bet_Log[[#This Row],[Result ]]="Push", 0, ""))))</f>
        <v/>
      </c>
      <c r="J75" s="2" t="str">
        <f>IF(Bet_Log[[#This Row],[Return]]="", "", J74 + Bet_Log[[#This Row],[Return]])</f>
        <v/>
      </c>
      <c r="K75" s="9"/>
    </row>
    <row r="76" spans="1:11" x14ac:dyDescent="0.2">
      <c r="A76" s="27"/>
      <c r="B76" s="1"/>
      <c r="C76" s="6"/>
      <c r="D76" s="1"/>
      <c r="E76" s="7"/>
      <c r="F76" s="8"/>
      <c r="G76" s="3" t="str" cm="1">
        <f t="array" ref="G76">IF(ISBLANK(F76), "", IFERROR(_xlfn.IFS(LEFT(F76,1)="+", (VALUE(MID(F76,2,LEN(F76)))+100)/100, VALUE(F76)&gt;0, (F76+100)/100, VALUE(F76)&lt;0, (ABS(F76)+100)/ABS(F76), F76=0, 0), ""))</f>
        <v/>
      </c>
      <c r="H76" s="1"/>
      <c r="I76" s="4" t="str">
        <f>IF(Bet_Log[[#This Row],[Result ]]="", "", IF(Bet_Log[[#This Row],[Result ]]="Win", Bet_Log[[#This Row],[Stake]]*Bet_Log[[#This Row],[Decimal]]-Bet_Log[[#This Row],[Stake]], IF(Bet_Log[[#This Row],[Result ]]="Loss", -Bet_Log[[#This Row],[Stake]], IF(Bet_Log[[#This Row],[Result ]]="Push", 0, ""))))</f>
        <v/>
      </c>
      <c r="J76" s="2" t="str">
        <f>IF(Bet_Log[[#This Row],[Return]]="", "", J75 + Bet_Log[[#This Row],[Return]])</f>
        <v/>
      </c>
      <c r="K76" s="9"/>
    </row>
    <row r="77" spans="1:11" x14ac:dyDescent="0.2">
      <c r="A77" s="27"/>
      <c r="B77" s="1"/>
      <c r="C77" s="6"/>
      <c r="D77" s="1"/>
      <c r="E77" s="7"/>
      <c r="F77" s="8"/>
      <c r="G77" s="3" t="str" cm="1">
        <f t="array" ref="G77">IF(ISBLANK(F77), "", IFERROR(_xlfn.IFS(LEFT(F77,1)="+", (VALUE(MID(F77,2,LEN(F77)))+100)/100, VALUE(F77)&gt;0, (F77+100)/100, VALUE(F77)&lt;0, (ABS(F77)+100)/ABS(F77), F77=0, 0), ""))</f>
        <v/>
      </c>
      <c r="H77" s="1"/>
      <c r="I77" s="4" t="str">
        <f>IF(Bet_Log[[#This Row],[Result ]]="", "", IF(Bet_Log[[#This Row],[Result ]]="Win", Bet_Log[[#This Row],[Stake]]*Bet_Log[[#This Row],[Decimal]]-Bet_Log[[#This Row],[Stake]], IF(Bet_Log[[#This Row],[Result ]]="Loss", -Bet_Log[[#This Row],[Stake]], IF(Bet_Log[[#This Row],[Result ]]="Push", 0, ""))))</f>
        <v/>
      </c>
      <c r="J77" s="2" t="str">
        <f>IF(Bet_Log[[#This Row],[Return]]="", "", J76 + Bet_Log[[#This Row],[Return]])</f>
        <v/>
      </c>
      <c r="K77" s="9"/>
    </row>
    <row r="78" spans="1:11" x14ac:dyDescent="0.2">
      <c r="A78" s="27"/>
      <c r="B78" s="1"/>
      <c r="C78" s="6"/>
      <c r="D78" s="1"/>
      <c r="E78" s="7"/>
      <c r="F78" s="8"/>
      <c r="G78" s="3" t="str" cm="1">
        <f t="array" ref="G78">IF(ISBLANK(F78), "", IFERROR(_xlfn.IFS(LEFT(F78,1)="+", (VALUE(MID(F78,2,LEN(F78)))+100)/100, VALUE(F78)&gt;0, (F78+100)/100, VALUE(F78)&lt;0, (ABS(F78)+100)/ABS(F78), F78=0, 0), ""))</f>
        <v/>
      </c>
      <c r="H78" s="1"/>
      <c r="I78" s="4" t="str">
        <f>IF(Bet_Log[[#This Row],[Result ]]="", "", IF(Bet_Log[[#This Row],[Result ]]="Win", Bet_Log[[#This Row],[Stake]]*Bet_Log[[#This Row],[Decimal]]-Bet_Log[[#This Row],[Stake]], IF(Bet_Log[[#This Row],[Result ]]="Loss", -Bet_Log[[#This Row],[Stake]], IF(Bet_Log[[#This Row],[Result ]]="Push", 0, ""))))</f>
        <v/>
      </c>
      <c r="J78" s="2" t="str">
        <f>IF(Bet_Log[[#This Row],[Return]]="", "", J77 + Bet_Log[[#This Row],[Return]])</f>
        <v/>
      </c>
      <c r="K78" s="9"/>
    </row>
    <row r="79" spans="1:11" x14ac:dyDescent="0.2">
      <c r="A79" s="27"/>
      <c r="B79" s="1"/>
      <c r="C79" s="6"/>
      <c r="D79" s="1"/>
      <c r="E79" s="7"/>
      <c r="F79" s="8"/>
      <c r="G79" s="3" t="str" cm="1">
        <f t="array" ref="G79">IF(ISBLANK(F79), "", IFERROR(_xlfn.IFS(LEFT(F79,1)="+", (VALUE(MID(F79,2,LEN(F79)))+100)/100, VALUE(F79)&gt;0, (F79+100)/100, VALUE(F79)&lt;0, (ABS(F79)+100)/ABS(F79), F79=0, 0), ""))</f>
        <v/>
      </c>
      <c r="H79" s="1"/>
      <c r="I79" s="4" t="str">
        <f>IF(Bet_Log[[#This Row],[Result ]]="", "", IF(Bet_Log[[#This Row],[Result ]]="Win", Bet_Log[[#This Row],[Stake]]*Bet_Log[[#This Row],[Decimal]]-Bet_Log[[#This Row],[Stake]], IF(Bet_Log[[#This Row],[Result ]]="Loss", -Bet_Log[[#This Row],[Stake]], IF(Bet_Log[[#This Row],[Result ]]="Push", 0, ""))))</f>
        <v/>
      </c>
      <c r="J79" s="2" t="str">
        <f>IF(Bet_Log[[#This Row],[Return]]="", "", J78 + Bet_Log[[#This Row],[Return]])</f>
        <v/>
      </c>
      <c r="K79" s="9"/>
    </row>
    <row r="80" spans="1:11" x14ac:dyDescent="0.2">
      <c r="A80" s="27"/>
      <c r="B80" s="1"/>
      <c r="C80" s="6"/>
      <c r="D80" s="1"/>
      <c r="E80" s="7"/>
      <c r="F80" s="8"/>
      <c r="G80" s="3" t="str" cm="1">
        <f t="array" ref="G80">IF(ISBLANK(F80), "", IFERROR(_xlfn.IFS(LEFT(F80,1)="+", (VALUE(MID(F80,2,LEN(F80)))+100)/100, VALUE(F80)&gt;0, (F80+100)/100, VALUE(F80)&lt;0, (ABS(F80)+100)/ABS(F80), F80=0, 0), ""))</f>
        <v/>
      </c>
      <c r="H80" s="1"/>
      <c r="I80" s="4" t="str">
        <f>IF(Bet_Log[[#This Row],[Result ]]="", "", IF(Bet_Log[[#This Row],[Result ]]="Win", Bet_Log[[#This Row],[Stake]]*Bet_Log[[#This Row],[Decimal]]-Bet_Log[[#This Row],[Stake]], IF(Bet_Log[[#This Row],[Result ]]="Loss", -Bet_Log[[#This Row],[Stake]], IF(Bet_Log[[#This Row],[Result ]]="Push", 0, ""))))</f>
        <v/>
      </c>
      <c r="J80" s="2" t="str">
        <f>IF(Bet_Log[[#This Row],[Return]]="", "", J79 + Bet_Log[[#This Row],[Return]])</f>
        <v/>
      </c>
      <c r="K80" s="9"/>
    </row>
    <row r="81" spans="1:11" x14ac:dyDescent="0.2">
      <c r="A81" s="27"/>
      <c r="B81" s="1"/>
      <c r="C81" s="6"/>
      <c r="D81" s="1"/>
      <c r="E81" s="7"/>
      <c r="F81" s="8"/>
      <c r="G81" s="3" t="str" cm="1">
        <f t="array" ref="G81">IF(ISBLANK(F81), "", IFERROR(_xlfn.IFS(LEFT(F81,1)="+", (VALUE(MID(F81,2,LEN(F81)))+100)/100, VALUE(F81)&gt;0, (F81+100)/100, VALUE(F81)&lt;0, (ABS(F81)+100)/ABS(F81), F81=0, 0), ""))</f>
        <v/>
      </c>
      <c r="H81" s="1"/>
      <c r="I81" s="4" t="str">
        <f>IF(Bet_Log[[#This Row],[Result ]]="", "", IF(Bet_Log[[#This Row],[Result ]]="Win", Bet_Log[[#This Row],[Stake]]*Bet_Log[[#This Row],[Decimal]]-Bet_Log[[#This Row],[Stake]], IF(Bet_Log[[#This Row],[Result ]]="Loss", -Bet_Log[[#This Row],[Stake]], IF(Bet_Log[[#This Row],[Result ]]="Push", 0, ""))))</f>
        <v/>
      </c>
      <c r="J81" s="2" t="str">
        <f>IF(Bet_Log[[#This Row],[Return]]="", "", J80 + Bet_Log[[#This Row],[Return]])</f>
        <v/>
      </c>
      <c r="K81" s="9"/>
    </row>
    <row r="82" spans="1:11" x14ac:dyDescent="0.2">
      <c r="A82" s="27"/>
      <c r="B82" s="1"/>
      <c r="C82" s="6"/>
      <c r="D82" s="1"/>
      <c r="E82" s="7"/>
      <c r="F82" s="8"/>
      <c r="G82" s="3" t="str" cm="1">
        <f t="array" ref="G82">IF(ISBLANK(F82), "", IFERROR(_xlfn.IFS(LEFT(F82,1)="+", (VALUE(MID(F82,2,LEN(F82)))+100)/100, VALUE(F82)&gt;0, (F82+100)/100, VALUE(F82)&lt;0, (ABS(F82)+100)/ABS(F82), F82=0, 0), ""))</f>
        <v/>
      </c>
      <c r="H82" s="1"/>
      <c r="I82" s="4" t="str">
        <f>IF(Bet_Log[[#This Row],[Result ]]="", "", IF(Bet_Log[[#This Row],[Result ]]="Win", Bet_Log[[#This Row],[Stake]]*Bet_Log[[#This Row],[Decimal]]-Bet_Log[[#This Row],[Stake]], IF(Bet_Log[[#This Row],[Result ]]="Loss", -Bet_Log[[#This Row],[Stake]], IF(Bet_Log[[#This Row],[Result ]]="Push", 0, ""))))</f>
        <v/>
      </c>
      <c r="J82" s="2" t="str">
        <f>IF(Bet_Log[[#This Row],[Return]]="", "", J81 + Bet_Log[[#This Row],[Return]])</f>
        <v/>
      </c>
      <c r="K82" s="9"/>
    </row>
    <row r="83" spans="1:11" x14ac:dyDescent="0.2">
      <c r="A83" s="27"/>
      <c r="B83" s="1"/>
      <c r="C83" s="6"/>
      <c r="D83" s="1"/>
      <c r="E83" s="7"/>
      <c r="F83" s="8"/>
      <c r="G83" s="3" t="str" cm="1">
        <f t="array" ref="G83">IF(ISBLANK(F83), "", IFERROR(_xlfn.IFS(LEFT(F83,1)="+", (VALUE(MID(F83,2,LEN(F83)))+100)/100, VALUE(F83)&gt;0, (F83+100)/100, VALUE(F83)&lt;0, (ABS(F83)+100)/ABS(F83), F83=0, 0), ""))</f>
        <v/>
      </c>
      <c r="H83" s="1"/>
      <c r="I83" s="4" t="str">
        <f>IF(Bet_Log[[#This Row],[Result ]]="", "", IF(Bet_Log[[#This Row],[Result ]]="Win", Bet_Log[[#This Row],[Stake]]*Bet_Log[[#This Row],[Decimal]]-Bet_Log[[#This Row],[Stake]], IF(Bet_Log[[#This Row],[Result ]]="Loss", -Bet_Log[[#This Row],[Stake]], IF(Bet_Log[[#This Row],[Result ]]="Push", 0, ""))))</f>
        <v/>
      </c>
      <c r="J83" s="2" t="str">
        <f>IF(Bet_Log[[#This Row],[Return]]="", "", J82 + Bet_Log[[#This Row],[Return]])</f>
        <v/>
      </c>
      <c r="K83" s="9"/>
    </row>
    <row r="84" spans="1:11" x14ac:dyDescent="0.2">
      <c r="A84" s="27"/>
      <c r="B84" s="1"/>
      <c r="C84" s="6"/>
      <c r="D84" s="1"/>
      <c r="E84" s="7"/>
      <c r="F84" s="8"/>
      <c r="G84" s="3" t="str" cm="1">
        <f t="array" ref="G84">IF(ISBLANK(F84), "", IFERROR(_xlfn.IFS(LEFT(F84,1)="+", (VALUE(MID(F84,2,LEN(F84)))+100)/100, VALUE(F84)&gt;0, (F84+100)/100, VALUE(F84)&lt;0, (ABS(F84)+100)/ABS(F84), F84=0, 0), ""))</f>
        <v/>
      </c>
      <c r="H84" s="1"/>
      <c r="I84" s="4" t="str">
        <f>IF(Bet_Log[[#This Row],[Result ]]="", "", IF(Bet_Log[[#This Row],[Result ]]="Win", Bet_Log[[#This Row],[Stake]]*Bet_Log[[#This Row],[Decimal]]-Bet_Log[[#This Row],[Stake]], IF(Bet_Log[[#This Row],[Result ]]="Loss", -Bet_Log[[#This Row],[Stake]], IF(Bet_Log[[#This Row],[Result ]]="Push", 0, ""))))</f>
        <v/>
      </c>
      <c r="J84" s="2" t="str">
        <f>IF(Bet_Log[[#This Row],[Return]]="", "", J83 + Bet_Log[[#This Row],[Return]])</f>
        <v/>
      </c>
      <c r="K84" s="9"/>
    </row>
    <row r="85" spans="1:11" x14ac:dyDescent="0.2">
      <c r="A85" s="27"/>
      <c r="B85" s="1"/>
      <c r="C85" s="6"/>
      <c r="D85" s="1"/>
      <c r="E85" s="7"/>
      <c r="F85" s="8"/>
      <c r="G85" s="3" t="str" cm="1">
        <f t="array" ref="G85">IF(ISBLANK(F85), "", IFERROR(_xlfn.IFS(LEFT(F85,1)="+", (VALUE(MID(F85,2,LEN(F85)))+100)/100, VALUE(F85)&gt;0, (F85+100)/100, VALUE(F85)&lt;0, (ABS(F85)+100)/ABS(F85), F85=0, 0), ""))</f>
        <v/>
      </c>
      <c r="H85" s="1"/>
      <c r="I85" s="4" t="str">
        <f>IF(Bet_Log[[#This Row],[Result ]]="", "", IF(Bet_Log[[#This Row],[Result ]]="Win", Bet_Log[[#This Row],[Stake]]*Bet_Log[[#This Row],[Decimal]]-Bet_Log[[#This Row],[Stake]], IF(Bet_Log[[#This Row],[Result ]]="Loss", -Bet_Log[[#This Row],[Stake]], IF(Bet_Log[[#This Row],[Result ]]="Push", 0, ""))))</f>
        <v/>
      </c>
      <c r="J85" s="2" t="str">
        <f>IF(Bet_Log[[#This Row],[Return]]="", "", J84 + Bet_Log[[#This Row],[Return]])</f>
        <v/>
      </c>
      <c r="K85" s="9"/>
    </row>
    <row r="86" spans="1:11" x14ac:dyDescent="0.2">
      <c r="A86" s="27"/>
      <c r="B86" s="1"/>
      <c r="C86" s="6"/>
      <c r="D86" s="1"/>
      <c r="E86" s="7"/>
      <c r="F86" s="8"/>
      <c r="G86" s="3" t="str" cm="1">
        <f t="array" ref="G86">IF(ISBLANK(F86), "", IFERROR(_xlfn.IFS(LEFT(F86,1)="+", (VALUE(MID(F86,2,LEN(F86)))+100)/100, VALUE(F86)&gt;0, (F86+100)/100, VALUE(F86)&lt;0, (ABS(F86)+100)/ABS(F86), F86=0, 0), ""))</f>
        <v/>
      </c>
      <c r="H86" s="1"/>
      <c r="I86" s="4" t="str">
        <f>IF(Bet_Log[[#This Row],[Result ]]="", "", IF(Bet_Log[[#This Row],[Result ]]="Win", Bet_Log[[#This Row],[Stake]]*Bet_Log[[#This Row],[Decimal]]-Bet_Log[[#This Row],[Stake]], IF(Bet_Log[[#This Row],[Result ]]="Loss", -Bet_Log[[#This Row],[Stake]], IF(Bet_Log[[#This Row],[Result ]]="Push", 0, ""))))</f>
        <v/>
      </c>
      <c r="J86" s="2" t="str">
        <f>IF(Bet_Log[[#This Row],[Return]]="", "", J85 + Bet_Log[[#This Row],[Return]])</f>
        <v/>
      </c>
      <c r="K86" s="9"/>
    </row>
    <row r="87" spans="1:11" x14ac:dyDescent="0.2">
      <c r="A87" s="27"/>
      <c r="B87" s="1"/>
      <c r="C87" s="6"/>
      <c r="D87" s="1"/>
      <c r="E87" s="7"/>
      <c r="F87" s="8"/>
      <c r="G87" s="3" t="str" cm="1">
        <f t="array" ref="G87">IF(ISBLANK(F87), "", IFERROR(_xlfn.IFS(LEFT(F87,1)="+", (VALUE(MID(F87,2,LEN(F87)))+100)/100, VALUE(F87)&gt;0, (F87+100)/100, VALUE(F87)&lt;0, (ABS(F87)+100)/ABS(F87), F87=0, 0), ""))</f>
        <v/>
      </c>
      <c r="H87" s="1"/>
      <c r="I87" s="4" t="str">
        <f>IF(Bet_Log[[#This Row],[Result ]]="", "", IF(Bet_Log[[#This Row],[Result ]]="Win", Bet_Log[[#This Row],[Stake]]*Bet_Log[[#This Row],[Decimal]]-Bet_Log[[#This Row],[Stake]], IF(Bet_Log[[#This Row],[Result ]]="Loss", -Bet_Log[[#This Row],[Stake]], IF(Bet_Log[[#This Row],[Result ]]="Push", 0, ""))))</f>
        <v/>
      </c>
      <c r="J87" s="2" t="str">
        <f>IF(Bet_Log[[#This Row],[Return]]="", "", J86 + Bet_Log[[#This Row],[Return]])</f>
        <v/>
      </c>
      <c r="K87" s="9"/>
    </row>
    <row r="88" spans="1:11" x14ac:dyDescent="0.2">
      <c r="A88" s="27"/>
      <c r="B88" s="1"/>
      <c r="C88" s="6"/>
      <c r="D88" s="1"/>
      <c r="E88" s="7"/>
      <c r="F88" s="8"/>
      <c r="G88" s="3" t="str" cm="1">
        <f t="array" ref="G88">IF(ISBLANK(F88), "", IFERROR(_xlfn.IFS(LEFT(F88,1)="+", (VALUE(MID(F88,2,LEN(F88)))+100)/100, VALUE(F88)&gt;0, (F88+100)/100, VALUE(F88)&lt;0, (ABS(F88)+100)/ABS(F88), F88=0, 0), ""))</f>
        <v/>
      </c>
      <c r="H88" s="1"/>
      <c r="I88" s="4" t="str">
        <f>IF(Bet_Log[[#This Row],[Result ]]="", "", IF(Bet_Log[[#This Row],[Result ]]="Win", Bet_Log[[#This Row],[Stake]]*Bet_Log[[#This Row],[Decimal]]-Bet_Log[[#This Row],[Stake]], IF(Bet_Log[[#This Row],[Result ]]="Loss", -Bet_Log[[#This Row],[Stake]], IF(Bet_Log[[#This Row],[Result ]]="Push", 0, ""))))</f>
        <v/>
      </c>
      <c r="J88" s="2" t="str">
        <f>IF(Bet_Log[[#This Row],[Return]]="", "", J87 + Bet_Log[[#This Row],[Return]])</f>
        <v/>
      </c>
      <c r="K88" s="9"/>
    </row>
    <row r="89" spans="1:11" x14ac:dyDescent="0.2">
      <c r="A89" s="27"/>
      <c r="B89" s="1"/>
      <c r="C89" s="6"/>
      <c r="D89" s="1"/>
      <c r="E89" s="7"/>
      <c r="F89" s="8"/>
      <c r="G89" s="3" t="str" cm="1">
        <f t="array" ref="G89">IF(ISBLANK(F89), "", IFERROR(_xlfn.IFS(LEFT(F89,1)="+", (VALUE(MID(F89,2,LEN(F89)))+100)/100, VALUE(F89)&gt;0, (F89+100)/100, VALUE(F89)&lt;0, (ABS(F89)+100)/ABS(F89), F89=0, 0), ""))</f>
        <v/>
      </c>
      <c r="H89" s="1"/>
      <c r="I89" s="4" t="str">
        <f>IF(Bet_Log[[#This Row],[Result ]]="", "", IF(Bet_Log[[#This Row],[Result ]]="Win", Bet_Log[[#This Row],[Stake]]*Bet_Log[[#This Row],[Decimal]]-Bet_Log[[#This Row],[Stake]], IF(Bet_Log[[#This Row],[Result ]]="Loss", -Bet_Log[[#This Row],[Stake]], IF(Bet_Log[[#This Row],[Result ]]="Push", 0, ""))))</f>
        <v/>
      </c>
      <c r="J89" s="2" t="str">
        <f>IF(Bet_Log[[#This Row],[Return]]="", "", J88 + Bet_Log[[#This Row],[Return]])</f>
        <v/>
      </c>
      <c r="K89" s="9"/>
    </row>
    <row r="90" spans="1:11" x14ac:dyDescent="0.2">
      <c r="A90" s="27"/>
      <c r="B90" s="1"/>
      <c r="C90" s="6"/>
      <c r="D90" s="1"/>
      <c r="E90" s="7"/>
      <c r="F90" s="8"/>
      <c r="G90" s="3" t="str" cm="1">
        <f t="array" ref="G90">IF(ISBLANK(F90), "", IFERROR(_xlfn.IFS(LEFT(F90,1)="+", (VALUE(MID(F90,2,LEN(F90)))+100)/100, VALUE(F90)&gt;0, (F90+100)/100, VALUE(F90)&lt;0, (ABS(F90)+100)/ABS(F90), F90=0, 0), ""))</f>
        <v/>
      </c>
      <c r="H90" s="1"/>
      <c r="I90" s="4" t="str">
        <f>IF(Bet_Log[[#This Row],[Result ]]="", "", IF(Bet_Log[[#This Row],[Result ]]="Win", Bet_Log[[#This Row],[Stake]]*Bet_Log[[#This Row],[Decimal]]-Bet_Log[[#This Row],[Stake]], IF(Bet_Log[[#This Row],[Result ]]="Loss", -Bet_Log[[#This Row],[Stake]], IF(Bet_Log[[#This Row],[Result ]]="Push", 0, ""))))</f>
        <v/>
      </c>
      <c r="J90" s="2" t="str">
        <f>IF(Bet_Log[[#This Row],[Return]]="", "", J89 + Bet_Log[[#This Row],[Return]])</f>
        <v/>
      </c>
      <c r="K90" s="9"/>
    </row>
    <row r="91" spans="1:11" x14ac:dyDescent="0.2">
      <c r="A91" s="27"/>
      <c r="B91" s="1"/>
      <c r="C91" s="6"/>
      <c r="D91" s="1"/>
      <c r="E91" s="7"/>
      <c r="F91" s="8"/>
      <c r="G91" s="3" t="str" cm="1">
        <f t="array" ref="G91">IF(ISBLANK(F91), "", IFERROR(_xlfn.IFS(LEFT(F91,1)="+", (VALUE(MID(F91,2,LEN(F91)))+100)/100, VALUE(F91)&gt;0, (F91+100)/100, VALUE(F91)&lt;0, (ABS(F91)+100)/ABS(F91), F91=0, 0), ""))</f>
        <v/>
      </c>
      <c r="H91" s="1"/>
      <c r="I91" s="4" t="str">
        <f>IF(Bet_Log[[#This Row],[Result ]]="", "", IF(Bet_Log[[#This Row],[Result ]]="Win", Bet_Log[[#This Row],[Stake]]*Bet_Log[[#This Row],[Decimal]]-Bet_Log[[#This Row],[Stake]], IF(Bet_Log[[#This Row],[Result ]]="Loss", -Bet_Log[[#This Row],[Stake]], IF(Bet_Log[[#This Row],[Result ]]="Push", 0, ""))))</f>
        <v/>
      </c>
      <c r="J91" s="2" t="str">
        <f>IF(Bet_Log[[#This Row],[Return]]="", "", J90 + Bet_Log[[#This Row],[Return]])</f>
        <v/>
      </c>
      <c r="K91" s="9"/>
    </row>
    <row r="92" spans="1:11" x14ac:dyDescent="0.2">
      <c r="A92" s="27"/>
      <c r="B92" s="1"/>
      <c r="C92" s="6"/>
      <c r="D92" s="1"/>
      <c r="E92" s="7"/>
      <c r="F92" s="8"/>
      <c r="G92" s="3" t="str" cm="1">
        <f t="array" ref="G92">IF(ISBLANK(F92), "", IFERROR(_xlfn.IFS(LEFT(F92,1)="+", (VALUE(MID(F92,2,LEN(F92)))+100)/100, VALUE(F92)&gt;0, (F92+100)/100, VALUE(F92)&lt;0, (ABS(F92)+100)/ABS(F92), F92=0, 0), ""))</f>
        <v/>
      </c>
      <c r="H92" s="1"/>
      <c r="I92" s="4" t="str">
        <f>IF(Bet_Log[[#This Row],[Result ]]="", "", IF(Bet_Log[[#This Row],[Result ]]="Win", Bet_Log[[#This Row],[Stake]]*Bet_Log[[#This Row],[Decimal]]-Bet_Log[[#This Row],[Stake]], IF(Bet_Log[[#This Row],[Result ]]="Loss", -Bet_Log[[#This Row],[Stake]], IF(Bet_Log[[#This Row],[Result ]]="Push", 0, ""))))</f>
        <v/>
      </c>
      <c r="J92" s="2" t="str">
        <f>IF(Bet_Log[[#This Row],[Return]]="", "", J91 + Bet_Log[[#This Row],[Return]])</f>
        <v/>
      </c>
      <c r="K92" s="9"/>
    </row>
    <row r="93" spans="1:11" x14ac:dyDescent="0.2">
      <c r="A93" s="27"/>
      <c r="B93" s="1"/>
      <c r="C93" s="6"/>
      <c r="D93" s="1"/>
      <c r="E93" s="7"/>
      <c r="F93" s="8"/>
      <c r="G93" s="3" t="str" cm="1">
        <f t="array" ref="G93">IF(ISBLANK(F93), "", IFERROR(_xlfn.IFS(LEFT(F93,1)="+", (VALUE(MID(F93,2,LEN(F93)))+100)/100, VALUE(F93)&gt;0, (F93+100)/100, VALUE(F93)&lt;0, (ABS(F93)+100)/ABS(F93), F93=0, 0), ""))</f>
        <v/>
      </c>
      <c r="H93" s="1"/>
      <c r="I93" s="4" t="str">
        <f>IF(Bet_Log[[#This Row],[Result ]]="", "", IF(Bet_Log[[#This Row],[Result ]]="Win", Bet_Log[[#This Row],[Stake]]*Bet_Log[[#This Row],[Decimal]]-Bet_Log[[#This Row],[Stake]], IF(Bet_Log[[#This Row],[Result ]]="Loss", -Bet_Log[[#This Row],[Stake]], IF(Bet_Log[[#This Row],[Result ]]="Push", 0, ""))))</f>
        <v/>
      </c>
      <c r="J93" s="2" t="str">
        <f>IF(Bet_Log[[#This Row],[Return]]="", "", J92 + Bet_Log[[#This Row],[Return]])</f>
        <v/>
      </c>
      <c r="K93" s="9"/>
    </row>
    <row r="94" spans="1:11" x14ac:dyDescent="0.2">
      <c r="A94" s="27"/>
      <c r="B94" s="1"/>
      <c r="C94" s="6"/>
      <c r="D94" s="1"/>
      <c r="E94" s="7"/>
      <c r="F94" s="8"/>
      <c r="G94" s="3" t="str" cm="1">
        <f t="array" ref="G94">IF(ISBLANK(F94), "", IFERROR(_xlfn.IFS(LEFT(F94,1)="+", (VALUE(MID(F94,2,LEN(F94)))+100)/100, VALUE(F94)&gt;0, (F94+100)/100, VALUE(F94)&lt;0, (ABS(F94)+100)/ABS(F94), F94=0, 0), ""))</f>
        <v/>
      </c>
      <c r="H94" s="1"/>
      <c r="I94" s="4" t="str">
        <f>IF(Bet_Log[[#This Row],[Result ]]="", "", IF(Bet_Log[[#This Row],[Result ]]="Win", Bet_Log[[#This Row],[Stake]]*Bet_Log[[#This Row],[Decimal]]-Bet_Log[[#This Row],[Stake]], IF(Bet_Log[[#This Row],[Result ]]="Loss", -Bet_Log[[#This Row],[Stake]], IF(Bet_Log[[#This Row],[Result ]]="Push", 0, ""))))</f>
        <v/>
      </c>
      <c r="J94" s="2" t="str">
        <f>IF(Bet_Log[[#This Row],[Return]]="", "", J93 + Bet_Log[[#This Row],[Return]])</f>
        <v/>
      </c>
      <c r="K94" s="9"/>
    </row>
    <row r="95" spans="1:11" x14ac:dyDescent="0.2">
      <c r="A95" s="27"/>
      <c r="B95" s="1"/>
      <c r="C95" s="6"/>
      <c r="D95" s="1"/>
      <c r="E95" s="7"/>
      <c r="F95" s="8"/>
      <c r="G95" s="3" t="str" cm="1">
        <f t="array" ref="G95">IF(ISBLANK(F95), "", IFERROR(_xlfn.IFS(LEFT(F95,1)="+", (VALUE(MID(F95,2,LEN(F95)))+100)/100, VALUE(F95)&gt;0, (F95+100)/100, VALUE(F95)&lt;0, (ABS(F95)+100)/ABS(F95), F95=0, 0), ""))</f>
        <v/>
      </c>
      <c r="H95" s="1"/>
      <c r="I95" s="4" t="str">
        <f>IF(Bet_Log[[#This Row],[Result ]]="", "", IF(Bet_Log[[#This Row],[Result ]]="Win", Bet_Log[[#This Row],[Stake]]*Bet_Log[[#This Row],[Decimal]]-Bet_Log[[#This Row],[Stake]], IF(Bet_Log[[#This Row],[Result ]]="Loss", -Bet_Log[[#This Row],[Stake]], IF(Bet_Log[[#This Row],[Result ]]="Push", 0, ""))))</f>
        <v/>
      </c>
      <c r="J95" s="2" t="str">
        <f>IF(Bet_Log[[#This Row],[Return]]="", "", J94 + Bet_Log[[#This Row],[Return]])</f>
        <v/>
      </c>
      <c r="K95" s="9"/>
    </row>
    <row r="96" spans="1:11" x14ac:dyDescent="0.2">
      <c r="A96" s="27"/>
      <c r="B96" s="1"/>
      <c r="C96" s="6"/>
      <c r="D96" s="1"/>
      <c r="E96" s="7"/>
      <c r="F96" s="8"/>
      <c r="G96" s="3" t="str" cm="1">
        <f t="array" ref="G96">IF(ISBLANK(F96), "", IFERROR(_xlfn.IFS(LEFT(F96,1)="+", (VALUE(MID(F96,2,LEN(F96)))+100)/100, VALUE(F96)&gt;0, (F96+100)/100, VALUE(F96)&lt;0, (ABS(F96)+100)/ABS(F96), F96=0, 0), ""))</f>
        <v/>
      </c>
      <c r="H96" s="1"/>
      <c r="I96" s="4" t="str">
        <f>IF(Bet_Log[[#This Row],[Result ]]="", "", IF(Bet_Log[[#This Row],[Result ]]="Win", Bet_Log[[#This Row],[Stake]]*Bet_Log[[#This Row],[Decimal]]-Bet_Log[[#This Row],[Stake]], IF(Bet_Log[[#This Row],[Result ]]="Loss", -Bet_Log[[#This Row],[Stake]], IF(Bet_Log[[#This Row],[Result ]]="Push", 0, ""))))</f>
        <v/>
      </c>
      <c r="J96" s="2" t="str">
        <f>IF(Bet_Log[[#This Row],[Return]]="", "", J95 + Bet_Log[[#This Row],[Return]])</f>
        <v/>
      </c>
      <c r="K96" s="9"/>
    </row>
    <row r="97" spans="1:11" x14ac:dyDescent="0.2">
      <c r="A97" s="27"/>
      <c r="B97" s="1"/>
      <c r="C97" s="6"/>
      <c r="D97" s="1"/>
      <c r="E97" s="7"/>
      <c r="F97" s="8"/>
      <c r="G97" s="3" t="str" cm="1">
        <f t="array" ref="G97">IF(ISBLANK(F97), "", IFERROR(_xlfn.IFS(LEFT(F97,1)="+", (VALUE(MID(F97,2,LEN(F97)))+100)/100, VALUE(F97)&gt;0, (F97+100)/100, VALUE(F97)&lt;0, (ABS(F97)+100)/ABS(F97), F97=0, 0), ""))</f>
        <v/>
      </c>
      <c r="H97" s="1"/>
      <c r="I97" s="4" t="str">
        <f>IF(Bet_Log[[#This Row],[Result ]]="", "", IF(Bet_Log[[#This Row],[Result ]]="Win", Bet_Log[[#This Row],[Stake]]*Bet_Log[[#This Row],[Decimal]]-Bet_Log[[#This Row],[Stake]], IF(Bet_Log[[#This Row],[Result ]]="Loss", -Bet_Log[[#This Row],[Stake]], IF(Bet_Log[[#This Row],[Result ]]="Push", 0, ""))))</f>
        <v/>
      </c>
      <c r="J97" s="2" t="str">
        <f>IF(Bet_Log[[#This Row],[Return]]="", "", J96 + Bet_Log[[#This Row],[Return]])</f>
        <v/>
      </c>
      <c r="K97" s="9"/>
    </row>
    <row r="98" spans="1:11" x14ac:dyDescent="0.2">
      <c r="A98" s="27"/>
      <c r="B98" s="1"/>
      <c r="C98" s="6"/>
      <c r="D98" s="1"/>
      <c r="E98" s="7"/>
      <c r="F98" s="8"/>
      <c r="G98" s="3" t="str" cm="1">
        <f t="array" ref="G98">IF(ISBLANK(F98), "", IFERROR(_xlfn.IFS(LEFT(F98,1)="+", (VALUE(MID(F98,2,LEN(F98)))+100)/100, VALUE(F98)&gt;0, (F98+100)/100, VALUE(F98)&lt;0, (ABS(F98)+100)/ABS(F98), F98=0, 0), ""))</f>
        <v/>
      </c>
      <c r="H98" s="1"/>
      <c r="I98" s="4" t="str">
        <f>IF(Bet_Log[[#This Row],[Result ]]="", "", IF(Bet_Log[[#This Row],[Result ]]="Win", Bet_Log[[#This Row],[Stake]]*Bet_Log[[#This Row],[Decimal]]-Bet_Log[[#This Row],[Stake]], IF(Bet_Log[[#This Row],[Result ]]="Loss", -Bet_Log[[#This Row],[Stake]], IF(Bet_Log[[#This Row],[Result ]]="Push", 0, ""))))</f>
        <v/>
      </c>
      <c r="J98" s="2" t="str">
        <f>IF(Bet_Log[[#This Row],[Return]]="", "", J97 + Bet_Log[[#This Row],[Return]])</f>
        <v/>
      </c>
      <c r="K98" s="9"/>
    </row>
    <row r="99" spans="1:11" x14ac:dyDescent="0.2">
      <c r="A99" s="27"/>
      <c r="B99" s="1"/>
      <c r="C99" s="6"/>
      <c r="D99" s="1"/>
      <c r="E99" s="7"/>
      <c r="F99" s="8"/>
      <c r="G99" s="3" t="str" cm="1">
        <f t="array" ref="G99">IF(ISBLANK(F99), "", IFERROR(_xlfn.IFS(LEFT(F99,1)="+", (VALUE(MID(F99,2,LEN(F99)))+100)/100, VALUE(F99)&gt;0, (F99+100)/100, VALUE(F99)&lt;0, (ABS(F99)+100)/ABS(F99), F99=0, 0), ""))</f>
        <v/>
      </c>
      <c r="H99" s="1"/>
      <c r="I99" s="4" t="str">
        <f>IF(Bet_Log[[#This Row],[Result ]]="", "", IF(Bet_Log[[#This Row],[Result ]]="Win", Bet_Log[[#This Row],[Stake]]*Bet_Log[[#This Row],[Decimal]]-Bet_Log[[#This Row],[Stake]], IF(Bet_Log[[#This Row],[Result ]]="Loss", -Bet_Log[[#This Row],[Stake]], IF(Bet_Log[[#This Row],[Result ]]="Push", 0, ""))))</f>
        <v/>
      </c>
      <c r="J99" s="2" t="str">
        <f>IF(Bet_Log[[#This Row],[Return]]="", "", J98 + Bet_Log[[#This Row],[Return]])</f>
        <v/>
      </c>
      <c r="K99" s="9"/>
    </row>
    <row r="100" spans="1:11" x14ac:dyDescent="0.2">
      <c r="A100" s="27"/>
      <c r="B100" s="1"/>
      <c r="C100" s="6"/>
      <c r="D100" s="1"/>
      <c r="E100" s="7"/>
      <c r="F100" s="8"/>
      <c r="G100" s="3" t="str" cm="1">
        <f t="array" ref="G100">IF(ISBLANK(F100), "", IFERROR(_xlfn.IFS(LEFT(F100,1)="+", (VALUE(MID(F100,2,LEN(F100)))+100)/100, VALUE(F100)&gt;0, (F100+100)/100, VALUE(F100)&lt;0, (ABS(F100)+100)/ABS(F100), F100=0, 0), ""))</f>
        <v/>
      </c>
      <c r="H100" s="1"/>
      <c r="I100" s="4" t="str">
        <f>IF(Bet_Log[[#This Row],[Result ]]="", "", IF(Bet_Log[[#This Row],[Result ]]="Win", Bet_Log[[#This Row],[Stake]]*Bet_Log[[#This Row],[Decimal]]-Bet_Log[[#This Row],[Stake]], IF(Bet_Log[[#This Row],[Result ]]="Loss", -Bet_Log[[#This Row],[Stake]], IF(Bet_Log[[#This Row],[Result ]]="Push", 0, ""))))</f>
        <v/>
      </c>
      <c r="J100" s="2" t="str">
        <f>IF(Bet_Log[[#This Row],[Return]]="", "", J99 + Bet_Log[[#This Row],[Return]])</f>
        <v/>
      </c>
      <c r="K100" s="9"/>
    </row>
    <row r="101" spans="1:11" x14ac:dyDescent="0.2">
      <c r="A101" s="27"/>
      <c r="B101" s="1"/>
      <c r="C101" s="6"/>
      <c r="D101" s="1"/>
      <c r="E101" s="7"/>
      <c r="F101" s="8"/>
      <c r="G101" s="3" t="str" cm="1">
        <f t="array" ref="G101">IF(ISBLANK(F101), "", IFERROR(_xlfn.IFS(LEFT(F101,1)="+", (VALUE(MID(F101,2,LEN(F101)))+100)/100, VALUE(F101)&gt;0, (F101+100)/100, VALUE(F101)&lt;0, (ABS(F101)+100)/ABS(F101), F101=0, 0), ""))</f>
        <v/>
      </c>
      <c r="H101" s="1"/>
      <c r="I101" s="4" t="str">
        <f>IF(Bet_Log[[#This Row],[Result ]]="", "", IF(Bet_Log[[#This Row],[Result ]]="Win", Bet_Log[[#This Row],[Stake]]*Bet_Log[[#This Row],[Decimal]]-Bet_Log[[#This Row],[Stake]], IF(Bet_Log[[#This Row],[Result ]]="Loss", -Bet_Log[[#This Row],[Stake]], IF(Bet_Log[[#This Row],[Result ]]="Push", 0, ""))))</f>
        <v/>
      </c>
      <c r="J101" s="2" t="str">
        <f>IF(Bet_Log[[#This Row],[Return]]="", "", J100 + Bet_Log[[#This Row],[Return]])</f>
        <v/>
      </c>
      <c r="K101" s="9"/>
    </row>
    <row r="102" spans="1:11" x14ac:dyDescent="0.2">
      <c r="A102" s="27"/>
      <c r="B102" s="1"/>
      <c r="C102" s="6"/>
      <c r="D102" s="1"/>
      <c r="E102" s="7"/>
      <c r="F102" s="8"/>
      <c r="G102" s="3" t="str" cm="1">
        <f t="array" ref="G102">IF(ISBLANK(F102), "", IFERROR(_xlfn.IFS(LEFT(F102,1)="+", (VALUE(MID(F102,2,LEN(F102)))+100)/100, VALUE(F102)&gt;0, (F102+100)/100, VALUE(F102)&lt;0, (ABS(F102)+100)/ABS(F102), F102=0, 0), ""))</f>
        <v/>
      </c>
      <c r="H102" s="1"/>
      <c r="I102" s="4" t="str">
        <f>IF(Bet_Log[[#This Row],[Result ]]="", "", IF(Bet_Log[[#This Row],[Result ]]="Win", Bet_Log[[#This Row],[Stake]]*Bet_Log[[#This Row],[Decimal]]-Bet_Log[[#This Row],[Stake]], IF(Bet_Log[[#This Row],[Result ]]="Loss", -Bet_Log[[#This Row],[Stake]], IF(Bet_Log[[#This Row],[Result ]]="Push", 0, ""))))</f>
        <v/>
      </c>
      <c r="J102" s="2" t="str">
        <f>IF(Bet_Log[[#This Row],[Return]]="", "", J101 + Bet_Log[[#This Row],[Return]])</f>
        <v/>
      </c>
      <c r="K102" s="9"/>
    </row>
    <row r="103" spans="1:11" x14ac:dyDescent="0.2">
      <c r="A103" s="27"/>
      <c r="B103" s="1"/>
      <c r="C103" s="6"/>
      <c r="D103" s="1"/>
      <c r="E103" s="7"/>
      <c r="F103" s="8"/>
      <c r="G103" s="3" t="str" cm="1">
        <f t="array" ref="G103">IF(ISBLANK(F103), "", IFERROR(_xlfn.IFS(LEFT(F103,1)="+", (VALUE(MID(F103,2,LEN(F103)))+100)/100, VALUE(F103)&gt;0, (F103+100)/100, VALUE(F103)&lt;0, (ABS(F103)+100)/ABS(F103), F103=0, 0), ""))</f>
        <v/>
      </c>
      <c r="H103" s="1"/>
      <c r="I103" s="4" t="str">
        <f>IF(Bet_Log[[#This Row],[Result ]]="", "", IF(Bet_Log[[#This Row],[Result ]]="Win", Bet_Log[[#This Row],[Stake]]*Bet_Log[[#This Row],[Decimal]]-Bet_Log[[#This Row],[Stake]], IF(Bet_Log[[#This Row],[Result ]]="Loss", -Bet_Log[[#This Row],[Stake]], IF(Bet_Log[[#This Row],[Result ]]="Push", 0, ""))))</f>
        <v/>
      </c>
      <c r="J103" s="2" t="str">
        <f>IF(Bet_Log[[#This Row],[Return]]="", "", J102 + Bet_Log[[#This Row],[Return]])</f>
        <v/>
      </c>
      <c r="K103" s="9"/>
    </row>
    <row r="104" spans="1:11" x14ac:dyDescent="0.2">
      <c r="A104" s="27"/>
      <c r="B104" s="1"/>
      <c r="C104" s="6"/>
      <c r="D104" s="1"/>
      <c r="E104" s="7"/>
      <c r="F104" s="8"/>
      <c r="G104" s="3" t="str" cm="1">
        <f t="array" ref="G104">IF(ISBLANK(F104), "", IFERROR(_xlfn.IFS(LEFT(F104,1)="+", (VALUE(MID(F104,2,LEN(F104)))+100)/100, VALUE(F104)&gt;0, (F104+100)/100, VALUE(F104)&lt;0, (ABS(F104)+100)/ABS(F104), F104=0, 0), ""))</f>
        <v/>
      </c>
      <c r="H104" s="1"/>
      <c r="I104" s="4" t="str">
        <f>IF(Bet_Log[[#This Row],[Result ]]="", "", IF(Bet_Log[[#This Row],[Result ]]="Win", Bet_Log[[#This Row],[Stake]]*Bet_Log[[#This Row],[Decimal]]-Bet_Log[[#This Row],[Stake]], IF(Bet_Log[[#This Row],[Result ]]="Loss", -Bet_Log[[#This Row],[Stake]], IF(Bet_Log[[#This Row],[Result ]]="Push", 0, ""))))</f>
        <v/>
      </c>
      <c r="J104" s="2" t="str">
        <f>IF(Bet_Log[[#This Row],[Return]]="", "", J103 + Bet_Log[[#This Row],[Return]])</f>
        <v/>
      </c>
      <c r="K104" s="9"/>
    </row>
    <row r="105" spans="1:11" x14ac:dyDescent="0.2">
      <c r="A105" s="27"/>
      <c r="B105" s="1"/>
      <c r="C105" s="6"/>
      <c r="D105" s="1"/>
      <c r="E105" s="7"/>
      <c r="F105" s="8"/>
      <c r="G105" s="3" t="str" cm="1">
        <f t="array" ref="G105">IF(ISBLANK(F105), "", IFERROR(_xlfn.IFS(LEFT(F105,1)="+", (VALUE(MID(F105,2,LEN(F105)))+100)/100, VALUE(F105)&gt;0, (F105+100)/100, VALUE(F105)&lt;0, (ABS(F105)+100)/ABS(F105), F105=0, 0), ""))</f>
        <v/>
      </c>
      <c r="H105" s="1"/>
      <c r="I105" s="4" t="str">
        <f>IF(Bet_Log[[#This Row],[Result ]]="", "", IF(Bet_Log[[#This Row],[Result ]]="Win", Bet_Log[[#This Row],[Stake]]*Bet_Log[[#This Row],[Decimal]]-Bet_Log[[#This Row],[Stake]], IF(Bet_Log[[#This Row],[Result ]]="Loss", -Bet_Log[[#This Row],[Stake]], IF(Bet_Log[[#This Row],[Result ]]="Push", 0, ""))))</f>
        <v/>
      </c>
      <c r="J105" s="2" t="str">
        <f>IF(Bet_Log[[#This Row],[Return]]="", "", J104 + Bet_Log[[#This Row],[Return]])</f>
        <v/>
      </c>
      <c r="K105" s="9"/>
    </row>
    <row r="106" spans="1:11" x14ac:dyDescent="0.2">
      <c r="A106" s="27"/>
      <c r="B106" s="1"/>
      <c r="C106" s="6"/>
      <c r="D106" s="1"/>
      <c r="E106" s="7"/>
      <c r="F106" s="8"/>
      <c r="G106" s="3" t="str" cm="1">
        <f t="array" ref="G106">IF(ISBLANK(F106), "", IFERROR(_xlfn.IFS(LEFT(F106,1)="+", (VALUE(MID(F106,2,LEN(F106)))+100)/100, VALUE(F106)&gt;0, (F106+100)/100, VALUE(F106)&lt;0, (ABS(F106)+100)/ABS(F106), F106=0, 0), ""))</f>
        <v/>
      </c>
      <c r="H106" s="1"/>
      <c r="I106" s="4" t="str">
        <f>IF(Bet_Log[[#This Row],[Result ]]="", "", IF(Bet_Log[[#This Row],[Result ]]="Win", Bet_Log[[#This Row],[Stake]]*Bet_Log[[#This Row],[Decimal]]-Bet_Log[[#This Row],[Stake]], IF(Bet_Log[[#This Row],[Result ]]="Loss", -Bet_Log[[#This Row],[Stake]], IF(Bet_Log[[#This Row],[Result ]]="Push", 0, ""))))</f>
        <v/>
      </c>
      <c r="J106" s="2" t="str">
        <f>IF(Bet_Log[[#This Row],[Return]]="", "", J105 + Bet_Log[[#This Row],[Return]])</f>
        <v/>
      </c>
      <c r="K106" s="9"/>
    </row>
    <row r="107" spans="1:11" x14ac:dyDescent="0.2">
      <c r="A107" s="27"/>
      <c r="B107" s="1"/>
      <c r="C107" s="6"/>
      <c r="D107" s="1"/>
      <c r="E107" s="7"/>
      <c r="F107" s="8"/>
      <c r="G107" s="3" t="str" cm="1">
        <f t="array" ref="G107">IF(ISBLANK(F107), "", IFERROR(_xlfn.IFS(LEFT(F107,1)="+", (VALUE(MID(F107,2,LEN(F107)))+100)/100, VALUE(F107)&gt;0, (F107+100)/100, VALUE(F107)&lt;0, (ABS(F107)+100)/ABS(F107), F107=0, 0), ""))</f>
        <v/>
      </c>
      <c r="H107" s="1"/>
      <c r="I107" s="4" t="str">
        <f>IF(Bet_Log[[#This Row],[Result ]]="", "", IF(Bet_Log[[#This Row],[Result ]]="Win", Bet_Log[[#This Row],[Stake]]*Bet_Log[[#This Row],[Decimal]]-Bet_Log[[#This Row],[Stake]], IF(Bet_Log[[#This Row],[Result ]]="Loss", -Bet_Log[[#This Row],[Stake]], IF(Bet_Log[[#This Row],[Result ]]="Push", 0, ""))))</f>
        <v/>
      </c>
      <c r="J107" s="2" t="str">
        <f>IF(Bet_Log[[#This Row],[Return]]="", "", J106 + Bet_Log[[#This Row],[Return]])</f>
        <v/>
      </c>
      <c r="K107" s="9"/>
    </row>
    <row r="108" spans="1:11" x14ac:dyDescent="0.2">
      <c r="A108" s="27"/>
      <c r="B108" s="1"/>
      <c r="C108" s="6"/>
      <c r="D108" s="1"/>
      <c r="E108" s="7"/>
      <c r="F108" s="8"/>
      <c r="G108" s="3" t="str" cm="1">
        <f t="array" ref="G108">IF(ISBLANK(F108), "", IFERROR(_xlfn.IFS(LEFT(F108,1)="+", (VALUE(MID(F108,2,LEN(F108)))+100)/100, VALUE(F108)&gt;0, (F108+100)/100, VALUE(F108)&lt;0, (ABS(F108)+100)/ABS(F108), F108=0, 0), ""))</f>
        <v/>
      </c>
      <c r="H108" s="1"/>
      <c r="I108" s="4" t="str">
        <f>IF(Bet_Log[[#This Row],[Result ]]="", "", IF(Bet_Log[[#This Row],[Result ]]="Win", Bet_Log[[#This Row],[Stake]]*Bet_Log[[#This Row],[Decimal]]-Bet_Log[[#This Row],[Stake]], IF(Bet_Log[[#This Row],[Result ]]="Loss", -Bet_Log[[#This Row],[Stake]], IF(Bet_Log[[#This Row],[Result ]]="Push", 0, ""))))</f>
        <v/>
      </c>
      <c r="J108" s="2" t="str">
        <f>IF(Bet_Log[[#This Row],[Return]]="", "", J107 + Bet_Log[[#This Row],[Return]])</f>
        <v/>
      </c>
      <c r="K108" s="9"/>
    </row>
    <row r="109" spans="1:11" x14ac:dyDescent="0.2">
      <c r="A109" s="27"/>
      <c r="B109" s="1"/>
      <c r="C109" s="6"/>
      <c r="D109" s="1"/>
      <c r="E109" s="7"/>
      <c r="F109" s="8"/>
      <c r="G109" s="3" t="str" cm="1">
        <f t="array" ref="G109">IF(ISBLANK(F109), "", IFERROR(_xlfn.IFS(LEFT(F109,1)="+", (VALUE(MID(F109,2,LEN(F109)))+100)/100, VALUE(F109)&gt;0, (F109+100)/100, VALUE(F109)&lt;0, (ABS(F109)+100)/ABS(F109), F109=0, 0), ""))</f>
        <v/>
      </c>
      <c r="H109" s="1"/>
      <c r="I109" s="4" t="str">
        <f>IF(Bet_Log[[#This Row],[Result ]]="", "", IF(Bet_Log[[#This Row],[Result ]]="Win", Bet_Log[[#This Row],[Stake]]*Bet_Log[[#This Row],[Decimal]]-Bet_Log[[#This Row],[Stake]], IF(Bet_Log[[#This Row],[Result ]]="Loss", -Bet_Log[[#This Row],[Stake]], IF(Bet_Log[[#This Row],[Result ]]="Push", 0, ""))))</f>
        <v/>
      </c>
      <c r="J109" s="2" t="str">
        <f>IF(Bet_Log[[#This Row],[Return]]="", "", J108 + Bet_Log[[#This Row],[Return]])</f>
        <v/>
      </c>
      <c r="K109" s="9"/>
    </row>
    <row r="110" spans="1:11" x14ac:dyDescent="0.2">
      <c r="A110" s="27"/>
      <c r="B110" s="1"/>
      <c r="C110" s="6"/>
      <c r="D110" s="1"/>
      <c r="E110" s="7"/>
      <c r="F110" s="8"/>
      <c r="G110" s="3" t="str" cm="1">
        <f t="array" ref="G110">IF(ISBLANK(F110), "", IFERROR(_xlfn.IFS(LEFT(F110,1)="+", (VALUE(MID(F110,2,LEN(F110)))+100)/100, VALUE(F110)&gt;0, (F110+100)/100, VALUE(F110)&lt;0, (ABS(F110)+100)/ABS(F110), F110=0, 0), ""))</f>
        <v/>
      </c>
      <c r="H110" s="1"/>
      <c r="I110" s="4" t="str">
        <f>IF(Bet_Log[[#This Row],[Result ]]="", "", IF(Bet_Log[[#This Row],[Result ]]="Win", Bet_Log[[#This Row],[Stake]]*Bet_Log[[#This Row],[Decimal]]-Bet_Log[[#This Row],[Stake]], IF(Bet_Log[[#This Row],[Result ]]="Loss", -Bet_Log[[#This Row],[Stake]], IF(Bet_Log[[#This Row],[Result ]]="Push", 0, ""))))</f>
        <v/>
      </c>
      <c r="J110" s="2" t="str">
        <f>IF(Bet_Log[[#This Row],[Return]]="", "", J109 + Bet_Log[[#This Row],[Return]])</f>
        <v/>
      </c>
      <c r="K110" s="9"/>
    </row>
    <row r="111" spans="1:11" x14ac:dyDescent="0.2">
      <c r="A111" s="27"/>
      <c r="B111" s="1"/>
      <c r="C111" s="6"/>
      <c r="D111" s="1"/>
      <c r="E111" s="7"/>
      <c r="F111" s="8"/>
      <c r="G111" s="3" t="str" cm="1">
        <f t="array" ref="G111">IF(ISBLANK(F111), "", IFERROR(_xlfn.IFS(LEFT(F111,1)="+", (VALUE(MID(F111,2,LEN(F111)))+100)/100, VALUE(F111)&gt;0, (F111+100)/100, VALUE(F111)&lt;0, (ABS(F111)+100)/ABS(F111), F111=0, 0), ""))</f>
        <v/>
      </c>
      <c r="H111" s="1"/>
      <c r="I111" s="4" t="str">
        <f>IF(Bet_Log[[#This Row],[Result ]]="", "", IF(Bet_Log[[#This Row],[Result ]]="Win", Bet_Log[[#This Row],[Stake]]*Bet_Log[[#This Row],[Decimal]]-Bet_Log[[#This Row],[Stake]], IF(Bet_Log[[#This Row],[Result ]]="Loss", -Bet_Log[[#This Row],[Stake]], IF(Bet_Log[[#This Row],[Result ]]="Push", 0, ""))))</f>
        <v/>
      </c>
      <c r="J111" s="2" t="str">
        <f>IF(Bet_Log[[#This Row],[Return]]="", "", J110 + Bet_Log[[#This Row],[Return]])</f>
        <v/>
      </c>
      <c r="K111" s="9"/>
    </row>
    <row r="112" spans="1:11" x14ac:dyDescent="0.2">
      <c r="A112" s="27"/>
      <c r="B112" s="1"/>
      <c r="C112" s="6"/>
      <c r="D112" s="1"/>
      <c r="E112" s="7"/>
      <c r="F112" s="8"/>
      <c r="G112" s="3" t="str" cm="1">
        <f t="array" ref="G112">IF(ISBLANK(F112), "", IFERROR(_xlfn.IFS(LEFT(F112,1)="+", (VALUE(MID(F112,2,LEN(F112)))+100)/100, VALUE(F112)&gt;0, (F112+100)/100, VALUE(F112)&lt;0, (ABS(F112)+100)/ABS(F112), F112=0, 0), ""))</f>
        <v/>
      </c>
      <c r="H112" s="1"/>
      <c r="I112" s="4" t="str">
        <f>IF(Bet_Log[[#This Row],[Result ]]="", "", IF(Bet_Log[[#This Row],[Result ]]="Win", Bet_Log[[#This Row],[Stake]]*Bet_Log[[#This Row],[Decimal]]-Bet_Log[[#This Row],[Stake]], IF(Bet_Log[[#This Row],[Result ]]="Loss", -Bet_Log[[#This Row],[Stake]], IF(Bet_Log[[#This Row],[Result ]]="Push", 0, ""))))</f>
        <v/>
      </c>
      <c r="J112" s="2" t="str">
        <f>IF(Bet_Log[[#This Row],[Return]]="", "", J111 + Bet_Log[[#This Row],[Return]])</f>
        <v/>
      </c>
      <c r="K112" s="9"/>
    </row>
    <row r="113" spans="1:11" x14ac:dyDescent="0.2">
      <c r="A113" s="27"/>
      <c r="B113" s="1"/>
      <c r="C113" s="6"/>
      <c r="D113" s="1"/>
      <c r="E113" s="7"/>
      <c r="F113" s="8"/>
      <c r="G113" s="3" t="str" cm="1">
        <f t="array" ref="G113">IF(ISBLANK(F113), "", IFERROR(_xlfn.IFS(LEFT(F113,1)="+", (VALUE(MID(F113,2,LEN(F113)))+100)/100, VALUE(F113)&gt;0, (F113+100)/100, VALUE(F113)&lt;0, (ABS(F113)+100)/ABS(F113), F113=0, 0), ""))</f>
        <v/>
      </c>
      <c r="H113" s="1"/>
      <c r="I113" s="4" t="str">
        <f>IF(Bet_Log[[#This Row],[Result ]]="", "", IF(Bet_Log[[#This Row],[Result ]]="Win", Bet_Log[[#This Row],[Stake]]*Bet_Log[[#This Row],[Decimal]]-Bet_Log[[#This Row],[Stake]], IF(Bet_Log[[#This Row],[Result ]]="Loss", -Bet_Log[[#This Row],[Stake]], IF(Bet_Log[[#This Row],[Result ]]="Push", 0, ""))))</f>
        <v/>
      </c>
      <c r="J113" s="2" t="str">
        <f>IF(Bet_Log[[#This Row],[Return]]="", "", J112 + Bet_Log[[#This Row],[Return]])</f>
        <v/>
      </c>
      <c r="K113" s="9"/>
    </row>
    <row r="114" spans="1:11" x14ac:dyDescent="0.2">
      <c r="A114" s="27"/>
      <c r="B114" s="1"/>
      <c r="C114" s="6"/>
      <c r="D114" s="1"/>
      <c r="E114" s="7"/>
      <c r="F114" s="8"/>
      <c r="G114" s="3" t="str" cm="1">
        <f t="array" ref="G114">IF(ISBLANK(F114), "", IFERROR(_xlfn.IFS(LEFT(F114,1)="+", (VALUE(MID(F114,2,LEN(F114)))+100)/100, VALUE(F114)&gt;0, (F114+100)/100, VALUE(F114)&lt;0, (ABS(F114)+100)/ABS(F114), F114=0, 0), ""))</f>
        <v/>
      </c>
      <c r="H114" s="1"/>
      <c r="I114" s="4" t="str">
        <f>IF(Bet_Log[[#This Row],[Result ]]="", "", IF(Bet_Log[[#This Row],[Result ]]="Win", Bet_Log[[#This Row],[Stake]]*Bet_Log[[#This Row],[Decimal]]-Bet_Log[[#This Row],[Stake]], IF(Bet_Log[[#This Row],[Result ]]="Loss", -Bet_Log[[#This Row],[Stake]], IF(Bet_Log[[#This Row],[Result ]]="Push", 0, ""))))</f>
        <v/>
      </c>
      <c r="J114" s="2" t="str">
        <f>IF(Bet_Log[[#This Row],[Return]]="", "", J113 + Bet_Log[[#This Row],[Return]])</f>
        <v/>
      </c>
      <c r="K114" s="9"/>
    </row>
    <row r="115" spans="1:11" x14ac:dyDescent="0.2">
      <c r="A115" s="27"/>
      <c r="B115" s="1"/>
      <c r="C115" s="6"/>
      <c r="D115" s="1"/>
      <c r="E115" s="7"/>
      <c r="F115" s="8"/>
      <c r="G115" s="3" t="str" cm="1">
        <f t="array" ref="G115">IF(ISBLANK(F115), "", IFERROR(_xlfn.IFS(LEFT(F115,1)="+", (VALUE(MID(F115,2,LEN(F115)))+100)/100, VALUE(F115)&gt;0, (F115+100)/100, VALUE(F115)&lt;0, (ABS(F115)+100)/ABS(F115), F115=0, 0), ""))</f>
        <v/>
      </c>
      <c r="H115" s="1"/>
      <c r="I115" s="4" t="str">
        <f>IF(Bet_Log[[#This Row],[Result ]]="", "", IF(Bet_Log[[#This Row],[Result ]]="Win", Bet_Log[[#This Row],[Stake]]*Bet_Log[[#This Row],[Decimal]]-Bet_Log[[#This Row],[Stake]], IF(Bet_Log[[#This Row],[Result ]]="Loss", -Bet_Log[[#This Row],[Stake]], IF(Bet_Log[[#This Row],[Result ]]="Push", 0, ""))))</f>
        <v/>
      </c>
      <c r="J115" s="2" t="str">
        <f>IF(Bet_Log[[#This Row],[Return]]="", "", J114 + Bet_Log[[#This Row],[Return]])</f>
        <v/>
      </c>
      <c r="K115" s="9"/>
    </row>
    <row r="116" spans="1:11" x14ac:dyDescent="0.2">
      <c r="A116" s="27"/>
      <c r="B116" s="1"/>
      <c r="C116" s="6"/>
      <c r="D116" s="1"/>
      <c r="E116" s="7"/>
      <c r="F116" s="8"/>
      <c r="G116" s="3" t="str" cm="1">
        <f t="array" ref="G116">IF(ISBLANK(F116), "", IFERROR(_xlfn.IFS(LEFT(F116,1)="+", (VALUE(MID(F116,2,LEN(F116)))+100)/100, VALUE(F116)&gt;0, (F116+100)/100, VALUE(F116)&lt;0, (ABS(F116)+100)/ABS(F116), F116=0, 0), ""))</f>
        <v/>
      </c>
      <c r="H116" s="1"/>
      <c r="I116" s="4" t="str">
        <f>IF(Bet_Log[[#This Row],[Result ]]="", "", IF(Bet_Log[[#This Row],[Result ]]="Win", Bet_Log[[#This Row],[Stake]]*Bet_Log[[#This Row],[Decimal]]-Bet_Log[[#This Row],[Stake]], IF(Bet_Log[[#This Row],[Result ]]="Loss", -Bet_Log[[#This Row],[Stake]], IF(Bet_Log[[#This Row],[Result ]]="Push", 0, ""))))</f>
        <v/>
      </c>
      <c r="J116" s="2" t="str">
        <f>IF(Bet_Log[[#This Row],[Return]]="", "", J115 + Bet_Log[[#This Row],[Return]])</f>
        <v/>
      </c>
      <c r="K116" s="9"/>
    </row>
    <row r="117" spans="1:11" x14ac:dyDescent="0.2">
      <c r="A117" s="27"/>
      <c r="B117" s="1"/>
      <c r="C117" s="6"/>
      <c r="D117" s="1"/>
      <c r="E117" s="7"/>
      <c r="F117" s="8"/>
      <c r="G117" s="3" t="str" cm="1">
        <f t="array" ref="G117">IF(ISBLANK(F117), "", IFERROR(_xlfn.IFS(LEFT(F117,1)="+", (VALUE(MID(F117,2,LEN(F117)))+100)/100, VALUE(F117)&gt;0, (F117+100)/100, VALUE(F117)&lt;0, (ABS(F117)+100)/ABS(F117), F117=0, 0), ""))</f>
        <v/>
      </c>
      <c r="H117" s="1"/>
      <c r="I117" s="4" t="str">
        <f>IF(Bet_Log[[#This Row],[Result ]]="", "", IF(Bet_Log[[#This Row],[Result ]]="Win", Bet_Log[[#This Row],[Stake]]*Bet_Log[[#This Row],[Decimal]]-Bet_Log[[#This Row],[Stake]], IF(Bet_Log[[#This Row],[Result ]]="Loss", -Bet_Log[[#This Row],[Stake]], IF(Bet_Log[[#This Row],[Result ]]="Push", 0, ""))))</f>
        <v/>
      </c>
      <c r="J117" s="2" t="str">
        <f>IF(Bet_Log[[#This Row],[Return]]="", "", J116 + Bet_Log[[#This Row],[Return]])</f>
        <v/>
      </c>
      <c r="K117" s="9"/>
    </row>
    <row r="118" spans="1:11" x14ac:dyDescent="0.2">
      <c r="A118" s="27"/>
      <c r="B118" s="1"/>
      <c r="C118" s="6"/>
      <c r="D118" s="1"/>
      <c r="E118" s="7"/>
      <c r="F118" s="8"/>
      <c r="G118" s="3" t="str" cm="1">
        <f t="array" ref="G118">IF(ISBLANK(F118), "", IFERROR(_xlfn.IFS(LEFT(F118,1)="+", (VALUE(MID(F118,2,LEN(F118)))+100)/100, VALUE(F118)&gt;0, (F118+100)/100, VALUE(F118)&lt;0, (ABS(F118)+100)/ABS(F118), F118=0, 0), ""))</f>
        <v/>
      </c>
      <c r="H118" s="1"/>
      <c r="I118" s="4" t="str">
        <f>IF(Bet_Log[[#This Row],[Result ]]="", "", IF(Bet_Log[[#This Row],[Result ]]="Win", Bet_Log[[#This Row],[Stake]]*Bet_Log[[#This Row],[Decimal]]-Bet_Log[[#This Row],[Stake]], IF(Bet_Log[[#This Row],[Result ]]="Loss", -Bet_Log[[#This Row],[Stake]], IF(Bet_Log[[#This Row],[Result ]]="Push", 0, ""))))</f>
        <v/>
      </c>
      <c r="J118" s="2" t="str">
        <f>IF(Bet_Log[[#This Row],[Return]]="", "", J117 + Bet_Log[[#This Row],[Return]])</f>
        <v/>
      </c>
      <c r="K118" s="9"/>
    </row>
    <row r="119" spans="1:11" x14ac:dyDescent="0.2">
      <c r="A119" s="27"/>
      <c r="B119" s="1"/>
      <c r="C119" s="6"/>
      <c r="D119" s="1"/>
      <c r="E119" s="7"/>
      <c r="F119" s="8"/>
      <c r="G119" s="3" t="str" cm="1">
        <f t="array" ref="G119">IF(ISBLANK(F119), "", IFERROR(_xlfn.IFS(LEFT(F119,1)="+", (VALUE(MID(F119,2,LEN(F119)))+100)/100, VALUE(F119)&gt;0, (F119+100)/100, VALUE(F119)&lt;0, (ABS(F119)+100)/ABS(F119), F119=0, 0), ""))</f>
        <v/>
      </c>
      <c r="H119" s="1"/>
      <c r="I119" s="4" t="str">
        <f>IF(Bet_Log[[#This Row],[Result ]]="", "", IF(Bet_Log[[#This Row],[Result ]]="Win", Bet_Log[[#This Row],[Stake]]*Bet_Log[[#This Row],[Decimal]]-Bet_Log[[#This Row],[Stake]], IF(Bet_Log[[#This Row],[Result ]]="Loss", -Bet_Log[[#This Row],[Stake]], IF(Bet_Log[[#This Row],[Result ]]="Push", 0, ""))))</f>
        <v/>
      </c>
      <c r="J119" s="2" t="str">
        <f>IF(Bet_Log[[#This Row],[Return]]="", "", J118 + Bet_Log[[#This Row],[Return]])</f>
        <v/>
      </c>
      <c r="K119" s="9"/>
    </row>
    <row r="120" spans="1:11" x14ac:dyDescent="0.2">
      <c r="A120" s="27"/>
      <c r="B120" s="1"/>
      <c r="C120" s="6"/>
      <c r="D120" s="1"/>
      <c r="E120" s="7"/>
      <c r="F120" s="8"/>
      <c r="G120" s="3" t="str" cm="1">
        <f t="array" ref="G120">IF(ISBLANK(F120), "", IFERROR(_xlfn.IFS(LEFT(F120,1)="+", (VALUE(MID(F120,2,LEN(F120)))+100)/100, VALUE(F120)&gt;0, (F120+100)/100, VALUE(F120)&lt;0, (ABS(F120)+100)/ABS(F120), F120=0, 0), ""))</f>
        <v/>
      </c>
      <c r="H120" s="1"/>
      <c r="I120" s="4" t="str">
        <f>IF(Bet_Log[[#This Row],[Result ]]="", "", IF(Bet_Log[[#This Row],[Result ]]="Win", Bet_Log[[#This Row],[Stake]]*Bet_Log[[#This Row],[Decimal]]-Bet_Log[[#This Row],[Stake]], IF(Bet_Log[[#This Row],[Result ]]="Loss", -Bet_Log[[#This Row],[Stake]], IF(Bet_Log[[#This Row],[Result ]]="Push", 0, ""))))</f>
        <v/>
      </c>
      <c r="J120" s="2" t="str">
        <f>IF(Bet_Log[[#This Row],[Return]]="", "", J119 + Bet_Log[[#This Row],[Return]])</f>
        <v/>
      </c>
      <c r="K120" s="9"/>
    </row>
    <row r="121" spans="1:11" x14ac:dyDescent="0.2">
      <c r="A121" s="27"/>
      <c r="B121" s="1"/>
      <c r="C121" s="6"/>
      <c r="D121" s="1"/>
      <c r="E121" s="7"/>
      <c r="F121" s="8"/>
      <c r="G121" s="3" t="str" cm="1">
        <f t="array" ref="G121">IF(ISBLANK(F121), "", IFERROR(_xlfn.IFS(LEFT(F121,1)="+", (VALUE(MID(F121,2,LEN(F121)))+100)/100, VALUE(F121)&gt;0, (F121+100)/100, VALUE(F121)&lt;0, (ABS(F121)+100)/ABS(F121), F121=0, 0), ""))</f>
        <v/>
      </c>
      <c r="H121" s="1"/>
      <c r="I121" s="4" t="str">
        <f>IF(Bet_Log[[#This Row],[Result ]]="", "", IF(Bet_Log[[#This Row],[Result ]]="Win", Bet_Log[[#This Row],[Stake]]*Bet_Log[[#This Row],[Decimal]]-Bet_Log[[#This Row],[Stake]], IF(Bet_Log[[#This Row],[Result ]]="Loss", -Bet_Log[[#This Row],[Stake]], IF(Bet_Log[[#This Row],[Result ]]="Push", 0, ""))))</f>
        <v/>
      </c>
      <c r="J121" s="2" t="str">
        <f>IF(Bet_Log[[#This Row],[Return]]="", "", J120 + Bet_Log[[#This Row],[Return]])</f>
        <v/>
      </c>
      <c r="K121" s="9"/>
    </row>
    <row r="122" spans="1:11" x14ac:dyDescent="0.2">
      <c r="A122" s="27"/>
      <c r="B122" s="1"/>
      <c r="C122" s="6"/>
      <c r="D122" s="1"/>
      <c r="E122" s="7"/>
      <c r="F122" s="8"/>
      <c r="G122" s="3" t="str" cm="1">
        <f t="array" ref="G122">IF(ISBLANK(F122), "", IFERROR(_xlfn.IFS(LEFT(F122,1)="+", (VALUE(MID(F122,2,LEN(F122)))+100)/100, VALUE(F122)&gt;0, (F122+100)/100, VALUE(F122)&lt;0, (ABS(F122)+100)/ABS(F122), F122=0, 0), ""))</f>
        <v/>
      </c>
      <c r="H122" s="1"/>
      <c r="I122" s="4" t="str">
        <f>IF(Bet_Log[[#This Row],[Result ]]="", "", IF(Bet_Log[[#This Row],[Result ]]="Win", Bet_Log[[#This Row],[Stake]]*Bet_Log[[#This Row],[Decimal]]-Bet_Log[[#This Row],[Stake]], IF(Bet_Log[[#This Row],[Result ]]="Loss", -Bet_Log[[#This Row],[Stake]], IF(Bet_Log[[#This Row],[Result ]]="Push", 0, ""))))</f>
        <v/>
      </c>
      <c r="J122" s="2" t="str">
        <f>IF(Bet_Log[[#This Row],[Return]]="", "", J121 + Bet_Log[[#This Row],[Return]])</f>
        <v/>
      </c>
      <c r="K122" s="9"/>
    </row>
    <row r="123" spans="1:11" x14ac:dyDescent="0.2">
      <c r="A123" s="27"/>
      <c r="B123" s="1"/>
      <c r="C123" s="6"/>
      <c r="D123" s="1"/>
      <c r="E123" s="7"/>
      <c r="F123" s="8"/>
      <c r="G123" s="3" t="str" cm="1">
        <f t="array" ref="G123">IF(ISBLANK(F123), "", IFERROR(_xlfn.IFS(LEFT(F123,1)="+", (VALUE(MID(F123,2,LEN(F123)))+100)/100, VALUE(F123)&gt;0, (F123+100)/100, VALUE(F123)&lt;0, (ABS(F123)+100)/ABS(F123), F123=0, 0), ""))</f>
        <v/>
      </c>
      <c r="H123" s="1"/>
      <c r="I123" s="4" t="str">
        <f>IF(Bet_Log[[#This Row],[Result ]]="", "", IF(Bet_Log[[#This Row],[Result ]]="Win", Bet_Log[[#This Row],[Stake]]*Bet_Log[[#This Row],[Decimal]]-Bet_Log[[#This Row],[Stake]], IF(Bet_Log[[#This Row],[Result ]]="Loss", -Bet_Log[[#This Row],[Stake]], IF(Bet_Log[[#This Row],[Result ]]="Push", 0, ""))))</f>
        <v/>
      </c>
      <c r="J123" s="2" t="str">
        <f>IF(Bet_Log[[#This Row],[Return]]="", "", J122 + Bet_Log[[#This Row],[Return]])</f>
        <v/>
      </c>
      <c r="K123" s="9"/>
    </row>
    <row r="124" spans="1:11" x14ac:dyDescent="0.2">
      <c r="A124" s="27"/>
      <c r="B124" s="1"/>
      <c r="C124" s="6"/>
      <c r="D124" s="1"/>
      <c r="E124" s="7"/>
      <c r="F124" s="8"/>
      <c r="G124" s="3" t="str" cm="1">
        <f t="array" ref="G124">IF(ISBLANK(F124), "", IFERROR(_xlfn.IFS(LEFT(F124,1)="+", (VALUE(MID(F124,2,LEN(F124)))+100)/100, VALUE(F124)&gt;0, (F124+100)/100, VALUE(F124)&lt;0, (ABS(F124)+100)/ABS(F124), F124=0, 0), ""))</f>
        <v/>
      </c>
      <c r="H124" s="1"/>
      <c r="I124" s="4" t="str">
        <f>IF(Bet_Log[[#This Row],[Result ]]="", "", IF(Bet_Log[[#This Row],[Result ]]="Win", Bet_Log[[#This Row],[Stake]]*Bet_Log[[#This Row],[Decimal]]-Bet_Log[[#This Row],[Stake]], IF(Bet_Log[[#This Row],[Result ]]="Loss", -Bet_Log[[#This Row],[Stake]], IF(Bet_Log[[#This Row],[Result ]]="Push", 0, ""))))</f>
        <v/>
      </c>
      <c r="J124" s="2" t="str">
        <f>IF(Bet_Log[[#This Row],[Return]]="", "", J123 + Bet_Log[[#This Row],[Return]])</f>
        <v/>
      </c>
      <c r="K124" s="9"/>
    </row>
    <row r="125" spans="1:11" x14ac:dyDescent="0.2">
      <c r="A125" s="27"/>
      <c r="B125" s="1"/>
      <c r="C125" s="6"/>
      <c r="D125" s="1"/>
      <c r="E125" s="7"/>
      <c r="F125" s="8"/>
      <c r="G125" s="3" t="str" cm="1">
        <f t="array" ref="G125">IF(ISBLANK(F125), "", IFERROR(_xlfn.IFS(LEFT(F125,1)="+", (VALUE(MID(F125,2,LEN(F125)))+100)/100, VALUE(F125)&gt;0, (F125+100)/100, VALUE(F125)&lt;0, (ABS(F125)+100)/ABS(F125), F125=0, 0), ""))</f>
        <v/>
      </c>
      <c r="H125" s="1"/>
      <c r="I125" s="4" t="str">
        <f>IF(Bet_Log[[#This Row],[Result ]]="", "", IF(Bet_Log[[#This Row],[Result ]]="Win", Bet_Log[[#This Row],[Stake]]*Bet_Log[[#This Row],[Decimal]]-Bet_Log[[#This Row],[Stake]], IF(Bet_Log[[#This Row],[Result ]]="Loss", -Bet_Log[[#This Row],[Stake]], IF(Bet_Log[[#This Row],[Result ]]="Push", 0, ""))))</f>
        <v/>
      </c>
      <c r="J125" s="2" t="str">
        <f>IF(Bet_Log[[#This Row],[Return]]="", "", J124 + Bet_Log[[#This Row],[Return]])</f>
        <v/>
      </c>
      <c r="K125" s="9"/>
    </row>
    <row r="126" spans="1:11" x14ac:dyDescent="0.2">
      <c r="A126" s="27"/>
      <c r="B126" s="1"/>
      <c r="C126" s="6"/>
      <c r="D126" s="1"/>
      <c r="E126" s="7"/>
      <c r="F126" s="8"/>
      <c r="G126" s="3" t="str" cm="1">
        <f t="array" ref="G126">IF(ISBLANK(F126), "", IFERROR(_xlfn.IFS(LEFT(F126,1)="+", (VALUE(MID(F126,2,LEN(F126)))+100)/100, VALUE(F126)&gt;0, (F126+100)/100, VALUE(F126)&lt;0, (ABS(F126)+100)/ABS(F126), F126=0, 0), ""))</f>
        <v/>
      </c>
      <c r="H126" s="1"/>
      <c r="I126" s="4" t="str">
        <f>IF(Bet_Log[[#This Row],[Result ]]="", "", IF(Bet_Log[[#This Row],[Result ]]="Win", Bet_Log[[#This Row],[Stake]]*Bet_Log[[#This Row],[Decimal]]-Bet_Log[[#This Row],[Stake]], IF(Bet_Log[[#This Row],[Result ]]="Loss", -Bet_Log[[#This Row],[Stake]], IF(Bet_Log[[#This Row],[Result ]]="Push", 0, ""))))</f>
        <v/>
      </c>
      <c r="J126" s="2" t="str">
        <f>IF(Bet_Log[[#This Row],[Return]]="", "", J125 + Bet_Log[[#This Row],[Return]])</f>
        <v/>
      </c>
      <c r="K126" s="9"/>
    </row>
    <row r="127" spans="1:11" x14ac:dyDescent="0.2">
      <c r="A127" s="27"/>
      <c r="B127" s="1"/>
      <c r="C127" s="6"/>
      <c r="D127" s="1"/>
      <c r="E127" s="7"/>
      <c r="F127" s="8"/>
      <c r="G127" s="3" t="str" cm="1">
        <f t="array" ref="G127">IF(ISBLANK(F127), "", IFERROR(_xlfn.IFS(LEFT(F127,1)="+", (VALUE(MID(F127,2,LEN(F127)))+100)/100, VALUE(F127)&gt;0, (F127+100)/100, VALUE(F127)&lt;0, (ABS(F127)+100)/ABS(F127), F127=0, 0), ""))</f>
        <v/>
      </c>
      <c r="H127" s="1"/>
      <c r="I127" s="4" t="str">
        <f>IF(Bet_Log[[#This Row],[Result ]]="", "", IF(Bet_Log[[#This Row],[Result ]]="Win", Bet_Log[[#This Row],[Stake]]*Bet_Log[[#This Row],[Decimal]]-Bet_Log[[#This Row],[Stake]], IF(Bet_Log[[#This Row],[Result ]]="Loss", -Bet_Log[[#This Row],[Stake]], IF(Bet_Log[[#This Row],[Result ]]="Push", 0, ""))))</f>
        <v/>
      </c>
      <c r="J127" s="2" t="str">
        <f>IF(Bet_Log[[#This Row],[Return]]="", "", J126 + Bet_Log[[#This Row],[Return]])</f>
        <v/>
      </c>
      <c r="K127" s="9"/>
    </row>
    <row r="128" spans="1:11" x14ac:dyDescent="0.2">
      <c r="A128" s="27"/>
      <c r="B128" s="1"/>
      <c r="C128" s="6"/>
      <c r="D128" s="1"/>
      <c r="E128" s="7"/>
      <c r="F128" s="8"/>
      <c r="G128" s="3" t="str" cm="1">
        <f t="array" ref="G128">IF(ISBLANK(F128), "", IFERROR(_xlfn.IFS(LEFT(F128,1)="+", (VALUE(MID(F128,2,LEN(F128)))+100)/100, VALUE(F128)&gt;0, (F128+100)/100, VALUE(F128)&lt;0, (ABS(F128)+100)/ABS(F128), F128=0, 0), ""))</f>
        <v/>
      </c>
      <c r="H128" s="1"/>
      <c r="I128" s="4" t="str">
        <f>IF(Bet_Log[[#This Row],[Result ]]="", "", IF(Bet_Log[[#This Row],[Result ]]="Win", Bet_Log[[#This Row],[Stake]]*Bet_Log[[#This Row],[Decimal]]-Bet_Log[[#This Row],[Stake]], IF(Bet_Log[[#This Row],[Result ]]="Loss", -Bet_Log[[#This Row],[Stake]], IF(Bet_Log[[#This Row],[Result ]]="Push", 0, ""))))</f>
        <v/>
      </c>
      <c r="J128" s="2" t="str">
        <f>IF(Bet_Log[[#This Row],[Return]]="", "", J127 + Bet_Log[[#This Row],[Return]])</f>
        <v/>
      </c>
      <c r="K128" s="9"/>
    </row>
    <row r="129" spans="1:11" x14ac:dyDescent="0.2">
      <c r="A129" s="27"/>
      <c r="B129" s="1"/>
      <c r="C129" s="6"/>
      <c r="D129" s="1"/>
      <c r="E129" s="7"/>
      <c r="F129" s="8"/>
      <c r="G129" s="3" t="str" cm="1">
        <f t="array" ref="G129">IF(ISBLANK(F129), "", IFERROR(_xlfn.IFS(LEFT(F129,1)="+", (VALUE(MID(F129,2,LEN(F129)))+100)/100, VALUE(F129)&gt;0, (F129+100)/100, VALUE(F129)&lt;0, (ABS(F129)+100)/ABS(F129), F129=0, 0), ""))</f>
        <v/>
      </c>
      <c r="H129" s="1"/>
      <c r="I129" s="4" t="str">
        <f>IF(Bet_Log[[#This Row],[Result ]]="", "", IF(Bet_Log[[#This Row],[Result ]]="Win", Bet_Log[[#This Row],[Stake]]*Bet_Log[[#This Row],[Decimal]]-Bet_Log[[#This Row],[Stake]], IF(Bet_Log[[#This Row],[Result ]]="Loss", -Bet_Log[[#This Row],[Stake]], IF(Bet_Log[[#This Row],[Result ]]="Push", 0, ""))))</f>
        <v/>
      </c>
      <c r="J129" s="2" t="str">
        <f>IF(Bet_Log[[#This Row],[Return]]="", "", J128 + Bet_Log[[#This Row],[Return]])</f>
        <v/>
      </c>
      <c r="K129" s="9"/>
    </row>
    <row r="130" spans="1:11" x14ac:dyDescent="0.2">
      <c r="A130" s="27"/>
      <c r="B130" s="1"/>
      <c r="C130" s="6"/>
      <c r="D130" s="1"/>
      <c r="E130" s="7"/>
      <c r="F130" s="8"/>
      <c r="G130" s="3" t="str" cm="1">
        <f t="array" ref="G130">IF(ISBLANK(F130), "", IFERROR(_xlfn.IFS(LEFT(F130,1)="+", (VALUE(MID(F130,2,LEN(F130)))+100)/100, VALUE(F130)&gt;0, (F130+100)/100, VALUE(F130)&lt;0, (ABS(F130)+100)/ABS(F130), F130=0, 0), ""))</f>
        <v/>
      </c>
      <c r="H130" s="1"/>
      <c r="I130" s="4" t="str">
        <f>IF(Bet_Log[[#This Row],[Result ]]="", "", IF(Bet_Log[[#This Row],[Result ]]="Win", Bet_Log[[#This Row],[Stake]]*Bet_Log[[#This Row],[Decimal]]-Bet_Log[[#This Row],[Stake]], IF(Bet_Log[[#This Row],[Result ]]="Loss", -Bet_Log[[#This Row],[Stake]], IF(Bet_Log[[#This Row],[Result ]]="Push", 0, ""))))</f>
        <v/>
      </c>
      <c r="J130" s="2" t="str">
        <f>IF(Bet_Log[[#This Row],[Return]]="", "", J129 + Bet_Log[[#This Row],[Return]])</f>
        <v/>
      </c>
      <c r="K130" s="9"/>
    </row>
    <row r="131" spans="1:11" x14ac:dyDescent="0.2">
      <c r="A131" s="27"/>
      <c r="B131" s="1"/>
      <c r="C131" s="6"/>
      <c r="D131" s="1"/>
      <c r="E131" s="7"/>
      <c r="F131" s="8"/>
      <c r="G131" s="3" t="str" cm="1">
        <f t="array" ref="G131">IF(ISBLANK(F131), "", IFERROR(_xlfn.IFS(LEFT(F131,1)="+", (VALUE(MID(F131,2,LEN(F131)))+100)/100, VALUE(F131)&gt;0, (F131+100)/100, VALUE(F131)&lt;0, (ABS(F131)+100)/ABS(F131), F131=0, 0), ""))</f>
        <v/>
      </c>
      <c r="H131" s="1"/>
      <c r="I131" s="4" t="str">
        <f>IF(Bet_Log[[#This Row],[Result ]]="", "", IF(Bet_Log[[#This Row],[Result ]]="Win", Bet_Log[[#This Row],[Stake]]*Bet_Log[[#This Row],[Decimal]]-Bet_Log[[#This Row],[Stake]], IF(Bet_Log[[#This Row],[Result ]]="Loss", -Bet_Log[[#This Row],[Stake]], IF(Bet_Log[[#This Row],[Result ]]="Push", 0, ""))))</f>
        <v/>
      </c>
      <c r="J131" s="2" t="str">
        <f>IF(Bet_Log[[#This Row],[Return]]="", "", J130 + Bet_Log[[#This Row],[Return]])</f>
        <v/>
      </c>
      <c r="K131" s="9"/>
    </row>
    <row r="132" spans="1:11" x14ac:dyDescent="0.2">
      <c r="A132" s="27"/>
      <c r="B132" s="1"/>
      <c r="C132" s="6"/>
      <c r="D132" s="1"/>
      <c r="E132" s="7"/>
      <c r="F132" s="8"/>
      <c r="G132" s="3" t="str" cm="1">
        <f t="array" ref="G132">IF(ISBLANK(F132), "", IFERROR(_xlfn.IFS(LEFT(F132,1)="+", (VALUE(MID(F132,2,LEN(F132)))+100)/100, VALUE(F132)&gt;0, (F132+100)/100, VALUE(F132)&lt;0, (ABS(F132)+100)/ABS(F132), F132=0, 0), ""))</f>
        <v/>
      </c>
      <c r="H132" s="1"/>
      <c r="I132" s="4" t="str">
        <f>IF(Bet_Log[[#This Row],[Result ]]="", "", IF(Bet_Log[[#This Row],[Result ]]="Win", Bet_Log[[#This Row],[Stake]]*Bet_Log[[#This Row],[Decimal]]-Bet_Log[[#This Row],[Stake]], IF(Bet_Log[[#This Row],[Result ]]="Loss", -Bet_Log[[#This Row],[Stake]], IF(Bet_Log[[#This Row],[Result ]]="Push", 0, ""))))</f>
        <v/>
      </c>
      <c r="J132" s="2" t="str">
        <f>IF(Bet_Log[[#This Row],[Return]]="", "", J131 + Bet_Log[[#This Row],[Return]])</f>
        <v/>
      </c>
      <c r="K132" s="9"/>
    </row>
    <row r="133" spans="1:11" x14ac:dyDescent="0.2">
      <c r="A133" s="27"/>
      <c r="B133" s="1"/>
      <c r="C133" s="6"/>
      <c r="D133" s="1"/>
      <c r="E133" s="7"/>
      <c r="F133" s="8"/>
      <c r="G133" s="3" t="str" cm="1">
        <f t="array" ref="G133">IF(ISBLANK(F133), "", IFERROR(_xlfn.IFS(LEFT(F133,1)="+", (VALUE(MID(F133,2,LEN(F133)))+100)/100, VALUE(F133)&gt;0, (F133+100)/100, VALUE(F133)&lt;0, (ABS(F133)+100)/ABS(F133), F133=0, 0), ""))</f>
        <v/>
      </c>
      <c r="H133" s="1"/>
      <c r="I133" s="4" t="str">
        <f>IF(Bet_Log[[#This Row],[Result ]]="", "", IF(Bet_Log[[#This Row],[Result ]]="Win", Bet_Log[[#This Row],[Stake]]*Bet_Log[[#This Row],[Decimal]]-Bet_Log[[#This Row],[Stake]], IF(Bet_Log[[#This Row],[Result ]]="Loss", -Bet_Log[[#This Row],[Stake]], IF(Bet_Log[[#This Row],[Result ]]="Push", 0, ""))))</f>
        <v/>
      </c>
      <c r="J133" s="2" t="str">
        <f>IF(Bet_Log[[#This Row],[Return]]="", "", J132 + Bet_Log[[#This Row],[Return]])</f>
        <v/>
      </c>
      <c r="K133" s="9"/>
    </row>
    <row r="134" spans="1:11" x14ac:dyDescent="0.2">
      <c r="A134" s="27"/>
      <c r="B134" s="1"/>
      <c r="C134" s="6"/>
      <c r="D134" s="1"/>
      <c r="E134" s="7"/>
      <c r="F134" s="8"/>
      <c r="G134" s="3" t="str" cm="1">
        <f t="array" ref="G134">IF(ISBLANK(F134), "", IFERROR(_xlfn.IFS(LEFT(F134,1)="+", (VALUE(MID(F134,2,LEN(F134)))+100)/100, VALUE(F134)&gt;0, (F134+100)/100, VALUE(F134)&lt;0, (ABS(F134)+100)/ABS(F134), F134=0, 0), ""))</f>
        <v/>
      </c>
      <c r="H134" s="1"/>
      <c r="I134" s="4" t="str">
        <f>IF(Bet_Log[[#This Row],[Result ]]="", "", IF(Bet_Log[[#This Row],[Result ]]="Win", Bet_Log[[#This Row],[Stake]]*Bet_Log[[#This Row],[Decimal]]-Bet_Log[[#This Row],[Stake]], IF(Bet_Log[[#This Row],[Result ]]="Loss", -Bet_Log[[#This Row],[Stake]], IF(Bet_Log[[#This Row],[Result ]]="Push", 0, ""))))</f>
        <v/>
      </c>
      <c r="J134" s="2" t="str">
        <f>IF(Bet_Log[[#This Row],[Return]]="", "", J133 + Bet_Log[[#This Row],[Return]])</f>
        <v/>
      </c>
      <c r="K134" s="9"/>
    </row>
    <row r="135" spans="1:11" x14ac:dyDescent="0.2">
      <c r="A135" s="27"/>
      <c r="B135" s="1"/>
      <c r="C135" s="6"/>
      <c r="D135" s="1"/>
      <c r="E135" s="7"/>
      <c r="F135" s="8"/>
      <c r="G135" s="3" t="str" cm="1">
        <f t="array" ref="G135">IF(ISBLANK(F135), "", IFERROR(_xlfn.IFS(LEFT(F135,1)="+", (VALUE(MID(F135,2,LEN(F135)))+100)/100, VALUE(F135)&gt;0, (F135+100)/100, VALUE(F135)&lt;0, (ABS(F135)+100)/ABS(F135), F135=0, 0), ""))</f>
        <v/>
      </c>
      <c r="H135" s="1"/>
      <c r="I135" s="4" t="str">
        <f>IF(Bet_Log[[#This Row],[Result ]]="", "", IF(Bet_Log[[#This Row],[Result ]]="Win", Bet_Log[[#This Row],[Stake]]*Bet_Log[[#This Row],[Decimal]]-Bet_Log[[#This Row],[Stake]], IF(Bet_Log[[#This Row],[Result ]]="Loss", -Bet_Log[[#This Row],[Stake]], IF(Bet_Log[[#This Row],[Result ]]="Push", 0, ""))))</f>
        <v/>
      </c>
      <c r="J135" s="2" t="str">
        <f>IF(Bet_Log[[#This Row],[Return]]="", "", J134 + Bet_Log[[#This Row],[Return]])</f>
        <v/>
      </c>
      <c r="K135" s="9"/>
    </row>
    <row r="136" spans="1:11" x14ac:dyDescent="0.2">
      <c r="A136" s="27"/>
      <c r="B136" s="1"/>
      <c r="C136" s="6"/>
      <c r="D136" s="1"/>
      <c r="E136" s="7"/>
      <c r="F136" s="8"/>
      <c r="G136" s="3" t="str" cm="1">
        <f t="array" ref="G136">IF(ISBLANK(F136), "", IFERROR(_xlfn.IFS(LEFT(F136,1)="+", (VALUE(MID(F136,2,LEN(F136)))+100)/100, VALUE(F136)&gt;0, (F136+100)/100, VALUE(F136)&lt;0, (ABS(F136)+100)/ABS(F136), F136=0, 0), ""))</f>
        <v/>
      </c>
      <c r="H136" s="1"/>
      <c r="I136" s="4" t="str">
        <f>IF(Bet_Log[[#This Row],[Result ]]="", "", IF(Bet_Log[[#This Row],[Result ]]="Win", Bet_Log[[#This Row],[Stake]]*Bet_Log[[#This Row],[Decimal]]-Bet_Log[[#This Row],[Stake]], IF(Bet_Log[[#This Row],[Result ]]="Loss", -Bet_Log[[#This Row],[Stake]], IF(Bet_Log[[#This Row],[Result ]]="Push", 0, ""))))</f>
        <v/>
      </c>
      <c r="J136" s="2" t="str">
        <f>IF(Bet_Log[[#This Row],[Return]]="", "", J135 + Bet_Log[[#This Row],[Return]])</f>
        <v/>
      </c>
      <c r="K136" s="9"/>
    </row>
    <row r="137" spans="1:11" x14ac:dyDescent="0.2">
      <c r="A137" s="27"/>
      <c r="B137" s="1"/>
      <c r="C137" s="6"/>
      <c r="D137" s="1"/>
      <c r="E137" s="7"/>
      <c r="F137" s="8"/>
      <c r="G137" s="3" t="str" cm="1">
        <f t="array" ref="G137">IF(ISBLANK(F137), "", IFERROR(_xlfn.IFS(LEFT(F137,1)="+", (VALUE(MID(F137,2,LEN(F137)))+100)/100, VALUE(F137)&gt;0, (F137+100)/100, VALUE(F137)&lt;0, (ABS(F137)+100)/ABS(F137), F137=0, 0), ""))</f>
        <v/>
      </c>
      <c r="H137" s="1"/>
      <c r="I137" s="4" t="str">
        <f>IF(Bet_Log[[#This Row],[Result ]]="", "", IF(Bet_Log[[#This Row],[Result ]]="Win", Bet_Log[[#This Row],[Stake]]*Bet_Log[[#This Row],[Decimal]]-Bet_Log[[#This Row],[Stake]], IF(Bet_Log[[#This Row],[Result ]]="Loss", -Bet_Log[[#This Row],[Stake]], IF(Bet_Log[[#This Row],[Result ]]="Push", 0, ""))))</f>
        <v/>
      </c>
      <c r="J137" s="2" t="str">
        <f>IF(Bet_Log[[#This Row],[Return]]="", "", J136 + Bet_Log[[#This Row],[Return]])</f>
        <v/>
      </c>
      <c r="K137" s="9"/>
    </row>
    <row r="138" spans="1:11" x14ac:dyDescent="0.2">
      <c r="A138" s="27"/>
      <c r="B138" s="1"/>
      <c r="C138" s="6"/>
      <c r="D138" s="1"/>
      <c r="E138" s="7"/>
      <c r="F138" s="8"/>
      <c r="G138" s="3" t="str" cm="1">
        <f t="array" ref="G138">IF(ISBLANK(F138), "", IFERROR(_xlfn.IFS(LEFT(F138,1)="+", (VALUE(MID(F138,2,LEN(F138)))+100)/100, VALUE(F138)&gt;0, (F138+100)/100, VALUE(F138)&lt;0, (ABS(F138)+100)/ABS(F138), F138=0, 0), ""))</f>
        <v/>
      </c>
      <c r="H138" s="1"/>
      <c r="I138" s="4" t="str">
        <f>IF(Bet_Log[[#This Row],[Result ]]="", "", IF(Bet_Log[[#This Row],[Result ]]="Win", Bet_Log[[#This Row],[Stake]]*Bet_Log[[#This Row],[Decimal]]-Bet_Log[[#This Row],[Stake]], IF(Bet_Log[[#This Row],[Result ]]="Loss", -Bet_Log[[#This Row],[Stake]], IF(Bet_Log[[#This Row],[Result ]]="Push", 0, ""))))</f>
        <v/>
      </c>
      <c r="J138" s="2" t="str">
        <f>IF(Bet_Log[[#This Row],[Return]]="", "", J137 + Bet_Log[[#This Row],[Return]])</f>
        <v/>
      </c>
      <c r="K138" s="9"/>
    </row>
    <row r="139" spans="1:11" x14ac:dyDescent="0.2">
      <c r="A139" s="27"/>
      <c r="B139" s="1"/>
      <c r="C139" s="6"/>
      <c r="D139" s="1"/>
      <c r="E139" s="7"/>
      <c r="F139" s="8"/>
      <c r="G139" s="3" t="str" cm="1">
        <f t="array" ref="G139">IF(ISBLANK(F139), "", IFERROR(_xlfn.IFS(LEFT(F139,1)="+", (VALUE(MID(F139,2,LEN(F139)))+100)/100, VALUE(F139)&gt;0, (F139+100)/100, VALUE(F139)&lt;0, (ABS(F139)+100)/ABS(F139), F139=0, 0), ""))</f>
        <v/>
      </c>
      <c r="H139" s="1"/>
      <c r="I139" s="4" t="str">
        <f>IF(Bet_Log[[#This Row],[Result ]]="", "", IF(Bet_Log[[#This Row],[Result ]]="Win", Bet_Log[[#This Row],[Stake]]*Bet_Log[[#This Row],[Decimal]]-Bet_Log[[#This Row],[Stake]], IF(Bet_Log[[#This Row],[Result ]]="Loss", -Bet_Log[[#This Row],[Stake]], IF(Bet_Log[[#This Row],[Result ]]="Push", 0, ""))))</f>
        <v/>
      </c>
      <c r="J139" s="2" t="str">
        <f>IF(Bet_Log[[#This Row],[Return]]="", "", J138 + Bet_Log[[#This Row],[Return]])</f>
        <v/>
      </c>
      <c r="K139" s="9"/>
    </row>
    <row r="140" spans="1:11" x14ac:dyDescent="0.2">
      <c r="A140" s="27"/>
      <c r="B140" s="1"/>
      <c r="C140" s="6"/>
      <c r="D140" s="1"/>
      <c r="E140" s="7"/>
      <c r="F140" s="8"/>
      <c r="G140" s="3" t="str" cm="1">
        <f t="array" ref="G140">IF(ISBLANK(F140), "", IFERROR(_xlfn.IFS(LEFT(F140,1)="+", (VALUE(MID(F140,2,LEN(F140)))+100)/100, VALUE(F140)&gt;0, (F140+100)/100, VALUE(F140)&lt;0, (ABS(F140)+100)/ABS(F140), F140=0, 0), ""))</f>
        <v/>
      </c>
      <c r="H140" s="1"/>
      <c r="I140" s="4" t="str">
        <f>IF(Bet_Log[[#This Row],[Result ]]="", "", IF(Bet_Log[[#This Row],[Result ]]="Win", Bet_Log[[#This Row],[Stake]]*Bet_Log[[#This Row],[Decimal]]-Bet_Log[[#This Row],[Stake]], IF(Bet_Log[[#This Row],[Result ]]="Loss", -Bet_Log[[#This Row],[Stake]], IF(Bet_Log[[#This Row],[Result ]]="Push", 0, ""))))</f>
        <v/>
      </c>
      <c r="J140" s="2" t="str">
        <f>IF(Bet_Log[[#This Row],[Return]]="", "", J139 + Bet_Log[[#This Row],[Return]])</f>
        <v/>
      </c>
      <c r="K140" s="9"/>
    </row>
    <row r="141" spans="1:11" x14ac:dyDescent="0.2">
      <c r="A141" s="27"/>
      <c r="B141" s="1"/>
      <c r="C141" s="6"/>
      <c r="D141" s="1"/>
      <c r="E141" s="7"/>
      <c r="F141" s="8"/>
      <c r="G141" s="3" t="str" cm="1">
        <f t="array" ref="G141">IF(ISBLANK(F141), "", IFERROR(_xlfn.IFS(LEFT(F141,1)="+", (VALUE(MID(F141,2,LEN(F141)))+100)/100, VALUE(F141)&gt;0, (F141+100)/100, VALUE(F141)&lt;0, (ABS(F141)+100)/ABS(F141), F141=0, 0), ""))</f>
        <v/>
      </c>
      <c r="H141" s="1"/>
      <c r="I141" s="4" t="str">
        <f>IF(Bet_Log[[#This Row],[Result ]]="", "", IF(Bet_Log[[#This Row],[Result ]]="Win", Bet_Log[[#This Row],[Stake]]*Bet_Log[[#This Row],[Decimal]]-Bet_Log[[#This Row],[Stake]], IF(Bet_Log[[#This Row],[Result ]]="Loss", -Bet_Log[[#This Row],[Stake]], IF(Bet_Log[[#This Row],[Result ]]="Push", 0, ""))))</f>
        <v/>
      </c>
      <c r="J141" s="2" t="str">
        <f>IF(Bet_Log[[#This Row],[Return]]="", "", J140 + Bet_Log[[#This Row],[Return]])</f>
        <v/>
      </c>
      <c r="K141" s="9"/>
    </row>
    <row r="142" spans="1:11" x14ac:dyDescent="0.2">
      <c r="A142" s="27"/>
      <c r="B142" s="1"/>
      <c r="C142" s="6"/>
      <c r="D142" s="1"/>
      <c r="E142" s="7"/>
      <c r="F142" s="8"/>
      <c r="G142" s="3" t="str" cm="1">
        <f t="array" ref="G142">IF(ISBLANK(F142), "", IFERROR(_xlfn.IFS(LEFT(F142,1)="+", (VALUE(MID(F142,2,LEN(F142)))+100)/100, VALUE(F142)&gt;0, (F142+100)/100, VALUE(F142)&lt;0, (ABS(F142)+100)/ABS(F142), F142=0, 0), ""))</f>
        <v/>
      </c>
      <c r="H142" s="1"/>
      <c r="I142" s="4" t="str">
        <f>IF(Bet_Log[[#This Row],[Result ]]="", "", IF(Bet_Log[[#This Row],[Result ]]="Win", Bet_Log[[#This Row],[Stake]]*Bet_Log[[#This Row],[Decimal]]-Bet_Log[[#This Row],[Stake]], IF(Bet_Log[[#This Row],[Result ]]="Loss", -Bet_Log[[#This Row],[Stake]], IF(Bet_Log[[#This Row],[Result ]]="Push", 0, ""))))</f>
        <v/>
      </c>
      <c r="J142" s="2" t="str">
        <f>IF(Bet_Log[[#This Row],[Return]]="", "", J141 + Bet_Log[[#This Row],[Return]])</f>
        <v/>
      </c>
      <c r="K142" s="9"/>
    </row>
    <row r="143" spans="1:11" x14ac:dyDescent="0.2">
      <c r="A143" s="27"/>
      <c r="B143" s="1"/>
      <c r="C143" s="6"/>
      <c r="D143" s="1"/>
      <c r="E143" s="7"/>
      <c r="F143" s="8"/>
      <c r="G143" s="3" t="str" cm="1">
        <f t="array" ref="G143">IF(ISBLANK(F143), "", IFERROR(_xlfn.IFS(LEFT(F143,1)="+", (VALUE(MID(F143,2,LEN(F143)))+100)/100, VALUE(F143)&gt;0, (F143+100)/100, VALUE(F143)&lt;0, (ABS(F143)+100)/ABS(F143), F143=0, 0), ""))</f>
        <v/>
      </c>
      <c r="H143" s="1"/>
      <c r="I143" s="4" t="str">
        <f>IF(Bet_Log[[#This Row],[Result ]]="", "", IF(Bet_Log[[#This Row],[Result ]]="Win", Bet_Log[[#This Row],[Stake]]*Bet_Log[[#This Row],[Decimal]]-Bet_Log[[#This Row],[Stake]], IF(Bet_Log[[#This Row],[Result ]]="Loss", -Bet_Log[[#This Row],[Stake]], IF(Bet_Log[[#This Row],[Result ]]="Push", 0, ""))))</f>
        <v/>
      </c>
      <c r="J143" s="2" t="str">
        <f>IF(Bet_Log[[#This Row],[Return]]="", "", J142 + Bet_Log[[#This Row],[Return]])</f>
        <v/>
      </c>
      <c r="K143" s="9"/>
    </row>
    <row r="144" spans="1:11" x14ac:dyDescent="0.2">
      <c r="A144" s="27"/>
      <c r="B144" s="1"/>
      <c r="C144" s="6"/>
      <c r="D144" s="1"/>
      <c r="E144" s="7"/>
      <c r="F144" s="8"/>
      <c r="G144" s="3" t="str" cm="1">
        <f t="array" ref="G144">IF(ISBLANK(F144), "", IFERROR(_xlfn.IFS(LEFT(F144,1)="+", (VALUE(MID(F144,2,LEN(F144)))+100)/100, VALUE(F144)&gt;0, (F144+100)/100, VALUE(F144)&lt;0, (ABS(F144)+100)/ABS(F144), F144=0, 0), ""))</f>
        <v/>
      </c>
      <c r="H144" s="1"/>
      <c r="I144" s="4" t="str">
        <f>IF(Bet_Log[[#This Row],[Result ]]="", "", IF(Bet_Log[[#This Row],[Result ]]="Win", Bet_Log[[#This Row],[Stake]]*Bet_Log[[#This Row],[Decimal]]-Bet_Log[[#This Row],[Stake]], IF(Bet_Log[[#This Row],[Result ]]="Loss", -Bet_Log[[#This Row],[Stake]], IF(Bet_Log[[#This Row],[Result ]]="Push", 0, ""))))</f>
        <v/>
      </c>
      <c r="J144" s="2" t="str">
        <f>IF(Bet_Log[[#This Row],[Return]]="", "", J143 + Bet_Log[[#This Row],[Return]])</f>
        <v/>
      </c>
      <c r="K144" s="9"/>
    </row>
    <row r="145" spans="1:11" x14ac:dyDescent="0.2">
      <c r="A145" s="27"/>
      <c r="B145" s="1"/>
      <c r="C145" s="6"/>
      <c r="D145" s="1"/>
      <c r="E145" s="7"/>
      <c r="F145" s="8"/>
      <c r="G145" s="3" t="str" cm="1">
        <f t="array" ref="G145">IF(ISBLANK(F145), "", IFERROR(_xlfn.IFS(LEFT(F145,1)="+", (VALUE(MID(F145,2,LEN(F145)))+100)/100, VALUE(F145)&gt;0, (F145+100)/100, VALUE(F145)&lt;0, (ABS(F145)+100)/ABS(F145), F145=0, 0), ""))</f>
        <v/>
      </c>
      <c r="H145" s="1"/>
      <c r="I145" s="4" t="str">
        <f>IF(Bet_Log[[#This Row],[Result ]]="", "", IF(Bet_Log[[#This Row],[Result ]]="Win", Bet_Log[[#This Row],[Stake]]*Bet_Log[[#This Row],[Decimal]]-Bet_Log[[#This Row],[Stake]], IF(Bet_Log[[#This Row],[Result ]]="Loss", -Bet_Log[[#This Row],[Stake]], IF(Bet_Log[[#This Row],[Result ]]="Push", 0, ""))))</f>
        <v/>
      </c>
      <c r="J145" s="2" t="str">
        <f>IF(Bet_Log[[#This Row],[Return]]="", "", J144 + Bet_Log[[#This Row],[Return]])</f>
        <v/>
      </c>
      <c r="K145" s="9"/>
    </row>
    <row r="146" spans="1:11" x14ac:dyDescent="0.2">
      <c r="A146" s="27"/>
      <c r="B146" s="1"/>
      <c r="C146" s="6"/>
      <c r="D146" s="1"/>
      <c r="E146" s="7"/>
      <c r="F146" s="8"/>
      <c r="G146" s="3" t="str" cm="1">
        <f t="array" ref="G146">IF(ISBLANK(F146), "", IFERROR(_xlfn.IFS(LEFT(F146,1)="+", (VALUE(MID(F146,2,LEN(F146)))+100)/100, VALUE(F146)&gt;0, (F146+100)/100, VALUE(F146)&lt;0, (ABS(F146)+100)/ABS(F146), F146=0, 0), ""))</f>
        <v/>
      </c>
      <c r="H146" s="1"/>
      <c r="I146" s="4" t="str">
        <f>IF(Bet_Log[[#This Row],[Result ]]="", "", IF(Bet_Log[[#This Row],[Result ]]="Win", Bet_Log[[#This Row],[Stake]]*Bet_Log[[#This Row],[Decimal]]-Bet_Log[[#This Row],[Stake]], IF(Bet_Log[[#This Row],[Result ]]="Loss", -Bet_Log[[#This Row],[Stake]], IF(Bet_Log[[#This Row],[Result ]]="Push", 0, ""))))</f>
        <v/>
      </c>
      <c r="J146" s="2" t="str">
        <f>IF(Bet_Log[[#This Row],[Return]]="", "", J145 + Bet_Log[[#This Row],[Return]])</f>
        <v/>
      </c>
      <c r="K146" s="9"/>
    </row>
    <row r="147" spans="1:11" x14ac:dyDescent="0.2">
      <c r="A147" s="27"/>
      <c r="B147" s="1"/>
      <c r="C147" s="6"/>
      <c r="D147" s="1"/>
      <c r="E147" s="7"/>
      <c r="F147" s="8"/>
      <c r="G147" s="3" t="str" cm="1">
        <f t="array" ref="G147">IF(ISBLANK(F147), "", IFERROR(_xlfn.IFS(LEFT(F147,1)="+", (VALUE(MID(F147,2,LEN(F147)))+100)/100, VALUE(F147)&gt;0, (F147+100)/100, VALUE(F147)&lt;0, (ABS(F147)+100)/ABS(F147), F147=0, 0), ""))</f>
        <v/>
      </c>
      <c r="H147" s="1"/>
      <c r="I147" s="4" t="str">
        <f>IF(Bet_Log[[#This Row],[Result ]]="", "", IF(Bet_Log[[#This Row],[Result ]]="Win", Bet_Log[[#This Row],[Stake]]*Bet_Log[[#This Row],[Decimal]]-Bet_Log[[#This Row],[Stake]], IF(Bet_Log[[#This Row],[Result ]]="Loss", -Bet_Log[[#This Row],[Stake]], IF(Bet_Log[[#This Row],[Result ]]="Push", 0, ""))))</f>
        <v/>
      </c>
      <c r="J147" s="2" t="str">
        <f>IF(Bet_Log[[#This Row],[Return]]="", "", J146 + Bet_Log[[#This Row],[Return]])</f>
        <v/>
      </c>
      <c r="K147" s="9"/>
    </row>
    <row r="148" spans="1:11" x14ac:dyDescent="0.2">
      <c r="A148" s="27"/>
      <c r="B148" s="1"/>
      <c r="C148" s="6"/>
      <c r="D148" s="1"/>
      <c r="E148" s="7"/>
      <c r="F148" s="8"/>
      <c r="G148" s="3" t="str" cm="1">
        <f t="array" ref="G148">IF(ISBLANK(F148), "", IFERROR(_xlfn.IFS(LEFT(F148,1)="+", (VALUE(MID(F148,2,LEN(F148)))+100)/100, VALUE(F148)&gt;0, (F148+100)/100, VALUE(F148)&lt;0, (ABS(F148)+100)/ABS(F148), F148=0, 0), ""))</f>
        <v/>
      </c>
      <c r="H148" s="1"/>
      <c r="I148" s="4" t="str">
        <f>IF(Bet_Log[[#This Row],[Result ]]="", "", IF(Bet_Log[[#This Row],[Result ]]="Win", Bet_Log[[#This Row],[Stake]]*Bet_Log[[#This Row],[Decimal]]-Bet_Log[[#This Row],[Stake]], IF(Bet_Log[[#This Row],[Result ]]="Loss", -Bet_Log[[#This Row],[Stake]], IF(Bet_Log[[#This Row],[Result ]]="Push", 0, ""))))</f>
        <v/>
      </c>
      <c r="J148" s="2" t="str">
        <f>IF(Bet_Log[[#This Row],[Return]]="", "", J147 + Bet_Log[[#This Row],[Return]])</f>
        <v/>
      </c>
      <c r="K148" s="9"/>
    </row>
    <row r="149" spans="1:11" x14ac:dyDescent="0.2">
      <c r="A149" s="27"/>
      <c r="B149" s="1"/>
      <c r="C149" s="6"/>
      <c r="D149" s="1"/>
      <c r="E149" s="7"/>
      <c r="F149" s="8"/>
      <c r="G149" s="3" t="str" cm="1">
        <f t="array" ref="G149">IF(ISBLANK(F149), "", IFERROR(_xlfn.IFS(LEFT(F149,1)="+", (VALUE(MID(F149,2,LEN(F149)))+100)/100, VALUE(F149)&gt;0, (F149+100)/100, VALUE(F149)&lt;0, (ABS(F149)+100)/ABS(F149), F149=0, 0), ""))</f>
        <v/>
      </c>
      <c r="H149" s="1"/>
      <c r="I149" s="4" t="str">
        <f>IF(Bet_Log[[#This Row],[Result ]]="", "", IF(Bet_Log[[#This Row],[Result ]]="Win", Bet_Log[[#This Row],[Stake]]*Bet_Log[[#This Row],[Decimal]]-Bet_Log[[#This Row],[Stake]], IF(Bet_Log[[#This Row],[Result ]]="Loss", -Bet_Log[[#This Row],[Stake]], IF(Bet_Log[[#This Row],[Result ]]="Push", 0, ""))))</f>
        <v/>
      </c>
      <c r="J149" s="2" t="str">
        <f>IF(Bet_Log[[#This Row],[Return]]="", "", J148 + Bet_Log[[#This Row],[Return]])</f>
        <v/>
      </c>
      <c r="K149" s="9"/>
    </row>
    <row r="150" spans="1:11" x14ac:dyDescent="0.2">
      <c r="A150" s="27"/>
      <c r="B150" s="1"/>
      <c r="C150" s="6"/>
      <c r="D150" s="1"/>
      <c r="E150" s="7"/>
      <c r="F150" s="8"/>
      <c r="G150" s="3" t="str" cm="1">
        <f t="array" ref="G150">IF(ISBLANK(F150), "", IFERROR(_xlfn.IFS(LEFT(F150,1)="+", (VALUE(MID(F150,2,LEN(F150)))+100)/100, VALUE(F150)&gt;0, (F150+100)/100, VALUE(F150)&lt;0, (ABS(F150)+100)/ABS(F150), F150=0, 0), ""))</f>
        <v/>
      </c>
      <c r="H150" s="1"/>
      <c r="I150" s="4" t="str">
        <f>IF(Bet_Log[[#This Row],[Result ]]="", "", IF(Bet_Log[[#This Row],[Result ]]="Win", Bet_Log[[#This Row],[Stake]]*Bet_Log[[#This Row],[Decimal]]-Bet_Log[[#This Row],[Stake]], IF(Bet_Log[[#This Row],[Result ]]="Loss", -Bet_Log[[#This Row],[Stake]], IF(Bet_Log[[#This Row],[Result ]]="Push", 0, ""))))</f>
        <v/>
      </c>
      <c r="J150" s="2" t="str">
        <f>IF(Bet_Log[[#This Row],[Return]]="", "", J149 + Bet_Log[[#This Row],[Return]])</f>
        <v/>
      </c>
      <c r="K150" s="9"/>
    </row>
    <row r="151" spans="1:11" x14ac:dyDescent="0.2">
      <c r="A151" s="27"/>
      <c r="B151" s="1"/>
      <c r="C151" s="6"/>
      <c r="D151" s="1"/>
      <c r="E151" s="7"/>
      <c r="F151" s="8"/>
      <c r="G151" s="3" t="str" cm="1">
        <f t="array" ref="G151">IF(ISBLANK(F151), "", IFERROR(_xlfn.IFS(LEFT(F151,1)="+", (VALUE(MID(F151,2,LEN(F151)))+100)/100, VALUE(F151)&gt;0, (F151+100)/100, VALUE(F151)&lt;0, (ABS(F151)+100)/ABS(F151), F151=0, 0), ""))</f>
        <v/>
      </c>
      <c r="H151" s="1"/>
      <c r="I151" s="4" t="str">
        <f>IF(Bet_Log[[#This Row],[Result ]]="", "", IF(Bet_Log[[#This Row],[Result ]]="Win", Bet_Log[[#This Row],[Stake]]*Bet_Log[[#This Row],[Decimal]]-Bet_Log[[#This Row],[Stake]], IF(Bet_Log[[#This Row],[Result ]]="Loss", -Bet_Log[[#This Row],[Stake]], IF(Bet_Log[[#This Row],[Result ]]="Push", 0, ""))))</f>
        <v/>
      </c>
      <c r="J151" s="2" t="str">
        <f>IF(Bet_Log[[#This Row],[Return]]="", "", J150 + Bet_Log[[#This Row],[Return]])</f>
        <v/>
      </c>
      <c r="K151" s="9"/>
    </row>
    <row r="152" spans="1:11" x14ac:dyDescent="0.2">
      <c r="A152" s="27"/>
      <c r="B152" s="1"/>
      <c r="C152" s="6"/>
      <c r="D152" s="1"/>
      <c r="E152" s="7"/>
      <c r="F152" s="8"/>
      <c r="G152" s="3" t="str" cm="1">
        <f t="array" ref="G152">IF(ISBLANK(F152), "", IFERROR(_xlfn.IFS(LEFT(F152,1)="+", (VALUE(MID(F152,2,LEN(F152)))+100)/100, VALUE(F152)&gt;0, (F152+100)/100, VALUE(F152)&lt;0, (ABS(F152)+100)/ABS(F152), F152=0, 0), ""))</f>
        <v/>
      </c>
      <c r="H152" s="1"/>
      <c r="I152" s="4" t="str">
        <f>IF(Bet_Log[[#This Row],[Result ]]="", "", IF(Bet_Log[[#This Row],[Result ]]="Win", Bet_Log[[#This Row],[Stake]]*Bet_Log[[#This Row],[Decimal]]-Bet_Log[[#This Row],[Stake]], IF(Bet_Log[[#This Row],[Result ]]="Loss", -Bet_Log[[#This Row],[Stake]], IF(Bet_Log[[#This Row],[Result ]]="Push", 0, ""))))</f>
        <v/>
      </c>
      <c r="J152" s="2" t="str">
        <f>IF(Bet_Log[[#This Row],[Return]]="", "", J151 + Bet_Log[[#This Row],[Return]])</f>
        <v/>
      </c>
      <c r="K152" s="9"/>
    </row>
    <row r="153" spans="1:11" x14ac:dyDescent="0.2">
      <c r="A153" s="27"/>
      <c r="B153" s="1"/>
      <c r="C153" s="6"/>
      <c r="D153" s="1"/>
      <c r="E153" s="7"/>
      <c r="F153" s="8"/>
      <c r="G153" s="3" t="str" cm="1">
        <f t="array" ref="G153">IF(ISBLANK(F153), "", IFERROR(_xlfn.IFS(LEFT(F153,1)="+", (VALUE(MID(F153,2,LEN(F153)))+100)/100, VALUE(F153)&gt;0, (F153+100)/100, VALUE(F153)&lt;0, (ABS(F153)+100)/ABS(F153), F153=0, 0), ""))</f>
        <v/>
      </c>
      <c r="H153" s="1"/>
      <c r="I153" s="4" t="str">
        <f>IF(Bet_Log[[#This Row],[Result ]]="", "", IF(Bet_Log[[#This Row],[Result ]]="Win", Bet_Log[[#This Row],[Stake]]*Bet_Log[[#This Row],[Decimal]]-Bet_Log[[#This Row],[Stake]], IF(Bet_Log[[#This Row],[Result ]]="Loss", -Bet_Log[[#This Row],[Stake]], IF(Bet_Log[[#This Row],[Result ]]="Push", 0, ""))))</f>
        <v/>
      </c>
      <c r="J153" s="2" t="str">
        <f>IF(Bet_Log[[#This Row],[Return]]="", "", J152 + Bet_Log[[#This Row],[Return]])</f>
        <v/>
      </c>
      <c r="K153" s="9"/>
    </row>
    <row r="154" spans="1:11" x14ac:dyDescent="0.2">
      <c r="A154" s="27"/>
      <c r="B154" s="1"/>
      <c r="C154" s="6"/>
      <c r="D154" s="1"/>
      <c r="E154" s="7"/>
      <c r="F154" s="8"/>
      <c r="G154" s="3" t="str" cm="1">
        <f t="array" ref="G154">IF(ISBLANK(F154), "", IFERROR(_xlfn.IFS(LEFT(F154,1)="+", (VALUE(MID(F154,2,LEN(F154)))+100)/100, VALUE(F154)&gt;0, (F154+100)/100, VALUE(F154)&lt;0, (ABS(F154)+100)/ABS(F154), F154=0, 0), ""))</f>
        <v/>
      </c>
      <c r="H154" s="1"/>
      <c r="I154" s="4" t="str">
        <f>IF(Bet_Log[[#This Row],[Result ]]="", "", IF(Bet_Log[[#This Row],[Result ]]="Win", Bet_Log[[#This Row],[Stake]]*Bet_Log[[#This Row],[Decimal]]-Bet_Log[[#This Row],[Stake]], IF(Bet_Log[[#This Row],[Result ]]="Loss", -Bet_Log[[#This Row],[Stake]], IF(Bet_Log[[#This Row],[Result ]]="Push", 0, ""))))</f>
        <v/>
      </c>
      <c r="J154" s="2" t="str">
        <f>IF(Bet_Log[[#This Row],[Return]]="", "", J153 + Bet_Log[[#This Row],[Return]])</f>
        <v/>
      </c>
      <c r="K154" s="9"/>
    </row>
    <row r="155" spans="1:11" x14ac:dyDescent="0.2">
      <c r="A155" s="27"/>
      <c r="B155" s="1"/>
      <c r="C155" s="6"/>
      <c r="D155" s="1"/>
      <c r="E155" s="7"/>
      <c r="F155" s="8"/>
      <c r="G155" s="3" t="str" cm="1">
        <f t="array" ref="G155">IF(ISBLANK(F155), "", IFERROR(_xlfn.IFS(LEFT(F155,1)="+", (VALUE(MID(F155,2,LEN(F155)))+100)/100, VALUE(F155)&gt;0, (F155+100)/100, VALUE(F155)&lt;0, (ABS(F155)+100)/ABS(F155), F155=0, 0), ""))</f>
        <v/>
      </c>
      <c r="H155" s="1"/>
      <c r="I155" s="4" t="str">
        <f>IF(Bet_Log[[#This Row],[Result ]]="", "", IF(Bet_Log[[#This Row],[Result ]]="Win", Bet_Log[[#This Row],[Stake]]*Bet_Log[[#This Row],[Decimal]]-Bet_Log[[#This Row],[Stake]], IF(Bet_Log[[#This Row],[Result ]]="Loss", -Bet_Log[[#This Row],[Stake]], IF(Bet_Log[[#This Row],[Result ]]="Push", 0, ""))))</f>
        <v/>
      </c>
      <c r="J155" s="2" t="str">
        <f>IF(Bet_Log[[#This Row],[Return]]="", "", J154 + Bet_Log[[#This Row],[Return]])</f>
        <v/>
      </c>
      <c r="K155" s="9"/>
    </row>
    <row r="156" spans="1:11" x14ac:dyDescent="0.2">
      <c r="A156" s="27"/>
      <c r="B156" s="1"/>
      <c r="C156" s="6"/>
      <c r="D156" s="1"/>
      <c r="E156" s="7"/>
      <c r="F156" s="8"/>
      <c r="G156" s="3" t="str" cm="1">
        <f t="array" ref="G156">IF(ISBLANK(F156), "", IFERROR(_xlfn.IFS(LEFT(F156,1)="+", (VALUE(MID(F156,2,LEN(F156)))+100)/100, VALUE(F156)&gt;0, (F156+100)/100, VALUE(F156)&lt;0, (ABS(F156)+100)/ABS(F156), F156=0, 0), ""))</f>
        <v/>
      </c>
      <c r="H156" s="1"/>
      <c r="I156" s="4" t="str">
        <f>IF(Bet_Log[[#This Row],[Result ]]="", "", IF(Bet_Log[[#This Row],[Result ]]="Win", Bet_Log[[#This Row],[Stake]]*Bet_Log[[#This Row],[Decimal]]-Bet_Log[[#This Row],[Stake]], IF(Bet_Log[[#This Row],[Result ]]="Loss", -Bet_Log[[#This Row],[Stake]], IF(Bet_Log[[#This Row],[Result ]]="Push", 0, ""))))</f>
        <v/>
      </c>
      <c r="J156" s="2" t="str">
        <f>IF(Bet_Log[[#This Row],[Return]]="", "", J155 + Bet_Log[[#This Row],[Return]])</f>
        <v/>
      </c>
      <c r="K156" s="9"/>
    </row>
    <row r="157" spans="1:11" x14ac:dyDescent="0.2">
      <c r="A157" s="27"/>
      <c r="B157" s="1"/>
      <c r="C157" s="6"/>
      <c r="D157" s="1"/>
      <c r="E157" s="7"/>
      <c r="F157" s="8"/>
      <c r="G157" s="3" t="str" cm="1">
        <f t="array" ref="G157">IF(ISBLANK(F157), "", IFERROR(_xlfn.IFS(LEFT(F157,1)="+", (VALUE(MID(F157,2,LEN(F157)))+100)/100, VALUE(F157)&gt;0, (F157+100)/100, VALUE(F157)&lt;0, (ABS(F157)+100)/ABS(F157), F157=0, 0), ""))</f>
        <v/>
      </c>
      <c r="H157" s="1"/>
      <c r="I157" s="4" t="str">
        <f>IF(Bet_Log[[#This Row],[Result ]]="", "", IF(Bet_Log[[#This Row],[Result ]]="Win", Bet_Log[[#This Row],[Stake]]*Bet_Log[[#This Row],[Decimal]]-Bet_Log[[#This Row],[Stake]], IF(Bet_Log[[#This Row],[Result ]]="Loss", -Bet_Log[[#This Row],[Stake]], IF(Bet_Log[[#This Row],[Result ]]="Push", 0, ""))))</f>
        <v/>
      </c>
      <c r="J157" s="2" t="str">
        <f>IF(Bet_Log[[#This Row],[Return]]="", "", J156 + Bet_Log[[#This Row],[Return]])</f>
        <v/>
      </c>
      <c r="K157" s="9"/>
    </row>
    <row r="158" spans="1:11" x14ac:dyDescent="0.2">
      <c r="A158" s="27"/>
      <c r="B158" s="1"/>
      <c r="C158" s="6"/>
      <c r="D158" s="1"/>
      <c r="E158" s="7"/>
      <c r="F158" s="8"/>
      <c r="G158" s="3" t="str" cm="1">
        <f t="array" ref="G158">IF(ISBLANK(F158), "", IFERROR(_xlfn.IFS(LEFT(F158,1)="+", (VALUE(MID(F158,2,LEN(F158)))+100)/100, VALUE(F158)&gt;0, (F158+100)/100, VALUE(F158)&lt;0, (ABS(F158)+100)/ABS(F158), F158=0, 0), ""))</f>
        <v/>
      </c>
      <c r="H158" s="1"/>
      <c r="I158" s="4" t="str">
        <f>IF(Bet_Log[[#This Row],[Result ]]="", "", IF(Bet_Log[[#This Row],[Result ]]="Win", Bet_Log[[#This Row],[Stake]]*Bet_Log[[#This Row],[Decimal]]-Bet_Log[[#This Row],[Stake]], IF(Bet_Log[[#This Row],[Result ]]="Loss", -Bet_Log[[#This Row],[Stake]], IF(Bet_Log[[#This Row],[Result ]]="Push", 0, ""))))</f>
        <v/>
      </c>
      <c r="J158" s="2" t="str">
        <f>IF(Bet_Log[[#This Row],[Return]]="", "", J157 + Bet_Log[[#This Row],[Return]])</f>
        <v/>
      </c>
      <c r="K158" s="9"/>
    </row>
    <row r="159" spans="1:11" x14ac:dyDescent="0.2">
      <c r="A159" s="27"/>
      <c r="B159" s="1"/>
      <c r="C159" s="6"/>
      <c r="D159" s="1"/>
      <c r="E159" s="7"/>
      <c r="F159" s="8"/>
      <c r="G159" s="3" t="str" cm="1">
        <f t="array" ref="G159">IF(ISBLANK(F159), "", IFERROR(_xlfn.IFS(LEFT(F159,1)="+", (VALUE(MID(F159,2,LEN(F159)))+100)/100, VALUE(F159)&gt;0, (F159+100)/100, VALUE(F159)&lt;0, (ABS(F159)+100)/ABS(F159), F159=0, 0), ""))</f>
        <v/>
      </c>
      <c r="H159" s="1"/>
      <c r="I159" s="4" t="str">
        <f>IF(Bet_Log[[#This Row],[Result ]]="", "", IF(Bet_Log[[#This Row],[Result ]]="Win", Bet_Log[[#This Row],[Stake]]*Bet_Log[[#This Row],[Decimal]]-Bet_Log[[#This Row],[Stake]], IF(Bet_Log[[#This Row],[Result ]]="Loss", -Bet_Log[[#This Row],[Stake]], IF(Bet_Log[[#This Row],[Result ]]="Push", 0, ""))))</f>
        <v/>
      </c>
      <c r="J159" s="2" t="str">
        <f>IF(Bet_Log[[#This Row],[Return]]="", "", J158 + Bet_Log[[#This Row],[Return]])</f>
        <v/>
      </c>
      <c r="K159" s="9"/>
    </row>
    <row r="160" spans="1:11" x14ac:dyDescent="0.2">
      <c r="A160" s="27"/>
      <c r="B160" s="1"/>
      <c r="C160" s="6"/>
      <c r="D160" s="1"/>
      <c r="E160" s="7"/>
      <c r="F160" s="8"/>
      <c r="G160" s="3" t="str" cm="1">
        <f t="array" ref="G160">IF(ISBLANK(F160), "", IFERROR(_xlfn.IFS(LEFT(F160,1)="+", (VALUE(MID(F160,2,LEN(F160)))+100)/100, VALUE(F160)&gt;0, (F160+100)/100, VALUE(F160)&lt;0, (ABS(F160)+100)/ABS(F160), F160=0, 0), ""))</f>
        <v/>
      </c>
      <c r="H160" s="1"/>
      <c r="I160" s="4" t="str">
        <f>IF(Bet_Log[[#This Row],[Result ]]="", "", IF(Bet_Log[[#This Row],[Result ]]="Win", Bet_Log[[#This Row],[Stake]]*Bet_Log[[#This Row],[Decimal]]-Bet_Log[[#This Row],[Stake]], IF(Bet_Log[[#This Row],[Result ]]="Loss", -Bet_Log[[#This Row],[Stake]], IF(Bet_Log[[#This Row],[Result ]]="Push", 0, ""))))</f>
        <v/>
      </c>
      <c r="J160" s="2" t="str">
        <f>IF(Bet_Log[[#This Row],[Return]]="", "", J159 + Bet_Log[[#This Row],[Return]])</f>
        <v/>
      </c>
      <c r="K160" s="9"/>
    </row>
    <row r="161" spans="1:11" x14ac:dyDescent="0.2">
      <c r="A161" s="27"/>
      <c r="B161" s="1"/>
      <c r="C161" s="6"/>
      <c r="D161" s="1"/>
      <c r="E161" s="7"/>
      <c r="F161" s="8"/>
      <c r="G161" s="3" t="str" cm="1">
        <f t="array" ref="G161">IF(ISBLANK(F161), "", IFERROR(_xlfn.IFS(LEFT(F161,1)="+", (VALUE(MID(F161,2,LEN(F161)))+100)/100, VALUE(F161)&gt;0, (F161+100)/100, VALUE(F161)&lt;0, (ABS(F161)+100)/ABS(F161), F161=0, 0), ""))</f>
        <v/>
      </c>
      <c r="H161" s="1"/>
      <c r="I161" s="4" t="str">
        <f>IF(Bet_Log[[#This Row],[Result ]]="", "", IF(Bet_Log[[#This Row],[Result ]]="Win", Bet_Log[[#This Row],[Stake]]*Bet_Log[[#This Row],[Decimal]]-Bet_Log[[#This Row],[Stake]], IF(Bet_Log[[#This Row],[Result ]]="Loss", -Bet_Log[[#This Row],[Stake]], IF(Bet_Log[[#This Row],[Result ]]="Push", 0, ""))))</f>
        <v/>
      </c>
      <c r="J161" s="2" t="str">
        <f>IF(Bet_Log[[#This Row],[Return]]="", "", J160 + Bet_Log[[#This Row],[Return]])</f>
        <v/>
      </c>
      <c r="K161" s="9"/>
    </row>
    <row r="162" spans="1:11" x14ac:dyDescent="0.2">
      <c r="A162" s="27"/>
      <c r="B162" s="1"/>
      <c r="C162" s="6"/>
      <c r="D162" s="1"/>
      <c r="E162" s="7"/>
      <c r="F162" s="8"/>
      <c r="G162" s="3" t="str" cm="1">
        <f t="array" ref="G162">IF(ISBLANK(F162), "", IFERROR(_xlfn.IFS(LEFT(F162,1)="+", (VALUE(MID(F162,2,LEN(F162)))+100)/100, VALUE(F162)&gt;0, (F162+100)/100, VALUE(F162)&lt;0, (ABS(F162)+100)/ABS(F162), F162=0, 0), ""))</f>
        <v/>
      </c>
      <c r="H162" s="1"/>
      <c r="I162" s="4" t="str">
        <f>IF(Bet_Log[[#This Row],[Result ]]="", "", IF(Bet_Log[[#This Row],[Result ]]="Win", Bet_Log[[#This Row],[Stake]]*Bet_Log[[#This Row],[Decimal]]-Bet_Log[[#This Row],[Stake]], IF(Bet_Log[[#This Row],[Result ]]="Loss", -Bet_Log[[#This Row],[Stake]], IF(Bet_Log[[#This Row],[Result ]]="Push", 0, ""))))</f>
        <v/>
      </c>
      <c r="J162" s="2" t="str">
        <f>IF(Bet_Log[[#This Row],[Return]]="", "", J161 + Bet_Log[[#This Row],[Return]])</f>
        <v/>
      </c>
      <c r="K162" s="9"/>
    </row>
    <row r="163" spans="1:11" x14ac:dyDescent="0.2">
      <c r="A163" s="27"/>
      <c r="B163" s="1"/>
      <c r="C163" s="6"/>
      <c r="D163" s="1"/>
      <c r="E163" s="7"/>
      <c r="F163" s="8"/>
      <c r="G163" s="3" t="str" cm="1">
        <f t="array" ref="G163">IF(ISBLANK(F163), "", IFERROR(_xlfn.IFS(LEFT(F163,1)="+", (VALUE(MID(F163,2,LEN(F163)))+100)/100, VALUE(F163)&gt;0, (F163+100)/100, VALUE(F163)&lt;0, (ABS(F163)+100)/ABS(F163), F163=0, 0), ""))</f>
        <v/>
      </c>
      <c r="H163" s="1"/>
      <c r="I163" s="4" t="str">
        <f>IF(Bet_Log[[#This Row],[Result ]]="", "", IF(Bet_Log[[#This Row],[Result ]]="Win", Bet_Log[[#This Row],[Stake]]*Bet_Log[[#This Row],[Decimal]]-Bet_Log[[#This Row],[Stake]], IF(Bet_Log[[#This Row],[Result ]]="Loss", -Bet_Log[[#This Row],[Stake]], IF(Bet_Log[[#This Row],[Result ]]="Push", 0, ""))))</f>
        <v/>
      </c>
      <c r="J163" s="2" t="str">
        <f>IF(Bet_Log[[#This Row],[Return]]="", "", J162 + Bet_Log[[#This Row],[Return]])</f>
        <v/>
      </c>
      <c r="K163" s="9"/>
    </row>
    <row r="164" spans="1:11" x14ac:dyDescent="0.2">
      <c r="A164" s="27"/>
      <c r="B164" s="1"/>
      <c r="C164" s="6"/>
      <c r="D164" s="1"/>
      <c r="E164" s="7"/>
      <c r="F164" s="8"/>
      <c r="G164" s="3" t="str" cm="1">
        <f t="array" ref="G164">IF(ISBLANK(F164), "", IFERROR(_xlfn.IFS(LEFT(F164,1)="+", (VALUE(MID(F164,2,LEN(F164)))+100)/100, VALUE(F164)&gt;0, (F164+100)/100, VALUE(F164)&lt;0, (ABS(F164)+100)/ABS(F164), F164=0, 0), ""))</f>
        <v/>
      </c>
      <c r="H164" s="1"/>
      <c r="I164" s="4" t="str">
        <f>IF(Bet_Log[[#This Row],[Result ]]="", "", IF(Bet_Log[[#This Row],[Result ]]="Win", Bet_Log[[#This Row],[Stake]]*Bet_Log[[#This Row],[Decimal]]-Bet_Log[[#This Row],[Stake]], IF(Bet_Log[[#This Row],[Result ]]="Loss", -Bet_Log[[#This Row],[Stake]], IF(Bet_Log[[#This Row],[Result ]]="Push", 0, ""))))</f>
        <v/>
      </c>
      <c r="J164" s="2" t="str">
        <f>IF(Bet_Log[[#This Row],[Return]]="", "", J163 + Bet_Log[[#This Row],[Return]])</f>
        <v/>
      </c>
      <c r="K164" s="9"/>
    </row>
    <row r="165" spans="1:11" x14ac:dyDescent="0.2">
      <c r="A165" s="27"/>
      <c r="B165" s="1"/>
      <c r="C165" s="6"/>
      <c r="D165" s="1"/>
      <c r="E165" s="7"/>
      <c r="F165" s="8"/>
      <c r="G165" s="3" t="str" cm="1">
        <f t="array" ref="G165">IF(ISBLANK(F165), "", IFERROR(_xlfn.IFS(LEFT(F165,1)="+", (VALUE(MID(F165,2,LEN(F165)))+100)/100, VALUE(F165)&gt;0, (F165+100)/100, VALUE(F165)&lt;0, (ABS(F165)+100)/ABS(F165), F165=0, 0), ""))</f>
        <v/>
      </c>
      <c r="H165" s="1"/>
      <c r="I165" s="4" t="str">
        <f>IF(Bet_Log[[#This Row],[Result ]]="", "", IF(Bet_Log[[#This Row],[Result ]]="Win", Bet_Log[[#This Row],[Stake]]*Bet_Log[[#This Row],[Decimal]]-Bet_Log[[#This Row],[Stake]], IF(Bet_Log[[#This Row],[Result ]]="Loss", -Bet_Log[[#This Row],[Stake]], IF(Bet_Log[[#This Row],[Result ]]="Push", 0, ""))))</f>
        <v/>
      </c>
      <c r="J165" s="2" t="str">
        <f>IF(Bet_Log[[#This Row],[Return]]="", "", J164 + Bet_Log[[#This Row],[Return]])</f>
        <v/>
      </c>
      <c r="K165" s="9"/>
    </row>
    <row r="166" spans="1:11" x14ac:dyDescent="0.2">
      <c r="A166" s="27"/>
      <c r="B166" s="1"/>
      <c r="C166" s="6"/>
      <c r="D166" s="1"/>
      <c r="E166" s="7"/>
      <c r="F166" s="8"/>
      <c r="G166" s="3" t="str" cm="1">
        <f t="array" ref="G166">IF(ISBLANK(F166), "", IFERROR(_xlfn.IFS(LEFT(F166,1)="+", (VALUE(MID(F166,2,LEN(F166)))+100)/100, VALUE(F166)&gt;0, (F166+100)/100, VALUE(F166)&lt;0, (ABS(F166)+100)/ABS(F166), F166=0, 0), ""))</f>
        <v/>
      </c>
      <c r="H166" s="1"/>
      <c r="I166" s="4" t="str">
        <f>IF(Bet_Log[[#This Row],[Result ]]="", "", IF(Bet_Log[[#This Row],[Result ]]="Win", Bet_Log[[#This Row],[Stake]]*Bet_Log[[#This Row],[Decimal]]-Bet_Log[[#This Row],[Stake]], IF(Bet_Log[[#This Row],[Result ]]="Loss", -Bet_Log[[#This Row],[Stake]], IF(Bet_Log[[#This Row],[Result ]]="Push", 0, ""))))</f>
        <v/>
      </c>
      <c r="J166" s="2" t="str">
        <f>IF(Bet_Log[[#This Row],[Return]]="", "", J165 + Bet_Log[[#This Row],[Return]])</f>
        <v/>
      </c>
      <c r="K166" s="9"/>
    </row>
    <row r="167" spans="1:11" x14ac:dyDescent="0.2">
      <c r="A167" s="27"/>
      <c r="B167" s="1"/>
      <c r="C167" s="6"/>
      <c r="D167" s="1"/>
      <c r="E167" s="7"/>
      <c r="F167" s="8"/>
      <c r="G167" s="3" t="str" cm="1">
        <f t="array" ref="G167">IF(ISBLANK(F167), "", IFERROR(_xlfn.IFS(LEFT(F167,1)="+", (VALUE(MID(F167,2,LEN(F167)))+100)/100, VALUE(F167)&gt;0, (F167+100)/100, VALUE(F167)&lt;0, (ABS(F167)+100)/ABS(F167), F167=0, 0), ""))</f>
        <v/>
      </c>
      <c r="H167" s="1"/>
      <c r="I167" s="4" t="str">
        <f>IF(Bet_Log[[#This Row],[Result ]]="", "", IF(Bet_Log[[#This Row],[Result ]]="Win", Bet_Log[[#This Row],[Stake]]*Bet_Log[[#This Row],[Decimal]]-Bet_Log[[#This Row],[Stake]], IF(Bet_Log[[#This Row],[Result ]]="Loss", -Bet_Log[[#This Row],[Stake]], IF(Bet_Log[[#This Row],[Result ]]="Push", 0, ""))))</f>
        <v/>
      </c>
      <c r="J167" s="2" t="str">
        <f>IF(Bet_Log[[#This Row],[Return]]="", "", J166 + Bet_Log[[#This Row],[Return]])</f>
        <v/>
      </c>
      <c r="K167" s="9"/>
    </row>
    <row r="168" spans="1:11" x14ac:dyDescent="0.2">
      <c r="A168" s="27"/>
      <c r="B168" s="1"/>
      <c r="C168" s="6"/>
      <c r="D168" s="1"/>
      <c r="E168" s="7"/>
      <c r="F168" s="8"/>
      <c r="G168" s="3" t="str" cm="1">
        <f t="array" ref="G168">IF(ISBLANK(F168), "", IFERROR(_xlfn.IFS(LEFT(F168,1)="+", (VALUE(MID(F168,2,LEN(F168)))+100)/100, VALUE(F168)&gt;0, (F168+100)/100, VALUE(F168)&lt;0, (ABS(F168)+100)/ABS(F168), F168=0, 0), ""))</f>
        <v/>
      </c>
      <c r="H168" s="1"/>
      <c r="I168" s="4" t="str">
        <f>IF(Bet_Log[[#This Row],[Result ]]="", "", IF(Bet_Log[[#This Row],[Result ]]="Win", Bet_Log[[#This Row],[Stake]]*Bet_Log[[#This Row],[Decimal]]-Bet_Log[[#This Row],[Stake]], IF(Bet_Log[[#This Row],[Result ]]="Loss", -Bet_Log[[#This Row],[Stake]], IF(Bet_Log[[#This Row],[Result ]]="Push", 0, ""))))</f>
        <v/>
      </c>
      <c r="J168" s="2" t="str">
        <f>IF(Bet_Log[[#This Row],[Return]]="", "", J167 + Bet_Log[[#This Row],[Return]])</f>
        <v/>
      </c>
      <c r="K168" s="9"/>
    </row>
    <row r="169" spans="1:11" x14ac:dyDescent="0.2">
      <c r="A169" s="27"/>
      <c r="B169" s="1"/>
      <c r="C169" s="6"/>
      <c r="D169" s="1"/>
      <c r="E169" s="7"/>
      <c r="F169" s="8"/>
      <c r="G169" s="3" t="str" cm="1">
        <f t="array" ref="G169">IF(ISBLANK(F169), "", IFERROR(_xlfn.IFS(LEFT(F169,1)="+", (VALUE(MID(F169,2,LEN(F169)))+100)/100, VALUE(F169)&gt;0, (F169+100)/100, VALUE(F169)&lt;0, (ABS(F169)+100)/ABS(F169), F169=0, 0), ""))</f>
        <v/>
      </c>
      <c r="H169" s="1"/>
      <c r="I169" s="4" t="str">
        <f>IF(Bet_Log[[#This Row],[Result ]]="", "", IF(Bet_Log[[#This Row],[Result ]]="Win", Bet_Log[[#This Row],[Stake]]*Bet_Log[[#This Row],[Decimal]]-Bet_Log[[#This Row],[Stake]], IF(Bet_Log[[#This Row],[Result ]]="Loss", -Bet_Log[[#This Row],[Stake]], IF(Bet_Log[[#This Row],[Result ]]="Push", 0, ""))))</f>
        <v/>
      </c>
      <c r="J169" s="2" t="str">
        <f>IF(Bet_Log[[#This Row],[Return]]="", "", J168 + Bet_Log[[#This Row],[Return]])</f>
        <v/>
      </c>
      <c r="K169" s="9"/>
    </row>
    <row r="170" spans="1:11" x14ac:dyDescent="0.2">
      <c r="A170" s="27"/>
      <c r="B170" s="1"/>
      <c r="C170" s="6"/>
      <c r="D170" s="1"/>
      <c r="E170" s="7"/>
      <c r="F170" s="8"/>
      <c r="G170" s="3" t="str" cm="1">
        <f t="array" ref="G170">IF(ISBLANK(F170), "", IFERROR(_xlfn.IFS(LEFT(F170,1)="+", (VALUE(MID(F170,2,LEN(F170)))+100)/100, VALUE(F170)&gt;0, (F170+100)/100, VALUE(F170)&lt;0, (ABS(F170)+100)/ABS(F170), F170=0, 0), ""))</f>
        <v/>
      </c>
      <c r="H170" s="1"/>
      <c r="I170" s="4" t="str">
        <f>IF(Bet_Log[[#This Row],[Result ]]="", "", IF(Bet_Log[[#This Row],[Result ]]="Win", Bet_Log[[#This Row],[Stake]]*Bet_Log[[#This Row],[Decimal]]-Bet_Log[[#This Row],[Stake]], IF(Bet_Log[[#This Row],[Result ]]="Loss", -Bet_Log[[#This Row],[Stake]], IF(Bet_Log[[#This Row],[Result ]]="Push", 0, ""))))</f>
        <v/>
      </c>
      <c r="J170" s="2" t="str">
        <f>IF(Bet_Log[[#This Row],[Return]]="", "", J169 + Bet_Log[[#This Row],[Return]])</f>
        <v/>
      </c>
      <c r="K170" s="9"/>
    </row>
    <row r="171" spans="1:11" x14ac:dyDescent="0.2">
      <c r="A171" s="27"/>
      <c r="B171" s="1"/>
      <c r="C171" s="6"/>
      <c r="D171" s="1"/>
      <c r="E171" s="7"/>
      <c r="F171" s="8"/>
      <c r="G171" s="3" t="str" cm="1">
        <f t="array" ref="G171">IF(ISBLANK(F171), "", IFERROR(_xlfn.IFS(LEFT(F171,1)="+", (VALUE(MID(F171,2,LEN(F171)))+100)/100, VALUE(F171)&gt;0, (F171+100)/100, VALUE(F171)&lt;0, (ABS(F171)+100)/ABS(F171), F171=0, 0), ""))</f>
        <v/>
      </c>
      <c r="H171" s="1"/>
      <c r="I171" s="4" t="str">
        <f>IF(Bet_Log[[#This Row],[Result ]]="", "", IF(Bet_Log[[#This Row],[Result ]]="Win", Bet_Log[[#This Row],[Stake]]*Bet_Log[[#This Row],[Decimal]]-Bet_Log[[#This Row],[Stake]], IF(Bet_Log[[#This Row],[Result ]]="Loss", -Bet_Log[[#This Row],[Stake]], IF(Bet_Log[[#This Row],[Result ]]="Push", 0, ""))))</f>
        <v/>
      </c>
      <c r="J171" s="2" t="str">
        <f>IF(Bet_Log[[#This Row],[Return]]="", "", J170 + Bet_Log[[#This Row],[Return]])</f>
        <v/>
      </c>
      <c r="K171" s="9"/>
    </row>
    <row r="172" spans="1:11" x14ac:dyDescent="0.2">
      <c r="A172" s="27"/>
      <c r="B172" s="1"/>
      <c r="C172" s="6"/>
      <c r="D172" s="1"/>
      <c r="E172" s="7"/>
      <c r="F172" s="8"/>
      <c r="G172" s="3" t="str" cm="1">
        <f t="array" ref="G172">IF(ISBLANK(F172), "", IFERROR(_xlfn.IFS(LEFT(F172,1)="+", (VALUE(MID(F172,2,LEN(F172)))+100)/100, VALUE(F172)&gt;0, (F172+100)/100, VALUE(F172)&lt;0, (ABS(F172)+100)/ABS(F172), F172=0, 0), ""))</f>
        <v/>
      </c>
      <c r="H172" s="1"/>
      <c r="I172" s="4" t="str">
        <f>IF(Bet_Log[[#This Row],[Result ]]="", "", IF(Bet_Log[[#This Row],[Result ]]="Win", Bet_Log[[#This Row],[Stake]]*Bet_Log[[#This Row],[Decimal]]-Bet_Log[[#This Row],[Stake]], IF(Bet_Log[[#This Row],[Result ]]="Loss", -Bet_Log[[#This Row],[Stake]], IF(Bet_Log[[#This Row],[Result ]]="Push", 0, ""))))</f>
        <v/>
      </c>
      <c r="J172" s="2" t="str">
        <f>IF(Bet_Log[[#This Row],[Return]]="", "", J171 + Bet_Log[[#This Row],[Return]])</f>
        <v/>
      </c>
      <c r="K172" s="9"/>
    </row>
    <row r="173" spans="1:11" x14ac:dyDescent="0.2">
      <c r="A173" s="27"/>
      <c r="B173" s="1"/>
      <c r="C173" s="6"/>
      <c r="D173" s="1"/>
      <c r="E173" s="7"/>
      <c r="F173" s="8"/>
      <c r="G173" s="3" t="str" cm="1">
        <f t="array" ref="G173">IF(ISBLANK(F173), "", IFERROR(_xlfn.IFS(LEFT(F173,1)="+", (VALUE(MID(F173,2,LEN(F173)))+100)/100, VALUE(F173)&gt;0, (F173+100)/100, VALUE(F173)&lt;0, (ABS(F173)+100)/ABS(F173), F173=0, 0), ""))</f>
        <v/>
      </c>
      <c r="H173" s="1"/>
      <c r="I173" s="4" t="str">
        <f>IF(Bet_Log[[#This Row],[Result ]]="", "", IF(Bet_Log[[#This Row],[Result ]]="Win", Bet_Log[[#This Row],[Stake]]*Bet_Log[[#This Row],[Decimal]]-Bet_Log[[#This Row],[Stake]], IF(Bet_Log[[#This Row],[Result ]]="Loss", -Bet_Log[[#This Row],[Stake]], IF(Bet_Log[[#This Row],[Result ]]="Push", 0, ""))))</f>
        <v/>
      </c>
      <c r="J173" s="2" t="str">
        <f>IF(Bet_Log[[#This Row],[Return]]="", "", J172 + Bet_Log[[#This Row],[Return]])</f>
        <v/>
      </c>
      <c r="K173" s="9"/>
    </row>
    <row r="174" spans="1:11" x14ac:dyDescent="0.2">
      <c r="A174" s="27"/>
      <c r="B174" s="1"/>
      <c r="C174" s="6"/>
      <c r="D174" s="1"/>
      <c r="E174" s="7"/>
      <c r="F174" s="8"/>
      <c r="G174" s="3" t="str" cm="1">
        <f t="array" ref="G174">IF(ISBLANK(F174), "", IFERROR(_xlfn.IFS(LEFT(F174,1)="+", (VALUE(MID(F174,2,LEN(F174)))+100)/100, VALUE(F174)&gt;0, (F174+100)/100, VALUE(F174)&lt;0, (ABS(F174)+100)/ABS(F174), F174=0, 0), ""))</f>
        <v/>
      </c>
      <c r="H174" s="1"/>
      <c r="I174" s="4" t="str">
        <f>IF(Bet_Log[[#This Row],[Result ]]="", "", IF(Bet_Log[[#This Row],[Result ]]="Win", Bet_Log[[#This Row],[Stake]]*Bet_Log[[#This Row],[Decimal]]-Bet_Log[[#This Row],[Stake]], IF(Bet_Log[[#This Row],[Result ]]="Loss", -Bet_Log[[#This Row],[Stake]], IF(Bet_Log[[#This Row],[Result ]]="Push", 0, ""))))</f>
        <v/>
      </c>
      <c r="J174" s="2" t="str">
        <f>IF(Bet_Log[[#This Row],[Return]]="", "", J173 + Bet_Log[[#This Row],[Return]])</f>
        <v/>
      </c>
      <c r="K174" s="9"/>
    </row>
    <row r="175" spans="1:11" x14ac:dyDescent="0.2">
      <c r="A175" s="27"/>
      <c r="B175" s="1"/>
      <c r="C175" s="6"/>
      <c r="D175" s="1"/>
      <c r="E175" s="7"/>
      <c r="F175" s="8"/>
      <c r="G175" s="3" t="str" cm="1">
        <f t="array" ref="G175">IF(ISBLANK(F175), "", IFERROR(_xlfn.IFS(LEFT(F175,1)="+", (VALUE(MID(F175,2,LEN(F175)))+100)/100, VALUE(F175)&gt;0, (F175+100)/100, VALUE(F175)&lt;0, (ABS(F175)+100)/ABS(F175), F175=0, 0), ""))</f>
        <v/>
      </c>
      <c r="H175" s="1"/>
      <c r="I175" s="4" t="str">
        <f>IF(Bet_Log[[#This Row],[Result ]]="", "", IF(Bet_Log[[#This Row],[Result ]]="Win", Bet_Log[[#This Row],[Stake]]*Bet_Log[[#This Row],[Decimal]]-Bet_Log[[#This Row],[Stake]], IF(Bet_Log[[#This Row],[Result ]]="Loss", -Bet_Log[[#This Row],[Stake]], IF(Bet_Log[[#This Row],[Result ]]="Push", 0, ""))))</f>
        <v/>
      </c>
      <c r="J175" s="2" t="str">
        <f>IF(Bet_Log[[#This Row],[Return]]="", "", J174 + Bet_Log[[#This Row],[Return]])</f>
        <v/>
      </c>
      <c r="K175" s="9"/>
    </row>
    <row r="176" spans="1:11" x14ac:dyDescent="0.2">
      <c r="A176" s="27"/>
      <c r="B176" s="1"/>
      <c r="C176" s="6"/>
      <c r="D176" s="1"/>
      <c r="E176" s="7"/>
      <c r="F176" s="8"/>
      <c r="G176" s="3" t="str" cm="1">
        <f t="array" ref="G176">IF(ISBLANK(F176), "", IFERROR(_xlfn.IFS(LEFT(F176,1)="+", (VALUE(MID(F176,2,LEN(F176)))+100)/100, VALUE(F176)&gt;0, (F176+100)/100, VALUE(F176)&lt;0, (ABS(F176)+100)/ABS(F176), F176=0, 0), ""))</f>
        <v/>
      </c>
      <c r="H176" s="1"/>
      <c r="I176" s="4" t="str">
        <f>IF(Bet_Log[[#This Row],[Result ]]="", "", IF(Bet_Log[[#This Row],[Result ]]="Win", Bet_Log[[#This Row],[Stake]]*Bet_Log[[#This Row],[Decimal]]-Bet_Log[[#This Row],[Stake]], IF(Bet_Log[[#This Row],[Result ]]="Loss", -Bet_Log[[#This Row],[Stake]], IF(Bet_Log[[#This Row],[Result ]]="Push", 0, ""))))</f>
        <v/>
      </c>
      <c r="J176" s="2" t="str">
        <f>IF(Bet_Log[[#This Row],[Return]]="", "", J175 + Bet_Log[[#This Row],[Return]])</f>
        <v/>
      </c>
      <c r="K176" s="9"/>
    </row>
    <row r="177" spans="1:11" x14ac:dyDescent="0.2">
      <c r="A177" s="27"/>
      <c r="B177" s="1"/>
      <c r="C177" s="6"/>
      <c r="D177" s="1"/>
      <c r="E177" s="7"/>
      <c r="F177" s="8"/>
      <c r="G177" s="3" t="str" cm="1">
        <f t="array" ref="G177">IF(ISBLANK(F177), "", IFERROR(_xlfn.IFS(LEFT(F177,1)="+", (VALUE(MID(F177,2,LEN(F177)))+100)/100, VALUE(F177)&gt;0, (F177+100)/100, VALUE(F177)&lt;0, (ABS(F177)+100)/ABS(F177), F177=0, 0), ""))</f>
        <v/>
      </c>
      <c r="H177" s="1"/>
      <c r="I177" s="4" t="str">
        <f>IF(Bet_Log[[#This Row],[Result ]]="", "", IF(Bet_Log[[#This Row],[Result ]]="Win", Bet_Log[[#This Row],[Stake]]*Bet_Log[[#This Row],[Decimal]]-Bet_Log[[#This Row],[Stake]], IF(Bet_Log[[#This Row],[Result ]]="Loss", -Bet_Log[[#This Row],[Stake]], IF(Bet_Log[[#This Row],[Result ]]="Push", 0, ""))))</f>
        <v/>
      </c>
      <c r="J177" s="2" t="str">
        <f>IF(Bet_Log[[#This Row],[Return]]="", "", J176 + Bet_Log[[#This Row],[Return]])</f>
        <v/>
      </c>
      <c r="K177" s="9"/>
    </row>
    <row r="178" spans="1:11" x14ac:dyDescent="0.2">
      <c r="A178" s="27"/>
      <c r="B178" s="1"/>
      <c r="C178" s="6"/>
      <c r="D178" s="1"/>
      <c r="E178" s="7"/>
      <c r="F178" s="8"/>
      <c r="G178" s="3" t="str" cm="1">
        <f t="array" ref="G178">IF(ISBLANK(F178), "", IFERROR(_xlfn.IFS(LEFT(F178,1)="+", (VALUE(MID(F178,2,LEN(F178)))+100)/100, VALUE(F178)&gt;0, (F178+100)/100, VALUE(F178)&lt;0, (ABS(F178)+100)/ABS(F178), F178=0, 0), ""))</f>
        <v/>
      </c>
      <c r="H178" s="1"/>
      <c r="I178" s="4" t="str">
        <f>IF(Bet_Log[[#This Row],[Result ]]="", "", IF(Bet_Log[[#This Row],[Result ]]="Win", Bet_Log[[#This Row],[Stake]]*Bet_Log[[#This Row],[Decimal]]-Bet_Log[[#This Row],[Stake]], IF(Bet_Log[[#This Row],[Result ]]="Loss", -Bet_Log[[#This Row],[Stake]], IF(Bet_Log[[#This Row],[Result ]]="Push", 0, ""))))</f>
        <v/>
      </c>
      <c r="J178" s="2" t="str">
        <f>IF(Bet_Log[[#This Row],[Return]]="", "", J177 + Bet_Log[[#This Row],[Return]])</f>
        <v/>
      </c>
      <c r="K178" s="9"/>
    </row>
    <row r="179" spans="1:11" x14ac:dyDescent="0.2">
      <c r="A179" s="27"/>
      <c r="B179" s="1"/>
      <c r="C179" s="6"/>
      <c r="D179" s="1"/>
      <c r="E179" s="7"/>
      <c r="F179" s="8"/>
      <c r="G179" s="3" t="str" cm="1">
        <f t="array" ref="G179">IF(ISBLANK(F179), "", IFERROR(_xlfn.IFS(LEFT(F179,1)="+", (VALUE(MID(F179,2,LEN(F179)))+100)/100, VALUE(F179)&gt;0, (F179+100)/100, VALUE(F179)&lt;0, (ABS(F179)+100)/ABS(F179), F179=0, 0), ""))</f>
        <v/>
      </c>
      <c r="H179" s="1"/>
      <c r="I179" s="4" t="str">
        <f>IF(Bet_Log[[#This Row],[Result ]]="", "", IF(Bet_Log[[#This Row],[Result ]]="Win", Bet_Log[[#This Row],[Stake]]*Bet_Log[[#This Row],[Decimal]]-Bet_Log[[#This Row],[Stake]], IF(Bet_Log[[#This Row],[Result ]]="Loss", -Bet_Log[[#This Row],[Stake]], IF(Bet_Log[[#This Row],[Result ]]="Push", 0, ""))))</f>
        <v/>
      </c>
      <c r="J179" s="2" t="str">
        <f>IF(Bet_Log[[#This Row],[Return]]="", "", J178 + Bet_Log[[#This Row],[Return]])</f>
        <v/>
      </c>
      <c r="K179" s="9"/>
    </row>
    <row r="180" spans="1:11" x14ac:dyDescent="0.2">
      <c r="A180" s="27"/>
      <c r="B180" s="1"/>
      <c r="C180" s="6"/>
      <c r="D180" s="1"/>
      <c r="E180" s="7"/>
      <c r="F180" s="8"/>
      <c r="G180" s="3" t="str" cm="1">
        <f t="array" ref="G180">IF(ISBLANK(F180), "", IFERROR(_xlfn.IFS(LEFT(F180,1)="+", (VALUE(MID(F180,2,LEN(F180)))+100)/100, VALUE(F180)&gt;0, (F180+100)/100, VALUE(F180)&lt;0, (ABS(F180)+100)/ABS(F180), F180=0, 0), ""))</f>
        <v/>
      </c>
      <c r="H180" s="1"/>
      <c r="I180" s="4" t="str">
        <f>IF(Bet_Log[[#This Row],[Result ]]="", "", IF(Bet_Log[[#This Row],[Result ]]="Win", Bet_Log[[#This Row],[Stake]]*Bet_Log[[#This Row],[Decimal]]-Bet_Log[[#This Row],[Stake]], IF(Bet_Log[[#This Row],[Result ]]="Loss", -Bet_Log[[#This Row],[Stake]], IF(Bet_Log[[#This Row],[Result ]]="Push", 0, ""))))</f>
        <v/>
      </c>
      <c r="J180" s="2" t="str">
        <f>IF(Bet_Log[[#This Row],[Return]]="", "", J179 + Bet_Log[[#This Row],[Return]])</f>
        <v/>
      </c>
      <c r="K180" s="9"/>
    </row>
    <row r="181" spans="1:11" x14ac:dyDescent="0.2">
      <c r="A181" s="27"/>
      <c r="B181" s="1"/>
      <c r="C181" s="6"/>
      <c r="D181" s="1"/>
      <c r="E181" s="7"/>
      <c r="F181" s="8"/>
      <c r="G181" s="3" t="str" cm="1">
        <f t="array" ref="G181">IF(ISBLANK(F181), "", IFERROR(_xlfn.IFS(LEFT(F181,1)="+", (VALUE(MID(F181,2,LEN(F181)))+100)/100, VALUE(F181)&gt;0, (F181+100)/100, VALUE(F181)&lt;0, (ABS(F181)+100)/ABS(F181), F181=0, 0), ""))</f>
        <v/>
      </c>
      <c r="H181" s="1"/>
      <c r="I181" s="4" t="str">
        <f>IF(Bet_Log[[#This Row],[Result ]]="", "", IF(Bet_Log[[#This Row],[Result ]]="Win", Bet_Log[[#This Row],[Stake]]*Bet_Log[[#This Row],[Decimal]]-Bet_Log[[#This Row],[Stake]], IF(Bet_Log[[#This Row],[Result ]]="Loss", -Bet_Log[[#This Row],[Stake]], IF(Bet_Log[[#This Row],[Result ]]="Push", 0, ""))))</f>
        <v/>
      </c>
      <c r="J181" s="2" t="str">
        <f>IF(Bet_Log[[#This Row],[Return]]="", "", J180 + Bet_Log[[#This Row],[Return]])</f>
        <v/>
      </c>
      <c r="K181" s="9"/>
    </row>
    <row r="182" spans="1:11" x14ac:dyDescent="0.2">
      <c r="A182" s="27"/>
      <c r="B182" s="1"/>
      <c r="C182" s="6"/>
      <c r="D182" s="1"/>
      <c r="E182" s="7"/>
      <c r="F182" s="8"/>
      <c r="G182" s="3" t="str" cm="1">
        <f t="array" ref="G182">IF(ISBLANK(F182), "", IFERROR(_xlfn.IFS(LEFT(F182,1)="+", (VALUE(MID(F182,2,LEN(F182)))+100)/100, VALUE(F182)&gt;0, (F182+100)/100, VALUE(F182)&lt;0, (ABS(F182)+100)/ABS(F182), F182=0, 0), ""))</f>
        <v/>
      </c>
      <c r="H182" s="1"/>
      <c r="I182" s="4" t="str">
        <f>IF(Bet_Log[[#This Row],[Result ]]="", "", IF(Bet_Log[[#This Row],[Result ]]="Win", Bet_Log[[#This Row],[Stake]]*Bet_Log[[#This Row],[Decimal]]-Bet_Log[[#This Row],[Stake]], IF(Bet_Log[[#This Row],[Result ]]="Loss", -Bet_Log[[#This Row],[Stake]], IF(Bet_Log[[#This Row],[Result ]]="Push", 0, ""))))</f>
        <v/>
      </c>
      <c r="J182" s="2" t="str">
        <f>IF(Bet_Log[[#This Row],[Return]]="", "", J181 + Bet_Log[[#This Row],[Return]])</f>
        <v/>
      </c>
      <c r="K182" s="9"/>
    </row>
    <row r="183" spans="1:11" x14ac:dyDescent="0.2">
      <c r="A183" s="27"/>
      <c r="B183" s="1"/>
      <c r="C183" s="6"/>
      <c r="D183" s="1"/>
      <c r="E183" s="7"/>
      <c r="F183" s="8"/>
      <c r="G183" s="3" t="str" cm="1">
        <f t="array" ref="G183">IF(ISBLANK(F183), "", IFERROR(_xlfn.IFS(LEFT(F183,1)="+", (VALUE(MID(F183,2,LEN(F183)))+100)/100, VALUE(F183)&gt;0, (F183+100)/100, VALUE(F183)&lt;0, (ABS(F183)+100)/ABS(F183), F183=0, 0), ""))</f>
        <v/>
      </c>
      <c r="H183" s="1"/>
      <c r="I183" s="4" t="str">
        <f>IF(Bet_Log[[#This Row],[Result ]]="", "", IF(Bet_Log[[#This Row],[Result ]]="Win", Bet_Log[[#This Row],[Stake]]*Bet_Log[[#This Row],[Decimal]]-Bet_Log[[#This Row],[Stake]], IF(Bet_Log[[#This Row],[Result ]]="Loss", -Bet_Log[[#This Row],[Stake]], IF(Bet_Log[[#This Row],[Result ]]="Push", 0, ""))))</f>
        <v/>
      </c>
      <c r="J183" s="2" t="str">
        <f>IF(Bet_Log[[#This Row],[Return]]="", "", J182 + Bet_Log[[#This Row],[Return]])</f>
        <v/>
      </c>
      <c r="K183" s="9"/>
    </row>
    <row r="184" spans="1:11" x14ac:dyDescent="0.2">
      <c r="A184" s="27"/>
      <c r="B184" s="1"/>
      <c r="C184" s="6"/>
      <c r="D184" s="1"/>
      <c r="E184" s="7"/>
      <c r="F184" s="8"/>
      <c r="G184" s="3" t="str" cm="1">
        <f t="array" ref="G184">IF(ISBLANK(F184), "", IFERROR(_xlfn.IFS(LEFT(F184,1)="+", (VALUE(MID(F184,2,LEN(F184)))+100)/100, VALUE(F184)&gt;0, (F184+100)/100, VALUE(F184)&lt;0, (ABS(F184)+100)/ABS(F184), F184=0, 0), ""))</f>
        <v/>
      </c>
      <c r="H184" s="1"/>
      <c r="I184" s="4" t="str">
        <f>IF(Bet_Log[[#This Row],[Result ]]="", "", IF(Bet_Log[[#This Row],[Result ]]="Win", Bet_Log[[#This Row],[Stake]]*Bet_Log[[#This Row],[Decimal]]-Bet_Log[[#This Row],[Stake]], IF(Bet_Log[[#This Row],[Result ]]="Loss", -Bet_Log[[#This Row],[Stake]], IF(Bet_Log[[#This Row],[Result ]]="Push", 0, ""))))</f>
        <v/>
      </c>
      <c r="J184" s="2" t="str">
        <f>IF(Bet_Log[[#This Row],[Return]]="", "", J183 + Bet_Log[[#This Row],[Return]])</f>
        <v/>
      </c>
      <c r="K184" s="9"/>
    </row>
    <row r="185" spans="1:11" x14ac:dyDescent="0.2">
      <c r="A185" s="27"/>
      <c r="B185" s="1"/>
      <c r="C185" s="6"/>
      <c r="D185" s="1"/>
      <c r="E185" s="7"/>
      <c r="F185" s="8"/>
      <c r="G185" s="3" t="str" cm="1">
        <f t="array" ref="G185">IF(ISBLANK(F185), "", IFERROR(_xlfn.IFS(LEFT(F185,1)="+", (VALUE(MID(F185,2,LEN(F185)))+100)/100, VALUE(F185)&gt;0, (F185+100)/100, VALUE(F185)&lt;0, (ABS(F185)+100)/ABS(F185), F185=0, 0), ""))</f>
        <v/>
      </c>
      <c r="H185" s="1"/>
      <c r="I185" s="4" t="str">
        <f>IF(Bet_Log[[#This Row],[Result ]]="", "", IF(Bet_Log[[#This Row],[Result ]]="Win", Bet_Log[[#This Row],[Stake]]*Bet_Log[[#This Row],[Decimal]]-Bet_Log[[#This Row],[Stake]], IF(Bet_Log[[#This Row],[Result ]]="Loss", -Bet_Log[[#This Row],[Stake]], IF(Bet_Log[[#This Row],[Result ]]="Push", 0, ""))))</f>
        <v/>
      </c>
      <c r="J185" s="2" t="str">
        <f>IF(Bet_Log[[#This Row],[Return]]="", "", J184 + Bet_Log[[#This Row],[Return]])</f>
        <v/>
      </c>
      <c r="K185" s="9"/>
    </row>
    <row r="186" spans="1:11" x14ac:dyDescent="0.2">
      <c r="A186" s="27"/>
      <c r="B186" s="1"/>
      <c r="C186" s="6"/>
      <c r="D186" s="1"/>
      <c r="E186" s="7"/>
      <c r="F186" s="8"/>
      <c r="G186" s="3" t="str" cm="1">
        <f t="array" ref="G186">IF(ISBLANK(F186), "", IFERROR(_xlfn.IFS(LEFT(F186,1)="+", (VALUE(MID(F186,2,LEN(F186)))+100)/100, VALUE(F186)&gt;0, (F186+100)/100, VALUE(F186)&lt;0, (ABS(F186)+100)/ABS(F186), F186=0, 0), ""))</f>
        <v/>
      </c>
      <c r="H186" s="1"/>
      <c r="I186" s="4" t="str">
        <f>IF(Bet_Log[[#This Row],[Result ]]="", "", IF(Bet_Log[[#This Row],[Result ]]="Win", Bet_Log[[#This Row],[Stake]]*Bet_Log[[#This Row],[Decimal]]-Bet_Log[[#This Row],[Stake]], IF(Bet_Log[[#This Row],[Result ]]="Loss", -Bet_Log[[#This Row],[Stake]], IF(Bet_Log[[#This Row],[Result ]]="Push", 0, ""))))</f>
        <v/>
      </c>
      <c r="J186" s="2" t="str">
        <f>IF(Bet_Log[[#This Row],[Return]]="", "", J185 + Bet_Log[[#This Row],[Return]])</f>
        <v/>
      </c>
      <c r="K186" s="9"/>
    </row>
    <row r="187" spans="1:11" x14ac:dyDescent="0.2">
      <c r="A187" s="27"/>
      <c r="B187" s="1"/>
      <c r="C187" s="6"/>
      <c r="D187" s="1"/>
      <c r="E187" s="7"/>
      <c r="F187" s="8"/>
      <c r="G187" s="3" t="str" cm="1">
        <f t="array" ref="G187">IF(ISBLANK(F187), "", IFERROR(_xlfn.IFS(LEFT(F187,1)="+", (VALUE(MID(F187,2,LEN(F187)))+100)/100, VALUE(F187)&gt;0, (F187+100)/100, VALUE(F187)&lt;0, (ABS(F187)+100)/ABS(F187), F187=0, 0), ""))</f>
        <v/>
      </c>
      <c r="H187" s="1"/>
      <c r="I187" s="4" t="str">
        <f>IF(Bet_Log[[#This Row],[Result ]]="", "", IF(Bet_Log[[#This Row],[Result ]]="Win", Bet_Log[[#This Row],[Stake]]*Bet_Log[[#This Row],[Decimal]]-Bet_Log[[#This Row],[Stake]], IF(Bet_Log[[#This Row],[Result ]]="Loss", -Bet_Log[[#This Row],[Stake]], IF(Bet_Log[[#This Row],[Result ]]="Push", 0, ""))))</f>
        <v/>
      </c>
      <c r="J187" s="2" t="str">
        <f>IF(Bet_Log[[#This Row],[Return]]="", "", J186 + Bet_Log[[#This Row],[Return]])</f>
        <v/>
      </c>
      <c r="K187" s="9"/>
    </row>
    <row r="188" spans="1:11" x14ac:dyDescent="0.2">
      <c r="A188" s="27"/>
      <c r="B188" s="1"/>
      <c r="C188" s="6"/>
      <c r="D188" s="1"/>
      <c r="E188" s="7"/>
      <c r="F188" s="8"/>
      <c r="G188" s="3" t="str" cm="1">
        <f t="array" ref="G188">IF(ISBLANK(F188), "", IFERROR(_xlfn.IFS(LEFT(F188,1)="+", (VALUE(MID(F188,2,LEN(F188)))+100)/100, VALUE(F188)&gt;0, (F188+100)/100, VALUE(F188)&lt;0, (ABS(F188)+100)/ABS(F188), F188=0, 0), ""))</f>
        <v/>
      </c>
      <c r="H188" s="1"/>
      <c r="I188" s="4" t="str">
        <f>IF(Bet_Log[[#This Row],[Result ]]="", "", IF(Bet_Log[[#This Row],[Result ]]="Win", Bet_Log[[#This Row],[Stake]]*Bet_Log[[#This Row],[Decimal]]-Bet_Log[[#This Row],[Stake]], IF(Bet_Log[[#This Row],[Result ]]="Loss", -Bet_Log[[#This Row],[Stake]], IF(Bet_Log[[#This Row],[Result ]]="Push", 0, ""))))</f>
        <v/>
      </c>
      <c r="J188" s="2" t="str">
        <f>IF(Bet_Log[[#This Row],[Return]]="", "", J187 + Bet_Log[[#This Row],[Return]])</f>
        <v/>
      </c>
      <c r="K188" s="9"/>
    </row>
    <row r="189" spans="1:11" x14ac:dyDescent="0.2">
      <c r="A189" s="27"/>
      <c r="B189" s="1"/>
      <c r="C189" s="6"/>
      <c r="D189" s="1"/>
      <c r="E189" s="7"/>
      <c r="F189" s="8"/>
      <c r="G189" s="3" t="str" cm="1">
        <f t="array" ref="G189">IF(ISBLANK(F189), "", IFERROR(_xlfn.IFS(LEFT(F189,1)="+", (VALUE(MID(F189,2,LEN(F189)))+100)/100, VALUE(F189)&gt;0, (F189+100)/100, VALUE(F189)&lt;0, (ABS(F189)+100)/ABS(F189), F189=0, 0), ""))</f>
        <v/>
      </c>
      <c r="H189" s="1"/>
      <c r="I189" s="4" t="str">
        <f>IF(Bet_Log[[#This Row],[Result ]]="", "", IF(Bet_Log[[#This Row],[Result ]]="Win", Bet_Log[[#This Row],[Stake]]*Bet_Log[[#This Row],[Decimal]]-Bet_Log[[#This Row],[Stake]], IF(Bet_Log[[#This Row],[Result ]]="Loss", -Bet_Log[[#This Row],[Stake]], IF(Bet_Log[[#This Row],[Result ]]="Push", 0, ""))))</f>
        <v/>
      </c>
      <c r="J189" s="2" t="str">
        <f>IF(Bet_Log[[#This Row],[Return]]="", "", J188 + Bet_Log[[#This Row],[Return]])</f>
        <v/>
      </c>
      <c r="K189" s="9"/>
    </row>
    <row r="190" spans="1:11" x14ac:dyDescent="0.2">
      <c r="A190" s="27"/>
      <c r="B190" s="1"/>
      <c r="C190" s="6"/>
      <c r="D190" s="1"/>
      <c r="E190" s="7"/>
      <c r="F190" s="8"/>
      <c r="G190" s="3" t="str" cm="1">
        <f t="array" ref="G190">IF(ISBLANK(F190), "", IFERROR(_xlfn.IFS(LEFT(F190,1)="+", (VALUE(MID(F190,2,LEN(F190)))+100)/100, VALUE(F190)&gt;0, (F190+100)/100, VALUE(F190)&lt;0, (ABS(F190)+100)/ABS(F190), F190=0, 0), ""))</f>
        <v/>
      </c>
      <c r="H190" s="1"/>
      <c r="I190" s="4" t="str">
        <f>IF(Bet_Log[[#This Row],[Result ]]="", "", IF(Bet_Log[[#This Row],[Result ]]="Win", Bet_Log[[#This Row],[Stake]]*Bet_Log[[#This Row],[Decimal]]-Bet_Log[[#This Row],[Stake]], IF(Bet_Log[[#This Row],[Result ]]="Loss", -Bet_Log[[#This Row],[Stake]], IF(Bet_Log[[#This Row],[Result ]]="Push", 0, ""))))</f>
        <v/>
      </c>
      <c r="J190" s="2" t="str">
        <f>IF(Bet_Log[[#This Row],[Return]]="", "", J189 + Bet_Log[[#This Row],[Return]])</f>
        <v/>
      </c>
      <c r="K190" s="9"/>
    </row>
    <row r="191" spans="1:11" x14ac:dyDescent="0.2">
      <c r="A191" s="27"/>
      <c r="B191" s="1"/>
      <c r="C191" s="6"/>
      <c r="D191" s="1"/>
      <c r="E191" s="7"/>
      <c r="F191" s="8"/>
      <c r="G191" s="3" t="str" cm="1">
        <f t="array" ref="G191">IF(ISBLANK(F191), "", IFERROR(_xlfn.IFS(LEFT(F191,1)="+", (VALUE(MID(F191,2,LEN(F191)))+100)/100, VALUE(F191)&gt;0, (F191+100)/100, VALUE(F191)&lt;0, (ABS(F191)+100)/ABS(F191), F191=0, 0), ""))</f>
        <v/>
      </c>
      <c r="H191" s="1"/>
      <c r="I191" s="4" t="str">
        <f>IF(Bet_Log[[#This Row],[Result ]]="", "", IF(Bet_Log[[#This Row],[Result ]]="Win", Bet_Log[[#This Row],[Stake]]*Bet_Log[[#This Row],[Decimal]]-Bet_Log[[#This Row],[Stake]], IF(Bet_Log[[#This Row],[Result ]]="Loss", -Bet_Log[[#This Row],[Stake]], IF(Bet_Log[[#This Row],[Result ]]="Push", 0, ""))))</f>
        <v/>
      </c>
      <c r="J191" s="2" t="str">
        <f>IF(Bet_Log[[#This Row],[Return]]="", "", J190 + Bet_Log[[#This Row],[Return]])</f>
        <v/>
      </c>
      <c r="K191" s="9"/>
    </row>
    <row r="192" spans="1:11" x14ac:dyDescent="0.2">
      <c r="A192" s="27"/>
      <c r="B192" s="1"/>
      <c r="C192" s="6"/>
      <c r="D192" s="1"/>
      <c r="E192" s="7"/>
      <c r="F192" s="8"/>
      <c r="G192" s="3" t="str" cm="1">
        <f t="array" ref="G192">IF(ISBLANK(F192), "", IFERROR(_xlfn.IFS(LEFT(F192,1)="+", (VALUE(MID(F192,2,LEN(F192)))+100)/100, VALUE(F192)&gt;0, (F192+100)/100, VALUE(F192)&lt;0, (ABS(F192)+100)/ABS(F192), F192=0, 0), ""))</f>
        <v/>
      </c>
      <c r="H192" s="1"/>
      <c r="I192" s="4" t="str">
        <f>IF(Bet_Log[[#This Row],[Result ]]="", "", IF(Bet_Log[[#This Row],[Result ]]="Win", Bet_Log[[#This Row],[Stake]]*Bet_Log[[#This Row],[Decimal]]-Bet_Log[[#This Row],[Stake]], IF(Bet_Log[[#This Row],[Result ]]="Loss", -Bet_Log[[#This Row],[Stake]], IF(Bet_Log[[#This Row],[Result ]]="Push", 0, ""))))</f>
        <v/>
      </c>
      <c r="J192" s="2" t="str">
        <f>IF(Bet_Log[[#This Row],[Return]]="", "", J191 + Bet_Log[[#This Row],[Return]])</f>
        <v/>
      </c>
      <c r="K192" s="9"/>
    </row>
    <row r="193" spans="1:11" x14ac:dyDescent="0.2">
      <c r="A193" s="27"/>
      <c r="B193" s="1"/>
      <c r="C193" s="6"/>
      <c r="D193" s="1"/>
      <c r="E193" s="7"/>
      <c r="F193" s="8"/>
      <c r="G193" s="3" t="str" cm="1">
        <f t="array" ref="G193">IF(ISBLANK(F193), "", IFERROR(_xlfn.IFS(LEFT(F193,1)="+", (VALUE(MID(F193,2,LEN(F193)))+100)/100, VALUE(F193)&gt;0, (F193+100)/100, VALUE(F193)&lt;0, (ABS(F193)+100)/ABS(F193), F193=0, 0), ""))</f>
        <v/>
      </c>
      <c r="H193" s="1"/>
      <c r="I193" s="4" t="str">
        <f>IF(Bet_Log[[#This Row],[Result ]]="", "", IF(Bet_Log[[#This Row],[Result ]]="Win", Bet_Log[[#This Row],[Stake]]*Bet_Log[[#This Row],[Decimal]]-Bet_Log[[#This Row],[Stake]], IF(Bet_Log[[#This Row],[Result ]]="Loss", -Bet_Log[[#This Row],[Stake]], IF(Bet_Log[[#This Row],[Result ]]="Push", 0, ""))))</f>
        <v/>
      </c>
      <c r="J193" s="2" t="str">
        <f>IF(Bet_Log[[#This Row],[Return]]="", "", J192 + Bet_Log[[#This Row],[Return]])</f>
        <v/>
      </c>
      <c r="K193" s="9"/>
    </row>
    <row r="194" spans="1:11" x14ac:dyDescent="0.2">
      <c r="A194" s="27"/>
      <c r="B194" s="1"/>
      <c r="C194" s="6"/>
      <c r="D194" s="1"/>
      <c r="E194" s="7"/>
      <c r="F194" s="8"/>
      <c r="G194" s="3" t="str" cm="1">
        <f t="array" ref="G194">IF(ISBLANK(F194), "", IFERROR(_xlfn.IFS(LEFT(F194,1)="+", (VALUE(MID(F194,2,LEN(F194)))+100)/100, VALUE(F194)&gt;0, (F194+100)/100, VALUE(F194)&lt;0, (ABS(F194)+100)/ABS(F194), F194=0, 0), ""))</f>
        <v/>
      </c>
      <c r="H194" s="1"/>
      <c r="I194" s="4" t="str">
        <f>IF(Bet_Log[[#This Row],[Result ]]="", "", IF(Bet_Log[[#This Row],[Result ]]="Win", Bet_Log[[#This Row],[Stake]]*Bet_Log[[#This Row],[Decimal]]-Bet_Log[[#This Row],[Stake]], IF(Bet_Log[[#This Row],[Result ]]="Loss", -Bet_Log[[#This Row],[Stake]], IF(Bet_Log[[#This Row],[Result ]]="Push", 0, ""))))</f>
        <v/>
      </c>
      <c r="J194" s="2" t="str">
        <f>IF(Bet_Log[[#This Row],[Return]]="", "", J193 + Bet_Log[[#This Row],[Return]])</f>
        <v/>
      </c>
      <c r="K194" s="9"/>
    </row>
    <row r="195" spans="1:11" x14ac:dyDescent="0.2">
      <c r="A195" s="27"/>
      <c r="B195" s="1"/>
      <c r="C195" s="6"/>
      <c r="D195" s="1"/>
      <c r="E195" s="7"/>
      <c r="F195" s="8"/>
      <c r="G195" s="3" t="str" cm="1">
        <f t="array" ref="G195">IF(ISBLANK(F195), "", IFERROR(_xlfn.IFS(LEFT(F195,1)="+", (VALUE(MID(F195,2,LEN(F195)))+100)/100, VALUE(F195)&gt;0, (F195+100)/100, VALUE(F195)&lt;0, (ABS(F195)+100)/ABS(F195), F195=0, 0), ""))</f>
        <v/>
      </c>
      <c r="H195" s="1"/>
      <c r="I195" s="4" t="str">
        <f>IF(Bet_Log[[#This Row],[Result ]]="", "", IF(Bet_Log[[#This Row],[Result ]]="Win", Bet_Log[[#This Row],[Stake]]*Bet_Log[[#This Row],[Decimal]]-Bet_Log[[#This Row],[Stake]], IF(Bet_Log[[#This Row],[Result ]]="Loss", -Bet_Log[[#This Row],[Stake]], IF(Bet_Log[[#This Row],[Result ]]="Push", 0, ""))))</f>
        <v/>
      </c>
      <c r="J195" s="2" t="str">
        <f>IF(Bet_Log[[#This Row],[Return]]="", "", J194 + Bet_Log[[#This Row],[Return]])</f>
        <v/>
      </c>
      <c r="K195" s="9"/>
    </row>
    <row r="196" spans="1:11" x14ac:dyDescent="0.2">
      <c r="A196" s="27"/>
      <c r="B196" s="1"/>
      <c r="C196" s="6"/>
      <c r="D196" s="1"/>
      <c r="E196" s="7"/>
      <c r="F196" s="8"/>
      <c r="G196" s="3" t="str" cm="1">
        <f t="array" ref="G196">IF(ISBLANK(F196), "", IFERROR(_xlfn.IFS(LEFT(F196,1)="+", (VALUE(MID(F196,2,LEN(F196)))+100)/100, VALUE(F196)&gt;0, (F196+100)/100, VALUE(F196)&lt;0, (ABS(F196)+100)/ABS(F196), F196=0, 0), ""))</f>
        <v/>
      </c>
      <c r="H196" s="1"/>
      <c r="I196" s="4" t="str">
        <f>IF(Bet_Log[[#This Row],[Result ]]="", "", IF(Bet_Log[[#This Row],[Result ]]="Win", Bet_Log[[#This Row],[Stake]]*Bet_Log[[#This Row],[Decimal]]-Bet_Log[[#This Row],[Stake]], IF(Bet_Log[[#This Row],[Result ]]="Loss", -Bet_Log[[#This Row],[Stake]], IF(Bet_Log[[#This Row],[Result ]]="Push", 0, ""))))</f>
        <v/>
      </c>
      <c r="J196" s="2" t="str">
        <f>IF(Bet_Log[[#This Row],[Return]]="", "", J195 + Bet_Log[[#This Row],[Return]])</f>
        <v/>
      </c>
      <c r="K196" s="9"/>
    </row>
    <row r="197" spans="1:11" x14ac:dyDescent="0.2">
      <c r="A197" s="27"/>
      <c r="B197" s="1"/>
      <c r="C197" s="6"/>
      <c r="D197" s="1"/>
      <c r="E197" s="7"/>
      <c r="F197" s="8"/>
      <c r="G197" s="3" t="str" cm="1">
        <f t="array" ref="G197">IF(ISBLANK(F197), "", IFERROR(_xlfn.IFS(LEFT(F197,1)="+", (VALUE(MID(F197,2,LEN(F197)))+100)/100, VALUE(F197)&gt;0, (F197+100)/100, VALUE(F197)&lt;0, (ABS(F197)+100)/ABS(F197), F197=0, 0), ""))</f>
        <v/>
      </c>
      <c r="H197" s="1"/>
      <c r="I197" s="4" t="str">
        <f>IF(Bet_Log[[#This Row],[Result ]]="", "", IF(Bet_Log[[#This Row],[Result ]]="Win", Bet_Log[[#This Row],[Stake]]*Bet_Log[[#This Row],[Decimal]]-Bet_Log[[#This Row],[Stake]], IF(Bet_Log[[#This Row],[Result ]]="Loss", -Bet_Log[[#This Row],[Stake]], IF(Bet_Log[[#This Row],[Result ]]="Push", 0, ""))))</f>
        <v/>
      </c>
      <c r="J197" s="2" t="str">
        <f>IF(Bet_Log[[#This Row],[Return]]="", "", J196 + Bet_Log[[#This Row],[Return]])</f>
        <v/>
      </c>
      <c r="K197" s="9"/>
    </row>
    <row r="198" spans="1:11" x14ac:dyDescent="0.2">
      <c r="A198" s="27"/>
      <c r="B198" s="1"/>
      <c r="C198" s="6"/>
      <c r="D198" s="1"/>
      <c r="E198" s="7"/>
      <c r="F198" s="8"/>
      <c r="G198" s="3" t="str" cm="1">
        <f t="array" ref="G198">IF(ISBLANK(F198), "", IFERROR(_xlfn.IFS(LEFT(F198,1)="+", (VALUE(MID(F198,2,LEN(F198)))+100)/100, VALUE(F198)&gt;0, (F198+100)/100, VALUE(F198)&lt;0, (ABS(F198)+100)/ABS(F198), F198=0, 0), ""))</f>
        <v/>
      </c>
      <c r="H198" s="1"/>
      <c r="I198" s="4" t="str">
        <f>IF(Bet_Log[[#This Row],[Result ]]="", "", IF(Bet_Log[[#This Row],[Result ]]="Win", Bet_Log[[#This Row],[Stake]]*Bet_Log[[#This Row],[Decimal]]-Bet_Log[[#This Row],[Stake]], IF(Bet_Log[[#This Row],[Result ]]="Loss", -Bet_Log[[#This Row],[Stake]], IF(Bet_Log[[#This Row],[Result ]]="Push", 0, ""))))</f>
        <v/>
      </c>
      <c r="J198" s="2" t="str">
        <f>IF(Bet_Log[[#This Row],[Return]]="", "", J197 + Bet_Log[[#This Row],[Return]])</f>
        <v/>
      </c>
      <c r="K198" s="9"/>
    </row>
    <row r="199" spans="1:11" x14ac:dyDescent="0.2">
      <c r="A199" s="27"/>
      <c r="B199" s="1"/>
      <c r="C199" s="6"/>
      <c r="D199" s="1"/>
      <c r="E199" s="7"/>
      <c r="F199" s="8"/>
      <c r="G199" s="3" t="str" cm="1">
        <f t="array" ref="G199">IF(ISBLANK(F199), "", IFERROR(_xlfn.IFS(LEFT(F199,1)="+", (VALUE(MID(F199,2,LEN(F199)))+100)/100, VALUE(F199)&gt;0, (F199+100)/100, VALUE(F199)&lt;0, (ABS(F199)+100)/ABS(F199), F199=0, 0), ""))</f>
        <v/>
      </c>
      <c r="H199" s="1"/>
      <c r="I199" s="4" t="str">
        <f>IF(Bet_Log[[#This Row],[Result ]]="", "", IF(Bet_Log[[#This Row],[Result ]]="Win", Bet_Log[[#This Row],[Stake]]*Bet_Log[[#This Row],[Decimal]]-Bet_Log[[#This Row],[Stake]], IF(Bet_Log[[#This Row],[Result ]]="Loss", -Bet_Log[[#This Row],[Stake]], IF(Bet_Log[[#This Row],[Result ]]="Push", 0, ""))))</f>
        <v/>
      </c>
      <c r="J199" s="2" t="str">
        <f>IF(Bet_Log[[#This Row],[Return]]="", "", J198 + Bet_Log[[#This Row],[Return]])</f>
        <v/>
      </c>
      <c r="K199" s="9"/>
    </row>
    <row r="200" spans="1:11" x14ac:dyDescent="0.2">
      <c r="A200" s="27"/>
      <c r="B200" s="1"/>
      <c r="C200" s="6"/>
      <c r="D200" s="1"/>
      <c r="E200" s="7"/>
      <c r="F200" s="8"/>
      <c r="G200" s="3" t="str" cm="1">
        <f t="array" ref="G200">IF(ISBLANK(F200), "", IFERROR(_xlfn.IFS(LEFT(F200,1)="+", (VALUE(MID(F200,2,LEN(F200)))+100)/100, VALUE(F200)&gt;0, (F200+100)/100, VALUE(F200)&lt;0, (ABS(F200)+100)/ABS(F200), F200=0, 0), ""))</f>
        <v/>
      </c>
      <c r="H200" s="1"/>
      <c r="I200" s="4" t="str">
        <f>IF(Bet_Log[[#This Row],[Result ]]="", "", IF(Bet_Log[[#This Row],[Result ]]="Win", Bet_Log[[#This Row],[Stake]]*Bet_Log[[#This Row],[Decimal]]-Bet_Log[[#This Row],[Stake]], IF(Bet_Log[[#This Row],[Result ]]="Loss", -Bet_Log[[#This Row],[Stake]], IF(Bet_Log[[#This Row],[Result ]]="Push", 0, ""))))</f>
        <v/>
      </c>
      <c r="J200" s="2" t="str">
        <f>IF(Bet_Log[[#This Row],[Return]]="", "", J199 + Bet_Log[[#This Row],[Return]])</f>
        <v/>
      </c>
      <c r="K200" s="9"/>
    </row>
    <row r="201" spans="1:11" x14ac:dyDescent="0.2">
      <c r="A201" s="27"/>
      <c r="B201" s="1"/>
      <c r="C201" s="6"/>
      <c r="D201" s="1"/>
      <c r="E201" s="7"/>
      <c r="F201" s="8"/>
      <c r="G201" s="3" t="str" cm="1">
        <f t="array" ref="G201">IF(ISBLANK(F201), "", IFERROR(_xlfn.IFS(LEFT(F201,1)="+", (VALUE(MID(F201,2,LEN(F201)))+100)/100, VALUE(F201)&gt;0, (F201+100)/100, VALUE(F201)&lt;0, (ABS(F201)+100)/ABS(F201), F201=0, 0), ""))</f>
        <v/>
      </c>
      <c r="H201" s="1"/>
      <c r="I201" s="4" t="str">
        <f>IF(Bet_Log[[#This Row],[Result ]]="", "", IF(Bet_Log[[#This Row],[Result ]]="Win", Bet_Log[[#This Row],[Stake]]*Bet_Log[[#This Row],[Decimal]]-Bet_Log[[#This Row],[Stake]], IF(Bet_Log[[#This Row],[Result ]]="Loss", -Bet_Log[[#This Row],[Stake]], IF(Bet_Log[[#This Row],[Result ]]="Push", 0, ""))))</f>
        <v/>
      </c>
      <c r="J201" s="2" t="str">
        <f>IF(Bet_Log[[#This Row],[Return]]="", "", J200 + Bet_Log[[#This Row],[Return]])</f>
        <v/>
      </c>
      <c r="K201" s="9"/>
    </row>
    <row r="202" spans="1:11" x14ac:dyDescent="0.2">
      <c r="A202" s="27"/>
      <c r="B202" s="1"/>
      <c r="C202" s="6"/>
      <c r="D202" s="1"/>
      <c r="E202" s="7"/>
      <c r="F202" s="8"/>
      <c r="G202" s="3" t="str" cm="1">
        <f t="array" ref="G202">IF(ISBLANK(F202), "", IFERROR(_xlfn.IFS(LEFT(F202,1)="+", (VALUE(MID(F202,2,LEN(F202)))+100)/100, VALUE(F202)&gt;0, (F202+100)/100, VALUE(F202)&lt;0, (ABS(F202)+100)/ABS(F202), F202=0, 0), ""))</f>
        <v/>
      </c>
      <c r="H202" s="1"/>
      <c r="I202" s="4" t="str">
        <f>IF(Bet_Log[[#This Row],[Result ]]="", "", IF(Bet_Log[[#This Row],[Result ]]="Win", Bet_Log[[#This Row],[Stake]]*Bet_Log[[#This Row],[Decimal]]-Bet_Log[[#This Row],[Stake]], IF(Bet_Log[[#This Row],[Result ]]="Loss", -Bet_Log[[#This Row],[Stake]], IF(Bet_Log[[#This Row],[Result ]]="Push", 0, ""))))</f>
        <v/>
      </c>
      <c r="J202" s="2" t="str">
        <f>IF(Bet_Log[[#This Row],[Return]]="", "", J201 + Bet_Log[[#This Row],[Return]])</f>
        <v/>
      </c>
      <c r="K202" s="9"/>
    </row>
    <row r="203" spans="1:11" x14ac:dyDescent="0.2">
      <c r="A203" s="27"/>
      <c r="B203" s="1"/>
      <c r="C203" s="6"/>
      <c r="D203" s="1"/>
      <c r="E203" s="7"/>
      <c r="F203" s="8"/>
      <c r="G203" s="3" t="str" cm="1">
        <f t="array" ref="G203">IF(ISBLANK(F203), "", IFERROR(_xlfn.IFS(LEFT(F203,1)="+", (VALUE(MID(F203,2,LEN(F203)))+100)/100, VALUE(F203)&gt;0, (F203+100)/100, VALUE(F203)&lt;0, (ABS(F203)+100)/ABS(F203), F203=0, 0), ""))</f>
        <v/>
      </c>
      <c r="H203" s="1"/>
      <c r="I203" s="4" t="str">
        <f>IF(Bet_Log[[#This Row],[Result ]]="", "", IF(Bet_Log[[#This Row],[Result ]]="Win", Bet_Log[[#This Row],[Stake]]*Bet_Log[[#This Row],[Decimal]]-Bet_Log[[#This Row],[Stake]], IF(Bet_Log[[#This Row],[Result ]]="Loss", -Bet_Log[[#This Row],[Stake]], IF(Bet_Log[[#This Row],[Result ]]="Push", 0, ""))))</f>
        <v/>
      </c>
      <c r="J203" s="2" t="str">
        <f>IF(Bet_Log[[#This Row],[Return]]="", "", J202 + Bet_Log[[#This Row],[Return]])</f>
        <v/>
      </c>
      <c r="K203" s="9"/>
    </row>
    <row r="204" spans="1:11" x14ac:dyDescent="0.2">
      <c r="A204" s="27"/>
      <c r="B204" s="1"/>
      <c r="C204" s="6"/>
      <c r="D204" s="1"/>
      <c r="E204" s="7"/>
      <c r="F204" s="8"/>
      <c r="G204" s="3" t="str" cm="1">
        <f t="array" ref="G204">IF(ISBLANK(F204), "", IFERROR(_xlfn.IFS(LEFT(F204,1)="+", (VALUE(MID(F204,2,LEN(F204)))+100)/100, VALUE(F204)&gt;0, (F204+100)/100, VALUE(F204)&lt;0, (ABS(F204)+100)/ABS(F204), F204=0, 0), ""))</f>
        <v/>
      </c>
      <c r="H204" s="1"/>
      <c r="I204" s="4" t="str">
        <f>IF(Bet_Log[[#This Row],[Result ]]="", "", IF(Bet_Log[[#This Row],[Result ]]="Win", Bet_Log[[#This Row],[Stake]]*Bet_Log[[#This Row],[Decimal]]-Bet_Log[[#This Row],[Stake]], IF(Bet_Log[[#This Row],[Result ]]="Loss", -Bet_Log[[#This Row],[Stake]], IF(Bet_Log[[#This Row],[Result ]]="Push", 0, ""))))</f>
        <v/>
      </c>
      <c r="J204" s="2" t="str">
        <f>IF(Bet_Log[[#This Row],[Return]]="", "", J203 + Bet_Log[[#This Row],[Return]])</f>
        <v/>
      </c>
      <c r="K204" s="9"/>
    </row>
    <row r="205" spans="1:11" x14ac:dyDescent="0.2">
      <c r="A205" s="27"/>
      <c r="B205" s="1"/>
      <c r="C205" s="6"/>
      <c r="D205" s="1"/>
      <c r="E205" s="7"/>
      <c r="F205" s="8"/>
      <c r="G205" s="3" t="str" cm="1">
        <f t="array" ref="G205">IF(ISBLANK(F205), "", IFERROR(_xlfn.IFS(LEFT(F205,1)="+", (VALUE(MID(F205,2,LEN(F205)))+100)/100, VALUE(F205)&gt;0, (F205+100)/100, VALUE(F205)&lt;0, (ABS(F205)+100)/ABS(F205), F205=0, 0), ""))</f>
        <v/>
      </c>
      <c r="H205" s="1"/>
      <c r="I205" s="4" t="str">
        <f>IF(Bet_Log[[#This Row],[Result ]]="", "", IF(Bet_Log[[#This Row],[Result ]]="Win", Bet_Log[[#This Row],[Stake]]*Bet_Log[[#This Row],[Decimal]]-Bet_Log[[#This Row],[Stake]], IF(Bet_Log[[#This Row],[Result ]]="Loss", -Bet_Log[[#This Row],[Stake]], IF(Bet_Log[[#This Row],[Result ]]="Push", 0, ""))))</f>
        <v/>
      </c>
      <c r="J205" s="2" t="str">
        <f>IF(Bet_Log[[#This Row],[Return]]="", "", J204 + Bet_Log[[#This Row],[Return]])</f>
        <v/>
      </c>
      <c r="K205" s="9"/>
    </row>
    <row r="206" spans="1:11" x14ac:dyDescent="0.2">
      <c r="A206" s="27"/>
      <c r="B206" s="1"/>
      <c r="C206" s="6"/>
      <c r="D206" s="1"/>
      <c r="E206" s="7"/>
      <c r="F206" s="8"/>
      <c r="G206" s="3" t="str" cm="1">
        <f t="array" ref="G206">IF(ISBLANK(F206), "", IFERROR(_xlfn.IFS(LEFT(F206,1)="+", (VALUE(MID(F206,2,LEN(F206)))+100)/100, VALUE(F206)&gt;0, (F206+100)/100, VALUE(F206)&lt;0, (ABS(F206)+100)/ABS(F206), F206=0, 0), ""))</f>
        <v/>
      </c>
      <c r="H206" s="1"/>
      <c r="I206" s="4" t="str">
        <f>IF(Bet_Log[[#This Row],[Result ]]="", "", IF(Bet_Log[[#This Row],[Result ]]="Win", Bet_Log[[#This Row],[Stake]]*Bet_Log[[#This Row],[Decimal]]-Bet_Log[[#This Row],[Stake]], IF(Bet_Log[[#This Row],[Result ]]="Loss", -Bet_Log[[#This Row],[Stake]], IF(Bet_Log[[#This Row],[Result ]]="Push", 0, ""))))</f>
        <v/>
      </c>
      <c r="J206" s="2" t="str">
        <f>IF(Bet_Log[[#This Row],[Return]]="", "", J205 + Bet_Log[[#This Row],[Return]])</f>
        <v/>
      </c>
      <c r="K206" s="9"/>
    </row>
    <row r="207" spans="1:11" x14ac:dyDescent="0.2">
      <c r="A207" s="27"/>
      <c r="B207" s="1"/>
      <c r="C207" s="6"/>
      <c r="D207" s="1"/>
      <c r="E207" s="7"/>
      <c r="F207" s="8"/>
      <c r="G207" s="3" t="str" cm="1">
        <f t="array" ref="G207">IF(ISBLANK(F207), "", IFERROR(_xlfn.IFS(LEFT(F207,1)="+", (VALUE(MID(F207,2,LEN(F207)))+100)/100, VALUE(F207)&gt;0, (F207+100)/100, VALUE(F207)&lt;0, (ABS(F207)+100)/ABS(F207), F207=0, 0), ""))</f>
        <v/>
      </c>
      <c r="H207" s="1"/>
      <c r="I207" s="4" t="str">
        <f>IF(Bet_Log[[#This Row],[Result ]]="", "", IF(Bet_Log[[#This Row],[Result ]]="Win", Bet_Log[[#This Row],[Stake]]*Bet_Log[[#This Row],[Decimal]]-Bet_Log[[#This Row],[Stake]], IF(Bet_Log[[#This Row],[Result ]]="Loss", -Bet_Log[[#This Row],[Stake]], IF(Bet_Log[[#This Row],[Result ]]="Push", 0, ""))))</f>
        <v/>
      </c>
      <c r="J207" s="2" t="str">
        <f>IF(Bet_Log[[#This Row],[Return]]="", "", J206 + Bet_Log[[#This Row],[Return]])</f>
        <v/>
      </c>
      <c r="K207" s="9"/>
    </row>
    <row r="208" spans="1:11" x14ac:dyDescent="0.2">
      <c r="A208" s="27"/>
      <c r="B208" s="1"/>
      <c r="C208" s="6"/>
      <c r="D208" s="1"/>
      <c r="E208" s="7"/>
      <c r="F208" s="8"/>
      <c r="G208" s="3" t="str" cm="1">
        <f t="array" ref="G208">IF(ISBLANK(F208), "", IFERROR(_xlfn.IFS(LEFT(F208,1)="+", (VALUE(MID(F208,2,LEN(F208)))+100)/100, VALUE(F208)&gt;0, (F208+100)/100, VALUE(F208)&lt;0, (ABS(F208)+100)/ABS(F208), F208=0, 0), ""))</f>
        <v/>
      </c>
      <c r="H208" s="1"/>
      <c r="I208" s="4" t="str">
        <f>IF(Bet_Log[[#This Row],[Result ]]="", "", IF(Bet_Log[[#This Row],[Result ]]="Win", Bet_Log[[#This Row],[Stake]]*Bet_Log[[#This Row],[Decimal]]-Bet_Log[[#This Row],[Stake]], IF(Bet_Log[[#This Row],[Result ]]="Loss", -Bet_Log[[#This Row],[Stake]], IF(Bet_Log[[#This Row],[Result ]]="Push", 0, ""))))</f>
        <v/>
      </c>
      <c r="J208" s="2" t="str">
        <f>IF(Bet_Log[[#This Row],[Return]]="", "", J207 + Bet_Log[[#This Row],[Return]])</f>
        <v/>
      </c>
      <c r="K208" s="9"/>
    </row>
    <row r="209" spans="1:11" x14ac:dyDescent="0.2">
      <c r="A209" s="27"/>
      <c r="B209" s="1"/>
      <c r="C209" s="6"/>
      <c r="D209" s="1"/>
      <c r="E209" s="7"/>
      <c r="F209" s="8"/>
      <c r="G209" s="3" t="str" cm="1">
        <f t="array" ref="G209">IF(ISBLANK(F209), "", IFERROR(_xlfn.IFS(LEFT(F209,1)="+", (VALUE(MID(F209,2,LEN(F209)))+100)/100, VALUE(F209)&gt;0, (F209+100)/100, VALUE(F209)&lt;0, (ABS(F209)+100)/ABS(F209), F209=0, 0), ""))</f>
        <v/>
      </c>
      <c r="H209" s="1"/>
      <c r="I209" s="4" t="str">
        <f>IF(Bet_Log[[#This Row],[Result ]]="", "", IF(Bet_Log[[#This Row],[Result ]]="Win", Bet_Log[[#This Row],[Stake]]*Bet_Log[[#This Row],[Decimal]]-Bet_Log[[#This Row],[Stake]], IF(Bet_Log[[#This Row],[Result ]]="Loss", -Bet_Log[[#This Row],[Stake]], IF(Bet_Log[[#This Row],[Result ]]="Push", 0, ""))))</f>
        <v/>
      </c>
      <c r="J209" s="2" t="str">
        <f>IF(Bet_Log[[#This Row],[Return]]="", "", J208 + Bet_Log[[#This Row],[Return]])</f>
        <v/>
      </c>
      <c r="K209" s="9"/>
    </row>
    <row r="210" spans="1:11" x14ac:dyDescent="0.2">
      <c r="A210" s="27"/>
      <c r="B210" s="1"/>
      <c r="C210" s="6"/>
      <c r="D210" s="1"/>
      <c r="E210" s="7"/>
      <c r="F210" s="8"/>
      <c r="G210" s="3" t="str" cm="1">
        <f t="array" ref="G210">IF(ISBLANK(F210), "", IFERROR(_xlfn.IFS(LEFT(F210,1)="+", (VALUE(MID(F210,2,LEN(F210)))+100)/100, VALUE(F210)&gt;0, (F210+100)/100, VALUE(F210)&lt;0, (ABS(F210)+100)/ABS(F210), F210=0, 0), ""))</f>
        <v/>
      </c>
      <c r="H210" s="1"/>
      <c r="I210" s="4" t="str">
        <f>IF(Bet_Log[[#This Row],[Result ]]="", "", IF(Bet_Log[[#This Row],[Result ]]="Win", Bet_Log[[#This Row],[Stake]]*Bet_Log[[#This Row],[Decimal]]-Bet_Log[[#This Row],[Stake]], IF(Bet_Log[[#This Row],[Result ]]="Loss", -Bet_Log[[#This Row],[Stake]], IF(Bet_Log[[#This Row],[Result ]]="Push", 0, ""))))</f>
        <v/>
      </c>
      <c r="J210" s="2" t="str">
        <f>IF(Bet_Log[[#This Row],[Return]]="", "", J209 + Bet_Log[[#This Row],[Return]])</f>
        <v/>
      </c>
      <c r="K210" s="9"/>
    </row>
    <row r="211" spans="1:11" x14ac:dyDescent="0.2">
      <c r="A211" s="27"/>
      <c r="B211" s="1"/>
      <c r="C211" s="6"/>
      <c r="D211" s="1"/>
      <c r="E211" s="7"/>
      <c r="F211" s="8"/>
      <c r="G211" s="3" t="str" cm="1">
        <f t="array" ref="G211">IF(ISBLANK(F211), "", IFERROR(_xlfn.IFS(LEFT(F211,1)="+", (VALUE(MID(F211,2,LEN(F211)))+100)/100, VALUE(F211)&gt;0, (F211+100)/100, VALUE(F211)&lt;0, (ABS(F211)+100)/ABS(F211), F211=0, 0), ""))</f>
        <v/>
      </c>
      <c r="H211" s="1"/>
      <c r="I211" s="4" t="str">
        <f>IF(Bet_Log[[#This Row],[Result ]]="", "", IF(Bet_Log[[#This Row],[Result ]]="Win", Bet_Log[[#This Row],[Stake]]*Bet_Log[[#This Row],[Decimal]]-Bet_Log[[#This Row],[Stake]], IF(Bet_Log[[#This Row],[Result ]]="Loss", -Bet_Log[[#This Row],[Stake]], IF(Bet_Log[[#This Row],[Result ]]="Push", 0, ""))))</f>
        <v/>
      </c>
      <c r="J211" s="2" t="str">
        <f>IF(Bet_Log[[#This Row],[Return]]="", "", J210 + Bet_Log[[#This Row],[Return]])</f>
        <v/>
      </c>
      <c r="K211" s="9"/>
    </row>
    <row r="212" spans="1:11" x14ac:dyDescent="0.2">
      <c r="A212" s="27"/>
      <c r="B212" s="1"/>
      <c r="C212" s="6"/>
      <c r="D212" s="1"/>
      <c r="E212" s="7"/>
      <c r="F212" s="8"/>
      <c r="G212" s="3" t="str" cm="1">
        <f t="array" ref="G212">IF(ISBLANK(F212), "", IFERROR(_xlfn.IFS(LEFT(F212,1)="+", (VALUE(MID(F212,2,LEN(F212)))+100)/100, VALUE(F212)&gt;0, (F212+100)/100, VALUE(F212)&lt;0, (ABS(F212)+100)/ABS(F212), F212=0, 0), ""))</f>
        <v/>
      </c>
      <c r="H212" s="1"/>
      <c r="I212" s="4" t="str">
        <f>IF(Bet_Log[[#This Row],[Result ]]="", "", IF(Bet_Log[[#This Row],[Result ]]="Win", Bet_Log[[#This Row],[Stake]]*Bet_Log[[#This Row],[Decimal]]-Bet_Log[[#This Row],[Stake]], IF(Bet_Log[[#This Row],[Result ]]="Loss", -Bet_Log[[#This Row],[Stake]], IF(Bet_Log[[#This Row],[Result ]]="Push", 0, ""))))</f>
        <v/>
      </c>
      <c r="J212" s="2" t="str">
        <f>IF(Bet_Log[[#This Row],[Return]]="", "", J211 + Bet_Log[[#This Row],[Return]])</f>
        <v/>
      </c>
      <c r="K212" s="9"/>
    </row>
    <row r="213" spans="1:11" x14ac:dyDescent="0.2">
      <c r="A213" s="27"/>
      <c r="B213" s="1"/>
      <c r="C213" s="6"/>
      <c r="D213" s="1"/>
      <c r="E213" s="7"/>
      <c r="F213" s="8"/>
      <c r="G213" s="3" t="str" cm="1">
        <f t="array" ref="G213">IF(ISBLANK(F213), "", IFERROR(_xlfn.IFS(LEFT(F213,1)="+", (VALUE(MID(F213,2,LEN(F213)))+100)/100, VALUE(F213)&gt;0, (F213+100)/100, VALUE(F213)&lt;0, (ABS(F213)+100)/ABS(F213), F213=0, 0), ""))</f>
        <v/>
      </c>
      <c r="H213" s="1"/>
      <c r="I213" s="4" t="str">
        <f>IF(Bet_Log[[#This Row],[Result ]]="", "", IF(Bet_Log[[#This Row],[Result ]]="Win", Bet_Log[[#This Row],[Stake]]*Bet_Log[[#This Row],[Decimal]]-Bet_Log[[#This Row],[Stake]], IF(Bet_Log[[#This Row],[Result ]]="Loss", -Bet_Log[[#This Row],[Stake]], IF(Bet_Log[[#This Row],[Result ]]="Push", 0, ""))))</f>
        <v/>
      </c>
      <c r="J213" s="2" t="str">
        <f>IF(Bet_Log[[#This Row],[Return]]="", "", J212 + Bet_Log[[#This Row],[Return]])</f>
        <v/>
      </c>
      <c r="K213" s="9"/>
    </row>
    <row r="214" spans="1:11" x14ac:dyDescent="0.2">
      <c r="A214" s="27"/>
      <c r="B214" s="1"/>
      <c r="C214" s="6"/>
      <c r="D214" s="1"/>
      <c r="E214" s="7"/>
      <c r="F214" s="8"/>
      <c r="G214" s="3" t="str" cm="1">
        <f t="array" ref="G214">IF(ISBLANK(F214), "", IFERROR(_xlfn.IFS(LEFT(F214,1)="+", (VALUE(MID(F214,2,LEN(F214)))+100)/100, VALUE(F214)&gt;0, (F214+100)/100, VALUE(F214)&lt;0, (ABS(F214)+100)/ABS(F214), F214=0, 0), ""))</f>
        <v/>
      </c>
      <c r="H214" s="1"/>
      <c r="I214" s="4" t="str">
        <f>IF(Bet_Log[[#This Row],[Result ]]="", "", IF(Bet_Log[[#This Row],[Result ]]="Win", Bet_Log[[#This Row],[Stake]]*Bet_Log[[#This Row],[Decimal]]-Bet_Log[[#This Row],[Stake]], IF(Bet_Log[[#This Row],[Result ]]="Loss", -Bet_Log[[#This Row],[Stake]], IF(Bet_Log[[#This Row],[Result ]]="Push", 0, ""))))</f>
        <v/>
      </c>
      <c r="J214" s="2" t="str">
        <f>IF(Bet_Log[[#This Row],[Return]]="", "", J213 + Bet_Log[[#This Row],[Return]])</f>
        <v/>
      </c>
      <c r="K214" s="9"/>
    </row>
    <row r="215" spans="1:11" x14ac:dyDescent="0.2">
      <c r="A215" s="27"/>
      <c r="B215" s="1"/>
      <c r="C215" s="6"/>
      <c r="D215" s="1"/>
      <c r="E215" s="7"/>
      <c r="F215" s="8"/>
      <c r="G215" s="3" t="str" cm="1">
        <f t="array" ref="G215">IF(ISBLANK(F215), "", IFERROR(_xlfn.IFS(LEFT(F215,1)="+", (VALUE(MID(F215,2,LEN(F215)))+100)/100, VALUE(F215)&gt;0, (F215+100)/100, VALUE(F215)&lt;0, (ABS(F215)+100)/ABS(F215), F215=0, 0), ""))</f>
        <v/>
      </c>
      <c r="H215" s="1"/>
      <c r="I215" s="4" t="str">
        <f>IF(Bet_Log[[#This Row],[Result ]]="", "", IF(Bet_Log[[#This Row],[Result ]]="Win", Bet_Log[[#This Row],[Stake]]*Bet_Log[[#This Row],[Decimal]]-Bet_Log[[#This Row],[Stake]], IF(Bet_Log[[#This Row],[Result ]]="Loss", -Bet_Log[[#This Row],[Stake]], IF(Bet_Log[[#This Row],[Result ]]="Push", 0, ""))))</f>
        <v/>
      </c>
      <c r="J215" s="2" t="str">
        <f>IF(Bet_Log[[#This Row],[Return]]="", "", J214 + Bet_Log[[#This Row],[Return]])</f>
        <v/>
      </c>
      <c r="K215" s="9"/>
    </row>
    <row r="216" spans="1:11" x14ac:dyDescent="0.2">
      <c r="A216" s="27"/>
      <c r="B216" s="1"/>
      <c r="C216" s="6"/>
      <c r="D216" s="1"/>
      <c r="E216" s="7"/>
      <c r="F216" s="8"/>
      <c r="G216" s="3" t="str" cm="1">
        <f t="array" ref="G216">IF(ISBLANK(F216), "", IFERROR(_xlfn.IFS(LEFT(F216,1)="+", (VALUE(MID(F216,2,LEN(F216)))+100)/100, VALUE(F216)&gt;0, (F216+100)/100, VALUE(F216)&lt;0, (ABS(F216)+100)/ABS(F216), F216=0, 0), ""))</f>
        <v/>
      </c>
      <c r="H216" s="1"/>
      <c r="I216" s="4" t="str">
        <f>IF(Bet_Log[[#This Row],[Result ]]="", "", IF(Bet_Log[[#This Row],[Result ]]="Win", Bet_Log[[#This Row],[Stake]]*Bet_Log[[#This Row],[Decimal]]-Bet_Log[[#This Row],[Stake]], IF(Bet_Log[[#This Row],[Result ]]="Loss", -Bet_Log[[#This Row],[Stake]], IF(Bet_Log[[#This Row],[Result ]]="Push", 0, ""))))</f>
        <v/>
      </c>
      <c r="J216" s="2" t="str">
        <f>IF(Bet_Log[[#This Row],[Return]]="", "", J215 + Bet_Log[[#This Row],[Return]])</f>
        <v/>
      </c>
      <c r="K216" s="9"/>
    </row>
    <row r="217" spans="1:11" x14ac:dyDescent="0.2">
      <c r="A217" s="27"/>
      <c r="B217" s="1"/>
      <c r="C217" s="6"/>
      <c r="D217" s="1"/>
      <c r="E217" s="7"/>
      <c r="F217" s="8"/>
      <c r="G217" s="3" t="str" cm="1">
        <f t="array" ref="G217">IF(ISBLANK(F217), "", IFERROR(_xlfn.IFS(LEFT(F217,1)="+", (VALUE(MID(F217,2,LEN(F217)))+100)/100, VALUE(F217)&gt;0, (F217+100)/100, VALUE(F217)&lt;0, (ABS(F217)+100)/ABS(F217), F217=0, 0), ""))</f>
        <v/>
      </c>
      <c r="H217" s="1"/>
      <c r="I217" s="4" t="str">
        <f>IF(Bet_Log[[#This Row],[Result ]]="", "", IF(Bet_Log[[#This Row],[Result ]]="Win", Bet_Log[[#This Row],[Stake]]*Bet_Log[[#This Row],[Decimal]]-Bet_Log[[#This Row],[Stake]], IF(Bet_Log[[#This Row],[Result ]]="Loss", -Bet_Log[[#This Row],[Stake]], IF(Bet_Log[[#This Row],[Result ]]="Push", 0, ""))))</f>
        <v/>
      </c>
      <c r="J217" s="2" t="str">
        <f>IF(Bet_Log[[#This Row],[Return]]="", "", J216 + Bet_Log[[#This Row],[Return]])</f>
        <v/>
      </c>
      <c r="K217" s="9"/>
    </row>
    <row r="218" spans="1:11" x14ac:dyDescent="0.2">
      <c r="A218" s="27"/>
      <c r="B218" s="1"/>
      <c r="C218" s="6"/>
      <c r="D218" s="1"/>
      <c r="E218" s="7"/>
      <c r="F218" s="8"/>
      <c r="G218" s="3" t="str" cm="1">
        <f t="array" ref="G218">IF(ISBLANK(F218), "", IFERROR(_xlfn.IFS(LEFT(F218,1)="+", (VALUE(MID(F218,2,LEN(F218)))+100)/100, VALUE(F218)&gt;0, (F218+100)/100, VALUE(F218)&lt;0, (ABS(F218)+100)/ABS(F218), F218=0, 0), ""))</f>
        <v/>
      </c>
      <c r="H218" s="1"/>
      <c r="I218" s="4" t="str">
        <f>IF(Bet_Log[[#This Row],[Result ]]="", "", IF(Bet_Log[[#This Row],[Result ]]="Win", Bet_Log[[#This Row],[Stake]]*Bet_Log[[#This Row],[Decimal]]-Bet_Log[[#This Row],[Stake]], IF(Bet_Log[[#This Row],[Result ]]="Loss", -Bet_Log[[#This Row],[Stake]], IF(Bet_Log[[#This Row],[Result ]]="Push", 0, ""))))</f>
        <v/>
      </c>
      <c r="J218" s="2" t="str">
        <f>IF(Bet_Log[[#This Row],[Return]]="", "", J217 + Bet_Log[[#This Row],[Return]])</f>
        <v/>
      </c>
      <c r="K218" s="9"/>
    </row>
    <row r="219" spans="1:11" x14ac:dyDescent="0.2">
      <c r="A219" s="27"/>
      <c r="B219" s="1"/>
      <c r="C219" s="6"/>
      <c r="D219" s="1"/>
      <c r="E219" s="7"/>
      <c r="F219" s="8"/>
      <c r="G219" s="3" t="str" cm="1">
        <f t="array" ref="G219">IF(ISBLANK(F219), "", IFERROR(_xlfn.IFS(LEFT(F219,1)="+", (VALUE(MID(F219,2,LEN(F219)))+100)/100, VALUE(F219)&gt;0, (F219+100)/100, VALUE(F219)&lt;0, (ABS(F219)+100)/ABS(F219), F219=0, 0), ""))</f>
        <v/>
      </c>
      <c r="H219" s="1"/>
      <c r="I219" s="4" t="str">
        <f>IF(Bet_Log[[#This Row],[Result ]]="", "", IF(Bet_Log[[#This Row],[Result ]]="Win", Bet_Log[[#This Row],[Stake]]*Bet_Log[[#This Row],[Decimal]]-Bet_Log[[#This Row],[Stake]], IF(Bet_Log[[#This Row],[Result ]]="Loss", -Bet_Log[[#This Row],[Stake]], IF(Bet_Log[[#This Row],[Result ]]="Push", 0, ""))))</f>
        <v/>
      </c>
      <c r="J219" s="2" t="str">
        <f>IF(Bet_Log[[#This Row],[Return]]="", "", J218 + Bet_Log[[#This Row],[Return]])</f>
        <v/>
      </c>
      <c r="K219" s="9"/>
    </row>
    <row r="220" spans="1:11" x14ac:dyDescent="0.2">
      <c r="A220" s="27"/>
      <c r="B220" s="1"/>
      <c r="C220" s="6"/>
      <c r="D220" s="1"/>
      <c r="E220" s="7"/>
      <c r="F220" s="8"/>
      <c r="G220" s="3" t="str" cm="1">
        <f t="array" ref="G220">IF(ISBLANK(F220), "", IFERROR(_xlfn.IFS(LEFT(F220,1)="+", (VALUE(MID(F220,2,LEN(F220)))+100)/100, VALUE(F220)&gt;0, (F220+100)/100, VALUE(F220)&lt;0, (ABS(F220)+100)/ABS(F220), F220=0, 0), ""))</f>
        <v/>
      </c>
      <c r="H220" s="1"/>
      <c r="I220" s="4" t="str">
        <f>IF(Bet_Log[[#This Row],[Result ]]="", "", IF(Bet_Log[[#This Row],[Result ]]="Win", Bet_Log[[#This Row],[Stake]]*Bet_Log[[#This Row],[Decimal]]-Bet_Log[[#This Row],[Stake]], IF(Bet_Log[[#This Row],[Result ]]="Loss", -Bet_Log[[#This Row],[Stake]], IF(Bet_Log[[#This Row],[Result ]]="Push", 0, ""))))</f>
        <v/>
      </c>
      <c r="J220" s="2" t="str">
        <f>IF(Bet_Log[[#This Row],[Return]]="", "", J219 + Bet_Log[[#This Row],[Return]])</f>
        <v/>
      </c>
      <c r="K220" s="9"/>
    </row>
    <row r="221" spans="1:11" x14ac:dyDescent="0.2">
      <c r="A221" s="27"/>
      <c r="B221" s="1"/>
      <c r="C221" s="6"/>
      <c r="D221" s="1"/>
      <c r="E221" s="7"/>
      <c r="F221" s="8"/>
      <c r="G221" s="3" t="str" cm="1">
        <f t="array" ref="G221">IF(ISBLANK(F221), "", IFERROR(_xlfn.IFS(LEFT(F221,1)="+", (VALUE(MID(F221,2,LEN(F221)))+100)/100, VALUE(F221)&gt;0, (F221+100)/100, VALUE(F221)&lt;0, (ABS(F221)+100)/ABS(F221), F221=0, 0), ""))</f>
        <v/>
      </c>
      <c r="H221" s="1"/>
      <c r="I221" s="4" t="str">
        <f>IF(Bet_Log[[#This Row],[Result ]]="", "", IF(Bet_Log[[#This Row],[Result ]]="Win", Bet_Log[[#This Row],[Stake]]*Bet_Log[[#This Row],[Decimal]]-Bet_Log[[#This Row],[Stake]], IF(Bet_Log[[#This Row],[Result ]]="Loss", -Bet_Log[[#This Row],[Stake]], IF(Bet_Log[[#This Row],[Result ]]="Push", 0, ""))))</f>
        <v/>
      </c>
      <c r="J221" s="2" t="str">
        <f>IF(Bet_Log[[#This Row],[Return]]="", "", J220 + Bet_Log[[#This Row],[Return]])</f>
        <v/>
      </c>
      <c r="K221" s="9"/>
    </row>
    <row r="222" spans="1:11" x14ac:dyDescent="0.2">
      <c r="A222" s="27"/>
      <c r="B222" s="1"/>
      <c r="C222" s="6"/>
      <c r="D222" s="1"/>
      <c r="E222" s="7"/>
      <c r="F222" s="8"/>
      <c r="G222" s="3" t="str" cm="1">
        <f t="array" ref="G222">IF(ISBLANK(F222), "", IFERROR(_xlfn.IFS(LEFT(F222,1)="+", (VALUE(MID(F222,2,LEN(F222)))+100)/100, VALUE(F222)&gt;0, (F222+100)/100, VALUE(F222)&lt;0, (ABS(F222)+100)/ABS(F222), F222=0, 0), ""))</f>
        <v/>
      </c>
      <c r="H222" s="1"/>
      <c r="I222" s="4" t="str">
        <f>IF(Bet_Log[[#This Row],[Result ]]="", "", IF(Bet_Log[[#This Row],[Result ]]="Win", Bet_Log[[#This Row],[Stake]]*Bet_Log[[#This Row],[Decimal]]-Bet_Log[[#This Row],[Stake]], IF(Bet_Log[[#This Row],[Result ]]="Loss", -Bet_Log[[#This Row],[Stake]], IF(Bet_Log[[#This Row],[Result ]]="Push", 0, ""))))</f>
        <v/>
      </c>
      <c r="J222" s="2" t="str">
        <f>IF(Bet_Log[[#This Row],[Return]]="", "", J221 + Bet_Log[[#This Row],[Return]])</f>
        <v/>
      </c>
      <c r="K222" s="9"/>
    </row>
    <row r="223" spans="1:11" x14ac:dyDescent="0.2">
      <c r="A223" s="27"/>
      <c r="B223" s="1"/>
      <c r="C223" s="6"/>
      <c r="D223" s="1"/>
      <c r="E223" s="7"/>
      <c r="F223" s="8"/>
      <c r="G223" s="3" t="str" cm="1">
        <f t="array" ref="G223">IF(ISBLANK(F223), "", IFERROR(_xlfn.IFS(LEFT(F223,1)="+", (VALUE(MID(F223,2,LEN(F223)))+100)/100, VALUE(F223)&gt;0, (F223+100)/100, VALUE(F223)&lt;0, (ABS(F223)+100)/ABS(F223), F223=0, 0), ""))</f>
        <v/>
      </c>
      <c r="H223" s="1"/>
      <c r="I223" s="4" t="str">
        <f>IF(Bet_Log[[#This Row],[Result ]]="", "", IF(Bet_Log[[#This Row],[Result ]]="Win", Bet_Log[[#This Row],[Stake]]*Bet_Log[[#This Row],[Decimal]]-Bet_Log[[#This Row],[Stake]], IF(Bet_Log[[#This Row],[Result ]]="Loss", -Bet_Log[[#This Row],[Stake]], IF(Bet_Log[[#This Row],[Result ]]="Push", 0, ""))))</f>
        <v/>
      </c>
      <c r="J223" s="2" t="str">
        <f>IF(Bet_Log[[#This Row],[Return]]="", "", J222 + Bet_Log[[#This Row],[Return]])</f>
        <v/>
      </c>
      <c r="K223" s="9"/>
    </row>
    <row r="224" spans="1:11" x14ac:dyDescent="0.2">
      <c r="A224" s="27"/>
      <c r="B224" s="1"/>
      <c r="C224" s="6"/>
      <c r="D224" s="1"/>
      <c r="E224" s="7"/>
      <c r="F224" s="8"/>
      <c r="G224" s="3" t="str" cm="1">
        <f t="array" ref="G224">IF(ISBLANK(F224), "", IFERROR(_xlfn.IFS(LEFT(F224,1)="+", (VALUE(MID(F224,2,LEN(F224)))+100)/100, VALUE(F224)&gt;0, (F224+100)/100, VALUE(F224)&lt;0, (ABS(F224)+100)/ABS(F224), F224=0, 0), ""))</f>
        <v/>
      </c>
      <c r="H224" s="1"/>
      <c r="I224" s="4" t="str">
        <f>IF(Bet_Log[[#This Row],[Result ]]="", "", IF(Bet_Log[[#This Row],[Result ]]="Win", Bet_Log[[#This Row],[Stake]]*Bet_Log[[#This Row],[Decimal]]-Bet_Log[[#This Row],[Stake]], IF(Bet_Log[[#This Row],[Result ]]="Loss", -Bet_Log[[#This Row],[Stake]], IF(Bet_Log[[#This Row],[Result ]]="Push", 0, ""))))</f>
        <v/>
      </c>
      <c r="J224" s="2" t="str">
        <f>IF(Bet_Log[[#This Row],[Return]]="", "", J223 + Bet_Log[[#This Row],[Return]])</f>
        <v/>
      </c>
      <c r="K224" s="9"/>
    </row>
    <row r="225" spans="1:11" x14ac:dyDescent="0.2">
      <c r="A225" s="27"/>
      <c r="B225" s="1"/>
      <c r="C225" s="6"/>
      <c r="D225" s="1"/>
      <c r="E225" s="7"/>
      <c r="F225" s="8"/>
      <c r="G225" s="3" t="str" cm="1">
        <f t="array" ref="G225">IF(ISBLANK(F225), "", IFERROR(_xlfn.IFS(LEFT(F225,1)="+", (VALUE(MID(F225,2,LEN(F225)))+100)/100, VALUE(F225)&gt;0, (F225+100)/100, VALUE(F225)&lt;0, (ABS(F225)+100)/ABS(F225), F225=0, 0), ""))</f>
        <v/>
      </c>
      <c r="H225" s="1"/>
      <c r="I225" s="4" t="str">
        <f>IF(Bet_Log[[#This Row],[Result ]]="", "", IF(Bet_Log[[#This Row],[Result ]]="Win", Bet_Log[[#This Row],[Stake]]*Bet_Log[[#This Row],[Decimal]]-Bet_Log[[#This Row],[Stake]], IF(Bet_Log[[#This Row],[Result ]]="Loss", -Bet_Log[[#This Row],[Stake]], IF(Bet_Log[[#This Row],[Result ]]="Push", 0, ""))))</f>
        <v/>
      </c>
      <c r="J225" s="2" t="str">
        <f>IF(Bet_Log[[#This Row],[Return]]="", "", J224 + Bet_Log[[#This Row],[Return]])</f>
        <v/>
      </c>
      <c r="K225" s="9"/>
    </row>
    <row r="226" spans="1:11" x14ac:dyDescent="0.2">
      <c r="A226" s="27"/>
      <c r="B226" s="1"/>
      <c r="C226" s="6"/>
      <c r="D226" s="1"/>
      <c r="E226" s="7"/>
      <c r="F226" s="8"/>
      <c r="G226" s="3" t="str" cm="1">
        <f t="array" ref="G226">IF(ISBLANK(F226), "", IFERROR(_xlfn.IFS(LEFT(F226,1)="+", (VALUE(MID(F226,2,LEN(F226)))+100)/100, VALUE(F226)&gt;0, (F226+100)/100, VALUE(F226)&lt;0, (ABS(F226)+100)/ABS(F226), F226=0, 0), ""))</f>
        <v/>
      </c>
      <c r="H226" s="1"/>
      <c r="I226" s="4" t="str">
        <f>IF(Bet_Log[[#This Row],[Result ]]="", "", IF(Bet_Log[[#This Row],[Result ]]="Win", Bet_Log[[#This Row],[Stake]]*Bet_Log[[#This Row],[Decimal]]-Bet_Log[[#This Row],[Stake]], IF(Bet_Log[[#This Row],[Result ]]="Loss", -Bet_Log[[#This Row],[Stake]], IF(Bet_Log[[#This Row],[Result ]]="Push", 0, ""))))</f>
        <v/>
      </c>
      <c r="J226" s="2" t="str">
        <f>IF(Bet_Log[[#This Row],[Return]]="", "", J225 + Bet_Log[[#This Row],[Return]])</f>
        <v/>
      </c>
      <c r="K226" s="9"/>
    </row>
    <row r="227" spans="1:11" x14ac:dyDescent="0.2">
      <c r="A227" s="27"/>
      <c r="B227" s="1"/>
      <c r="C227" s="6"/>
      <c r="D227" s="1"/>
      <c r="E227" s="7"/>
      <c r="F227" s="8"/>
      <c r="G227" s="3" t="str" cm="1">
        <f t="array" ref="G227">IF(ISBLANK(F227), "", IFERROR(_xlfn.IFS(LEFT(F227,1)="+", (VALUE(MID(F227,2,LEN(F227)))+100)/100, VALUE(F227)&gt;0, (F227+100)/100, VALUE(F227)&lt;0, (ABS(F227)+100)/ABS(F227), F227=0, 0), ""))</f>
        <v/>
      </c>
      <c r="H227" s="1"/>
      <c r="I227" s="4" t="str">
        <f>IF(Bet_Log[[#This Row],[Result ]]="", "", IF(Bet_Log[[#This Row],[Result ]]="Win", Bet_Log[[#This Row],[Stake]]*Bet_Log[[#This Row],[Decimal]]-Bet_Log[[#This Row],[Stake]], IF(Bet_Log[[#This Row],[Result ]]="Loss", -Bet_Log[[#This Row],[Stake]], IF(Bet_Log[[#This Row],[Result ]]="Push", 0, ""))))</f>
        <v/>
      </c>
      <c r="J227" s="2" t="str">
        <f>IF(Bet_Log[[#This Row],[Return]]="", "", J226 + Bet_Log[[#This Row],[Return]])</f>
        <v/>
      </c>
      <c r="K227" s="9"/>
    </row>
    <row r="228" spans="1:11" x14ac:dyDescent="0.2">
      <c r="A228" s="27"/>
      <c r="B228" s="1"/>
      <c r="C228" s="6"/>
      <c r="D228" s="1"/>
      <c r="E228" s="7"/>
      <c r="F228" s="8"/>
      <c r="G228" s="3" t="str" cm="1">
        <f t="array" ref="G228">IF(ISBLANK(F228), "", IFERROR(_xlfn.IFS(LEFT(F228,1)="+", (VALUE(MID(F228,2,LEN(F228)))+100)/100, VALUE(F228)&gt;0, (F228+100)/100, VALUE(F228)&lt;0, (ABS(F228)+100)/ABS(F228), F228=0, 0), ""))</f>
        <v/>
      </c>
      <c r="H228" s="1"/>
      <c r="I228" s="4" t="str">
        <f>IF(Bet_Log[[#This Row],[Result ]]="", "", IF(Bet_Log[[#This Row],[Result ]]="Win", Bet_Log[[#This Row],[Stake]]*Bet_Log[[#This Row],[Decimal]]-Bet_Log[[#This Row],[Stake]], IF(Bet_Log[[#This Row],[Result ]]="Loss", -Bet_Log[[#This Row],[Stake]], IF(Bet_Log[[#This Row],[Result ]]="Push", 0, ""))))</f>
        <v/>
      </c>
      <c r="J228" s="2" t="str">
        <f>IF(Bet_Log[[#This Row],[Return]]="", "", J227 + Bet_Log[[#This Row],[Return]])</f>
        <v/>
      </c>
      <c r="K228" s="9"/>
    </row>
    <row r="229" spans="1:11" x14ac:dyDescent="0.2">
      <c r="A229" s="27"/>
      <c r="B229" s="1"/>
      <c r="C229" s="6"/>
      <c r="D229" s="1"/>
      <c r="E229" s="7"/>
      <c r="F229" s="8"/>
      <c r="G229" s="3" t="str" cm="1">
        <f t="array" ref="G229">IF(ISBLANK(F229), "", IFERROR(_xlfn.IFS(LEFT(F229,1)="+", (VALUE(MID(F229,2,LEN(F229)))+100)/100, VALUE(F229)&gt;0, (F229+100)/100, VALUE(F229)&lt;0, (ABS(F229)+100)/ABS(F229), F229=0, 0), ""))</f>
        <v/>
      </c>
      <c r="H229" s="1"/>
      <c r="I229" s="4" t="str">
        <f>IF(Bet_Log[[#This Row],[Result ]]="", "", IF(Bet_Log[[#This Row],[Result ]]="Win", Bet_Log[[#This Row],[Stake]]*Bet_Log[[#This Row],[Decimal]]-Bet_Log[[#This Row],[Stake]], IF(Bet_Log[[#This Row],[Result ]]="Loss", -Bet_Log[[#This Row],[Stake]], IF(Bet_Log[[#This Row],[Result ]]="Push", 0, ""))))</f>
        <v/>
      </c>
      <c r="J229" s="2" t="str">
        <f>IF(Bet_Log[[#This Row],[Return]]="", "", J228 + Bet_Log[[#This Row],[Return]])</f>
        <v/>
      </c>
      <c r="K229" s="9"/>
    </row>
    <row r="230" spans="1:11" x14ac:dyDescent="0.2">
      <c r="A230" s="27"/>
      <c r="B230" s="1"/>
      <c r="C230" s="6"/>
      <c r="D230" s="1"/>
      <c r="E230" s="7"/>
      <c r="F230" s="8"/>
      <c r="G230" s="3" t="str" cm="1">
        <f t="array" ref="G230">IF(ISBLANK(F230), "", IFERROR(_xlfn.IFS(LEFT(F230,1)="+", (VALUE(MID(F230,2,LEN(F230)))+100)/100, VALUE(F230)&gt;0, (F230+100)/100, VALUE(F230)&lt;0, (ABS(F230)+100)/ABS(F230), F230=0, 0), ""))</f>
        <v/>
      </c>
      <c r="H230" s="1"/>
      <c r="I230" s="4" t="str">
        <f>IF(Bet_Log[[#This Row],[Result ]]="", "", IF(Bet_Log[[#This Row],[Result ]]="Win", Bet_Log[[#This Row],[Stake]]*Bet_Log[[#This Row],[Decimal]]-Bet_Log[[#This Row],[Stake]], IF(Bet_Log[[#This Row],[Result ]]="Loss", -Bet_Log[[#This Row],[Stake]], IF(Bet_Log[[#This Row],[Result ]]="Push", 0, ""))))</f>
        <v/>
      </c>
      <c r="J230" s="2" t="str">
        <f>IF(Bet_Log[[#This Row],[Return]]="", "", J229 + Bet_Log[[#This Row],[Return]])</f>
        <v/>
      </c>
      <c r="K230" s="9"/>
    </row>
    <row r="231" spans="1:11" x14ac:dyDescent="0.2">
      <c r="A231" s="27"/>
      <c r="B231" s="1"/>
      <c r="C231" s="6"/>
      <c r="D231" s="1"/>
      <c r="E231" s="7"/>
      <c r="F231" s="8"/>
      <c r="G231" s="3" t="str" cm="1">
        <f t="array" ref="G231">IF(ISBLANK(F231), "", IFERROR(_xlfn.IFS(LEFT(F231,1)="+", (VALUE(MID(F231,2,LEN(F231)))+100)/100, VALUE(F231)&gt;0, (F231+100)/100, VALUE(F231)&lt;0, (ABS(F231)+100)/ABS(F231), F231=0, 0), ""))</f>
        <v/>
      </c>
      <c r="H231" s="1"/>
      <c r="I231" s="4" t="str">
        <f>IF(Bet_Log[[#This Row],[Result ]]="", "", IF(Bet_Log[[#This Row],[Result ]]="Win", Bet_Log[[#This Row],[Stake]]*Bet_Log[[#This Row],[Decimal]]-Bet_Log[[#This Row],[Stake]], IF(Bet_Log[[#This Row],[Result ]]="Loss", -Bet_Log[[#This Row],[Stake]], IF(Bet_Log[[#This Row],[Result ]]="Push", 0, ""))))</f>
        <v/>
      </c>
      <c r="J231" s="2" t="str">
        <f>IF(Bet_Log[[#This Row],[Return]]="", "", J230 + Bet_Log[[#This Row],[Return]])</f>
        <v/>
      </c>
      <c r="K231" s="9"/>
    </row>
    <row r="232" spans="1:11" x14ac:dyDescent="0.2">
      <c r="A232" s="27"/>
      <c r="B232" s="1"/>
      <c r="C232" s="6"/>
      <c r="D232" s="1"/>
      <c r="E232" s="7"/>
      <c r="F232" s="8"/>
      <c r="G232" s="3" t="str" cm="1">
        <f t="array" ref="G232">IF(ISBLANK(F232), "", IFERROR(_xlfn.IFS(LEFT(F232,1)="+", (VALUE(MID(F232,2,LEN(F232)))+100)/100, VALUE(F232)&gt;0, (F232+100)/100, VALUE(F232)&lt;0, (ABS(F232)+100)/ABS(F232), F232=0, 0), ""))</f>
        <v/>
      </c>
      <c r="H232" s="1"/>
      <c r="I232" s="4" t="str">
        <f>IF(Bet_Log[[#This Row],[Result ]]="", "", IF(Bet_Log[[#This Row],[Result ]]="Win", Bet_Log[[#This Row],[Stake]]*Bet_Log[[#This Row],[Decimal]]-Bet_Log[[#This Row],[Stake]], IF(Bet_Log[[#This Row],[Result ]]="Loss", -Bet_Log[[#This Row],[Stake]], IF(Bet_Log[[#This Row],[Result ]]="Push", 0, ""))))</f>
        <v/>
      </c>
      <c r="J232" s="2" t="str">
        <f>IF(Bet_Log[[#This Row],[Return]]="", "", J231 + Bet_Log[[#This Row],[Return]])</f>
        <v/>
      </c>
      <c r="K232" s="9"/>
    </row>
    <row r="233" spans="1:11" x14ac:dyDescent="0.2">
      <c r="A233" s="27"/>
      <c r="B233" s="1"/>
      <c r="C233" s="6"/>
      <c r="D233" s="1"/>
      <c r="E233" s="7"/>
      <c r="F233" s="8"/>
      <c r="G233" s="3" t="str" cm="1">
        <f t="array" ref="G233">IF(ISBLANK(F233), "", IFERROR(_xlfn.IFS(LEFT(F233,1)="+", (VALUE(MID(F233,2,LEN(F233)))+100)/100, VALUE(F233)&gt;0, (F233+100)/100, VALUE(F233)&lt;0, (ABS(F233)+100)/ABS(F233), F233=0, 0), ""))</f>
        <v/>
      </c>
      <c r="H233" s="1"/>
      <c r="I233" s="4" t="str">
        <f>IF(Bet_Log[[#This Row],[Result ]]="", "", IF(Bet_Log[[#This Row],[Result ]]="Win", Bet_Log[[#This Row],[Stake]]*Bet_Log[[#This Row],[Decimal]]-Bet_Log[[#This Row],[Stake]], IF(Bet_Log[[#This Row],[Result ]]="Loss", -Bet_Log[[#This Row],[Stake]], IF(Bet_Log[[#This Row],[Result ]]="Push", 0, ""))))</f>
        <v/>
      </c>
      <c r="J233" s="2" t="str">
        <f>IF(Bet_Log[[#This Row],[Return]]="", "", J232 + Bet_Log[[#This Row],[Return]])</f>
        <v/>
      </c>
      <c r="K233" s="9"/>
    </row>
    <row r="234" spans="1:11" x14ac:dyDescent="0.2">
      <c r="A234" s="27"/>
      <c r="B234" s="1"/>
      <c r="C234" s="6"/>
      <c r="D234" s="1"/>
      <c r="E234" s="7"/>
      <c r="F234" s="8"/>
      <c r="G234" s="3" t="str" cm="1">
        <f t="array" ref="G234">IF(ISBLANK(F234), "", IFERROR(_xlfn.IFS(LEFT(F234,1)="+", (VALUE(MID(F234,2,LEN(F234)))+100)/100, VALUE(F234)&gt;0, (F234+100)/100, VALUE(F234)&lt;0, (ABS(F234)+100)/ABS(F234), F234=0, 0), ""))</f>
        <v/>
      </c>
      <c r="H234" s="1"/>
      <c r="I234" s="4" t="str">
        <f>IF(Bet_Log[[#This Row],[Result ]]="", "", IF(Bet_Log[[#This Row],[Result ]]="Win", Bet_Log[[#This Row],[Stake]]*Bet_Log[[#This Row],[Decimal]]-Bet_Log[[#This Row],[Stake]], IF(Bet_Log[[#This Row],[Result ]]="Loss", -Bet_Log[[#This Row],[Stake]], IF(Bet_Log[[#This Row],[Result ]]="Push", 0, ""))))</f>
        <v/>
      </c>
      <c r="J234" s="2" t="str">
        <f>IF(Bet_Log[[#This Row],[Return]]="", "", J233 + Bet_Log[[#This Row],[Return]])</f>
        <v/>
      </c>
      <c r="K234" s="9"/>
    </row>
    <row r="235" spans="1:11" x14ac:dyDescent="0.2">
      <c r="A235" s="27"/>
      <c r="B235" s="1"/>
      <c r="C235" s="6"/>
      <c r="D235" s="1"/>
      <c r="E235" s="7"/>
      <c r="F235" s="8"/>
      <c r="G235" s="3" t="str" cm="1">
        <f t="array" ref="G235">IF(ISBLANK(F235), "", IFERROR(_xlfn.IFS(LEFT(F235,1)="+", (VALUE(MID(F235,2,LEN(F235)))+100)/100, VALUE(F235)&gt;0, (F235+100)/100, VALUE(F235)&lt;0, (ABS(F235)+100)/ABS(F235), F235=0, 0), ""))</f>
        <v/>
      </c>
      <c r="H235" s="1"/>
      <c r="I235" s="4" t="str">
        <f>IF(Bet_Log[[#This Row],[Result ]]="", "", IF(Bet_Log[[#This Row],[Result ]]="Win", Bet_Log[[#This Row],[Stake]]*Bet_Log[[#This Row],[Decimal]]-Bet_Log[[#This Row],[Stake]], IF(Bet_Log[[#This Row],[Result ]]="Loss", -Bet_Log[[#This Row],[Stake]], IF(Bet_Log[[#This Row],[Result ]]="Push", 0, ""))))</f>
        <v/>
      </c>
      <c r="J235" s="2" t="str">
        <f>IF(Bet_Log[[#This Row],[Return]]="", "", J234 + Bet_Log[[#This Row],[Return]])</f>
        <v/>
      </c>
      <c r="K235" s="9"/>
    </row>
    <row r="236" spans="1:11" x14ac:dyDescent="0.2">
      <c r="A236" s="27"/>
      <c r="B236" s="1"/>
      <c r="C236" s="6"/>
      <c r="D236" s="1"/>
      <c r="E236" s="7"/>
      <c r="F236" s="8"/>
      <c r="G236" s="3" t="str" cm="1">
        <f t="array" ref="G236">IF(ISBLANK(F236), "", IFERROR(_xlfn.IFS(LEFT(F236,1)="+", (VALUE(MID(F236,2,LEN(F236)))+100)/100, VALUE(F236)&gt;0, (F236+100)/100, VALUE(F236)&lt;0, (ABS(F236)+100)/ABS(F236), F236=0, 0), ""))</f>
        <v/>
      </c>
      <c r="H236" s="1"/>
      <c r="I236" s="4" t="str">
        <f>IF(Bet_Log[[#This Row],[Result ]]="", "", IF(Bet_Log[[#This Row],[Result ]]="Win", Bet_Log[[#This Row],[Stake]]*Bet_Log[[#This Row],[Decimal]]-Bet_Log[[#This Row],[Stake]], IF(Bet_Log[[#This Row],[Result ]]="Loss", -Bet_Log[[#This Row],[Stake]], IF(Bet_Log[[#This Row],[Result ]]="Push", 0, ""))))</f>
        <v/>
      </c>
      <c r="J236" s="2" t="str">
        <f>IF(Bet_Log[[#This Row],[Return]]="", "", J235 + Bet_Log[[#This Row],[Return]])</f>
        <v/>
      </c>
      <c r="K236" s="9"/>
    </row>
    <row r="237" spans="1:11" x14ac:dyDescent="0.2">
      <c r="A237" s="27"/>
      <c r="B237" s="1"/>
      <c r="C237" s="6"/>
      <c r="D237" s="1"/>
      <c r="E237" s="7"/>
      <c r="F237" s="8"/>
      <c r="G237" s="3" t="str" cm="1">
        <f t="array" ref="G237">IF(ISBLANK(F237), "", IFERROR(_xlfn.IFS(LEFT(F237,1)="+", (VALUE(MID(F237,2,LEN(F237)))+100)/100, VALUE(F237)&gt;0, (F237+100)/100, VALUE(F237)&lt;0, (ABS(F237)+100)/ABS(F237), F237=0, 0), ""))</f>
        <v/>
      </c>
      <c r="H237" s="1"/>
      <c r="I237" s="4" t="str">
        <f>IF(Bet_Log[[#This Row],[Result ]]="", "", IF(Bet_Log[[#This Row],[Result ]]="Win", Bet_Log[[#This Row],[Stake]]*Bet_Log[[#This Row],[Decimal]]-Bet_Log[[#This Row],[Stake]], IF(Bet_Log[[#This Row],[Result ]]="Loss", -Bet_Log[[#This Row],[Stake]], IF(Bet_Log[[#This Row],[Result ]]="Push", 0, ""))))</f>
        <v/>
      </c>
      <c r="J237" s="2" t="str">
        <f>IF(Bet_Log[[#This Row],[Return]]="", "", J236 + Bet_Log[[#This Row],[Return]])</f>
        <v/>
      </c>
      <c r="K237" s="9"/>
    </row>
    <row r="238" spans="1:11" x14ac:dyDescent="0.2">
      <c r="A238" s="27"/>
      <c r="B238" s="1"/>
      <c r="C238" s="6"/>
      <c r="D238" s="1"/>
      <c r="E238" s="7"/>
      <c r="F238" s="8"/>
      <c r="G238" s="3" t="str" cm="1">
        <f t="array" ref="G238">IF(ISBLANK(F238), "", IFERROR(_xlfn.IFS(LEFT(F238,1)="+", (VALUE(MID(F238,2,LEN(F238)))+100)/100, VALUE(F238)&gt;0, (F238+100)/100, VALUE(F238)&lt;0, (ABS(F238)+100)/ABS(F238), F238=0, 0), ""))</f>
        <v/>
      </c>
      <c r="H238" s="1"/>
      <c r="I238" s="4" t="str">
        <f>IF(Bet_Log[[#This Row],[Result ]]="", "", IF(Bet_Log[[#This Row],[Result ]]="Win", Bet_Log[[#This Row],[Stake]]*Bet_Log[[#This Row],[Decimal]]-Bet_Log[[#This Row],[Stake]], IF(Bet_Log[[#This Row],[Result ]]="Loss", -Bet_Log[[#This Row],[Stake]], IF(Bet_Log[[#This Row],[Result ]]="Push", 0, ""))))</f>
        <v/>
      </c>
      <c r="J238" s="2" t="str">
        <f>IF(Bet_Log[[#This Row],[Return]]="", "", J237 + Bet_Log[[#This Row],[Return]])</f>
        <v/>
      </c>
      <c r="K238" s="9"/>
    </row>
    <row r="239" spans="1:11" x14ac:dyDescent="0.2">
      <c r="A239" s="27"/>
      <c r="B239" s="1"/>
      <c r="C239" s="6"/>
      <c r="D239" s="1"/>
      <c r="E239" s="7"/>
      <c r="F239" s="8"/>
      <c r="G239" s="3" t="str" cm="1">
        <f t="array" ref="G239">IF(ISBLANK(F239), "", IFERROR(_xlfn.IFS(LEFT(F239,1)="+", (VALUE(MID(F239,2,LEN(F239)))+100)/100, VALUE(F239)&gt;0, (F239+100)/100, VALUE(F239)&lt;0, (ABS(F239)+100)/ABS(F239), F239=0, 0), ""))</f>
        <v/>
      </c>
      <c r="H239" s="1"/>
      <c r="I239" s="4" t="str">
        <f>IF(Bet_Log[[#This Row],[Result ]]="", "", IF(Bet_Log[[#This Row],[Result ]]="Win", Bet_Log[[#This Row],[Stake]]*Bet_Log[[#This Row],[Decimal]]-Bet_Log[[#This Row],[Stake]], IF(Bet_Log[[#This Row],[Result ]]="Loss", -Bet_Log[[#This Row],[Stake]], IF(Bet_Log[[#This Row],[Result ]]="Push", 0, ""))))</f>
        <v/>
      </c>
      <c r="J239" s="2" t="str">
        <f>IF(Bet_Log[[#This Row],[Return]]="", "", J238 + Bet_Log[[#This Row],[Return]])</f>
        <v/>
      </c>
      <c r="K239" s="9"/>
    </row>
    <row r="240" spans="1:11" x14ac:dyDescent="0.2">
      <c r="A240" s="27"/>
      <c r="B240" s="1"/>
      <c r="C240" s="6"/>
      <c r="D240" s="1"/>
      <c r="E240" s="7"/>
      <c r="F240" s="8"/>
      <c r="G240" s="3" t="str" cm="1">
        <f t="array" ref="G240">IF(ISBLANK(F240), "", IFERROR(_xlfn.IFS(LEFT(F240,1)="+", (VALUE(MID(F240,2,LEN(F240)))+100)/100, VALUE(F240)&gt;0, (F240+100)/100, VALUE(F240)&lt;0, (ABS(F240)+100)/ABS(F240), F240=0, 0), ""))</f>
        <v/>
      </c>
      <c r="H240" s="1"/>
      <c r="I240" s="4" t="str">
        <f>IF(Bet_Log[[#This Row],[Result ]]="", "", IF(Bet_Log[[#This Row],[Result ]]="Win", Bet_Log[[#This Row],[Stake]]*Bet_Log[[#This Row],[Decimal]]-Bet_Log[[#This Row],[Stake]], IF(Bet_Log[[#This Row],[Result ]]="Loss", -Bet_Log[[#This Row],[Stake]], IF(Bet_Log[[#This Row],[Result ]]="Push", 0, ""))))</f>
        <v/>
      </c>
      <c r="J240" s="2" t="str">
        <f>IF(Bet_Log[[#This Row],[Return]]="", "", J239 + Bet_Log[[#This Row],[Return]])</f>
        <v/>
      </c>
      <c r="K240" s="9"/>
    </row>
    <row r="241" spans="1:11" x14ac:dyDescent="0.2">
      <c r="A241" s="27"/>
      <c r="B241" s="1"/>
      <c r="C241" s="6"/>
      <c r="D241" s="1"/>
      <c r="E241" s="7"/>
      <c r="F241" s="8"/>
      <c r="G241" s="3" t="str" cm="1">
        <f t="array" ref="G241">IF(ISBLANK(F241), "", IFERROR(_xlfn.IFS(LEFT(F241,1)="+", (VALUE(MID(F241,2,LEN(F241)))+100)/100, VALUE(F241)&gt;0, (F241+100)/100, VALUE(F241)&lt;0, (ABS(F241)+100)/ABS(F241), F241=0, 0), ""))</f>
        <v/>
      </c>
      <c r="H241" s="1"/>
      <c r="I241" s="4" t="str">
        <f>IF(Bet_Log[[#This Row],[Result ]]="", "", IF(Bet_Log[[#This Row],[Result ]]="Win", Bet_Log[[#This Row],[Stake]]*Bet_Log[[#This Row],[Decimal]]-Bet_Log[[#This Row],[Stake]], IF(Bet_Log[[#This Row],[Result ]]="Loss", -Bet_Log[[#This Row],[Stake]], IF(Bet_Log[[#This Row],[Result ]]="Push", 0, ""))))</f>
        <v/>
      </c>
      <c r="J241" s="2" t="str">
        <f>IF(Bet_Log[[#This Row],[Return]]="", "", J240 + Bet_Log[[#This Row],[Return]])</f>
        <v/>
      </c>
      <c r="K241" s="9"/>
    </row>
    <row r="242" spans="1:11" x14ac:dyDescent="0.2">
      <c r="A242" s="27"/>
      <c r="B242" s="1"/>
      <c r="C242" s="6"/>
      <c r="D242" s="1"/>
      <c r="E242" s="7"/>
      <c r="F242" s="8"/>
      <c r="G242" s="3" t="str" cm="1">
        <f t="array" ref="G242">IF(ISBLANK(F242), "", IFERROR(_xlfn.IFS(LEFT(F242,1)="+", (VALUE(MID(F242,2,LEN(F242)))+100)/100, VALUE(F242)&gt;0, (F242+100)/100, VALUE(F242)&lt;0, (ABS(F242)+100)/ABS(F242), F242=0, 0), ""))</f>
        <v/>
      </c>
      <c r="H242" s="1"/>
      <c r="I242" s="4" t="str">
        <f>IF(Bet_Log[[#This Row],[Result ]]="", "", IF(Bet_Log[[#This Row],[Result ]]="Win", Bet_Log[[#This Row],[Stake]]*Bet_Log[[#This Row],[Decimal]]-Bet_Log[[#This Row],[Stake]], IF(Bet_Log[[#This Row],[Result ]]="Loss", -Bet_Log[[#This Row],[Stake]], IF(Bet_Log[[#This Row],[Result ]]="Push", 0, ""))))</f>
        <v/>
      </c>
      <c r="J242" s="2" t="str">
        <f>IF(Bet_Log[[#This Row],[Return]]="", "", J241 + Bet_Log[[#This Row],[Return]])</f>
        <v/>
      </c>
      <c r="K242" s="9"/>
    </row>
    <row r="243" spans="1:11" x14ac:dyDescent="0.2">
      <c r="A243" s="27"/>
      <c r="B243" s="1"/>
      <c r="C243" s="6"/>
      <c r="D243" s="1"/>
      <c r="E243" s="7"/>
      <c r="F243" s="8"/>
      <c r="G243" s="3" t="str" cm="1">
        <f t="array" ref="G243">IF(ISBLANK(F243), "", IFERROR(_xlfn.IFS(LEFT(F243,1)="+", (VALUE(MID(F243,2,LEN(F243)))+100)/100, VALUE(F243)&gt;0, (F243+100)/100, VALUE(F243)&lt;0, (ABS(F243)+100)/ABS(F243), F243=0, 0), ""))</f>
        <v/>
      </c>
      <c r="H243" s="1"/>
      <c r="I243" s="4" t="str">
        <f>IF(Bet_Log[[#This Row],[Result ]]="", "", IF(Bet_Log[[#This Row],[Result ]]="Win", Bet_Log[[#This Row],[Stake]]*Bet_Log[[#This Row],[Decimal]]-Bet_Log[[#This Row],[Stake]], IF(Bet_Log[[#This Row],[Result ]]="Loss", -Bet_Log[[#This Row],[Stake]], IF(Bet_Log[[#This Row],[Result ]]="Push", 0, ""))))</f>
        <v/>
      </c>
      <c r="J243" s="2" t="str">
        <f>IF(Bet_Log[[#This Row],[Return]]="", "", J242 + Bet_Log[[#This Row],[Return]])</f>
        <v/>
      </c>
      <c r="K243" s="9"/>
    </row>
    <row r="244" spans="1:11" x14ac:dyDescent="0.2">
      <c r="A244" s="27"/>
      <c r="B244" s="1"/>
      <c r="C244" s="6"/>
      <c r="D244" s="1"/>
      <c r="E244" s="7"/>
      <c r="F244" s="8"/>
      <c r="G244" s="3" t="str" cm="1">
        <f t="array" ref="G244">IF(ISBLANK(F244), "", IFERROR(_xlfn.IFS(LEFT(F244,1)="+", (VALUE(MID(F244,2,LEN(F244)))+100)/100, VALUE(F244)&gt;0, (F244+100)/100, VALUE(F244)&lt;0, (ABS(F244)+100)/ABS(F244), F244=0, 0), ""))</f>
        <v/>
      </c>
      <c r="H244" s="1"/>
      <c r="I244" s="4" t="str">
        <f>IF(Bet_Log[[#This Row],[Result ]]="", "", IF(Bet_Log[[#This Row],[Result ]]="Win", Bet_Log[[#This Row],[Stake]]*Bet_Log[[#This Row],[Decimal]]-Bet_Log[[#This Row],[Stake]], IF(Bet_Log[[#This Row],[Result ]]="Loss", -Bet_Log[[#This Row],[Stake]], IF(Bet_Log[[#This Row],[Result ]]="Push", 0, ""))))</f>
        <v/>
      </c>
      <c r="J244" s="2" t="str">
        <f>IF(Bet_Log[[#This Row],[Return]]="", "", J243 + Bet_Log[[#This Row],[Return]])</f>
        <v/>
      </c>
      <c r="K244" s="9"/>
    </row>
    <row r="245" spans="1:11" x14ac:dyDescent="0.2">
      <c r="A245" s="27"/>
      <c r="B245" s="1"/>
      <c r="C245" s="6"/>
      <c r="D245" s="1"/>
      <c r="E245" s="7"/>
      <c r="F245" s="8"/>
      <c r="G245" s="3" t="str" cm="1">
        <f t="array" ref="G245">IF(ISBLANK(F245), "", IFERROR(_xlfn.IFS(LEFT(F245,1)="+", (VALUE(MID(F245,2,LEN(F245)))+100)/100, VALUE(F245)&gt;0, (F245+100)/100, VALUE(F245)&lt;0, (ABS(F245)+100)/ABS(F245), F245=0, 0), ""))</f>
        <v/>
      </c>
      <c r="H245" s="1"/>
      <c r="I245" s="4" t="str">
        <f>IF(Bet_Log[[#This Row],[Result ]]="", "", IF(Bet_Log[[#This Row],[Result ]]="Win", Bet_Log[[#This Row],[Stake]]*Bet_Log[[#This Row],[Decimal]]-Bet_Log[[#This Row],[Stake]], IF(Bet_Log[[#This Row],[Result ]]="Loss", -Bet_Log[[#This Row],[Stake]], IF(Bet_Log[[#This Row],[Result ]]="Push", 0, ""))))</f>
        <v/>
      </c>
      <c r="J245" s="2" t="str">
        <f>IF(Bet_Log[[#This Row],[Return]]="", "", J244 + Bet_Log[[#This Row],[Return]])</f>
        <v/>
      </c>
      <c r="K245" s="9"/>
    </row>
    <row r="246" spans="1:11" x14ac:dyDescent="0.2">
      <c r="A246" s="27"/>
      <c r="B246" s="1"/>
      <c r="C246" s="6"/>
      <c r="D246" s="1"/>
      <c r="E246" s="7"/>
      <c r="F246" s="8"/>
      <c r="G246" s="3" t="str" cm="1">
        <f t="array" ref="G246">IF(ISBLANK(F246), "", IFERROR(_xlfn.IFS(LEFT(F246,1)="+", (VALUE(MID(F246,2,LEN(F246)))+100)/100, VALUE(F246)&gt;0, (F246+100)/100, VALUE(F246)&lt;0, (ABS(F246)+100)/ABS(F246), F246=0, 0), ""))</f>
        <v/>
      </c>
      <c r="H246" s="1"/>
      <c r="I246" s="4" t="str">
        <f>IF(Bet_Log[[#This Row],[Result ]]="", "", IF(Bet_Log[[#This Row],[Result ]]="Win", Bet_Log[[#This Row],[Stake]]*Bet_Log[[#This Row],[Decimal]]-Bet_Log[[#This Row],[Stake]], IF(Bet_Log[[#This Row],[Result ]]="Loss", -Bet_Log[[#This Row],[Stake]], IF(Bet_Log[[#This Row],[Result ]]="Push", 0, ""))))</f>
        <v/>
      </c>
      <c r="J246" s="2" t="str">
        <f>IF(Bet_Log[[#This Row],[Return]]="", "", J245 + Bet_Log[[#This Row],[Return]])</f>
        <v/>
      </c>
      <c r="K246" s="9"/>
    </row>
    <row r="247" spans="1:11" x14ac:dyDescent="0.2">
      <c r="A247" s="27"/>
      <c r="B247" s="1"/>
      <c r="C247" s="6"/>
      <c r="D247" s="1"/>
      <c r="E247" s="7"/>
      <c r="F247" s="8"/>
      <c r="G247" s="3" t="str" cm="1">
        <f t="array" ref="G247">IF(ISBLANK(F247), "", IFERROR(_xlfn.IFS(LEFT(F247,1)="+", (VALUE(MID(F247,2,LEN(F247)))+100)/100, VALUE(F247)&gt;0, (F247+100)/100, VALUE(F247)&lt;0, (ABS(F247)+100)/ABS(F247), F247=0, 0), ""))</f>
        <v/>
      </c>
      <c r="H247" s="1"/>
      <c r="I247" s="4" t="str">
        <f>IF(Bet_Log[[#This Row],[Result ]]="", "", IF(Bet_Log[[#This Row],[Result ]]="Win", Bet_Log[[#This Row],[Stake]]*Bet_Log[[#This Row],[Decimal]]-Bet_Log[[#This Row],[Stake]], IF(Bet_Log[[#This Row],[Result ]]="Loss", -Bet_Log[[#This Row],[Stake]], IF(Bet_Log[[#This Row],[Result ]]="Push", 0, ""))))</f>
        <v/>
      </c>
      <c r="J247" s="2" t="str">
        <f>IF(Bet_Log[[#This Row],[Return]]="", "", J246 + Bet_Log[[#This Row],[Return]])</f>
        <v/>
      </c>
      <c r="K247" s="9"/>
    </row>
    <row r="248" spans="1:11" x14ac:dyDescent="0.2">
      <c r="A248" s="27"/>
      <c r="B248" s="1"/>
      <c r="C248" s="6"/>
      <c r="D248" s="1"/>
      <c r="E248" s="7"/>
      <c r="F248" s="8"/>
      <c r="G248" s="3" t="str" cm="1">
        <f t="array" ref="G248">IF(ISBLANK(F248), "", IFERROR(_xlfn.IFS(LEFT(F248,1)="+", (VALUE(MID(F248,2,LEN(F248)))+100)/100, VALUE(F248)&gt;0, (F248+100)/100, VALUE(F248)&lt;0, (ABS(F248)+100)/ABS(F248), F248=0, 0), ""))</f>
        <v/>
      </c>
      <c r="H248" s="1"/>
      <c r="I248" s="4" t="str">
        <f>IF(Bet_Log[[#This Row],[Result ]]="", "", IF(Bet_Log[[#This Row],[Result ]]="Win", Bet_Log[[#This Row],[Stake]]*Bet_Log[[#This Row],[Decimal]]-Bet_Log[[#This Row],[Stake]], IF(Bet_Log[[#This Row],[Result ]]="Loss", -Bet_Log[[#This Row],[Stake]], IF(Bet_Log[[#This Row],[Result ]]="Push", 0, ""))))</f>
        <v/>
      </c>
      <c r="J248" s="2" t="str">
        <f>IF(Bet_Log[[#This Row],[Return]]="", "", J247 + Bet_Log[[#This Row],[Return]])</f>
        <v/>
      </c>
      <c r="K248" s="9"/>
    </row>
    <row r="249" spans="1:11" x14ac:dyDescent="0.2">
      <c r="A249" s="27"/>
      <c r="B249" s="1"/>
      <c r="C249" s="6"/>
      <c r="D249" s="1"/>
      <c r="E249" s="7"/>
      <c r="F249" s="8"/>
      <c r="G249" s="3" t="str" cm="1">
        <f t="array" ref="G249">IF(ISBLANK(F249), "", IFERROR(_xlfn.IFS(LEFT(F249,1)="+", (VALUE(MID(F249,2,LEN(F249)))+100)/100, VALUE(F249)&gt;0, (F249+100)/100, VALUE(F249)&lt;0, (ABS(F249)+100)/ABS(F249), F249=0, 0), ""))</f>
        <v/>
      </c>
      <c r="H249" s="1"/>
      <c r="I249" s="4" t="str">
        <f>IF(Bet_Log[[#This Row],[Result ]]="", "", IF(Bet_Log[[#This Row],[Result ]]="Win", Bet_Log[[#This Row],[Stake]]*Bet_Log[[#This Row],[Decimal]]-Bet_Log[[#This Row],[Stake]], IF(Bet_Log[[#This Row],[Result ]]="Loss", -Bet_Log[[#This Row],[Stake]], IF(Bet_Log[[#This Row],[Result ]]="Push", 0, ""))))</f>
        <v/>
      </c>
      <c r="J249" s="2" t="str">
        <f>IF(Bet_Log[[#This Row],[Return]]="", "", J248 + Bet_Log[[#This Row],[Return]])</f>
        <v/>
      </c>
      <c r="K249" s="9"/>
    </row>
    <row r="250" spans="1:11" x14ac:dyDescent="0.2">
      <c r="A250" s="27"/>
      <c r="B250" s="1"/>
      <c r="C250" s="6"/>
      <c r="D250" s="1"/>
      <c r="E250" s="7"/>
      <c r="F250" s="8"/>
      <c r="G250" s="3" t="str" cm="1">
        <f t="array" ref="G250">IF(ISBLANK(F250), "", IFERROR(_xlfn.IFS(LEFT(F250,1)="+", (VALUE(MID(F250,2,LEN(F250)))+100)/100, VALUE(F250)&gt;0, (F250+100)/100, VALUE(F250)&lt;0, (ABS(F250)+100)/ABS(F250), F250=0, 0), ""))</f>
        <v/>
      </c>
      <c r="H250" s="1"/>
      <c r="I250" s="4" t="str">
        <f>IF(Bet_Log[[#This Row],[Result ]]="", "", IF(Bet_Log[[#This Row],[Result ]]="Win", Bet_Log[[#This Row],[Stake]]*Bet_Log[[#This Row],[Decimal]]-Bet_Log[[#This Row],[Stake]], IF(Bet_Log[[#This Row],[Result ]]="Loss", -Bet_Log[[#This Row],[Stake]], IF(Bet_Log[[#This Row],[Result ]]="Push", 0, ""))))</f>
        <v/>
      </c>
      <c r="J250" s="2" t="str">
        <f>IF(Bet_Log[[#This Row],[Return]]="", "", J249 + Bet_Log[[#This Row],[Return]])</f>
        <v/>
      </c>
      <c r="K250" s="9"/>
    </row>
    <row r="251" spans="1:11" x14ac:dyDescent="0.2">
      <c r="A251" s="27"/>
      <c r="B251" s="1"/>
      <c r="C251" s="6"/>
      <c r="D251" s="1"/>
      <c r="E251" s="7"/>
      <c r="F251" s="8"/>
      <c r="G251" s="3" t="str" cm="1">
        <f t="array" ref="G251">IF(ISBLANK(F251), "", IFERROR(_xlfn.IFS(LEFT(F251,1)="+", (VALUE(MID(F251,2,LEN(F251)))+100)/100, VALUE(F251)&gt;0, (F251+100)/100, VALUE(F251)&lt;0, (ABS(F251)+100)/ABS(F251), F251=0, 0), ""))</f>
        <v/>
      </c>
      <c r="H251" s="1"/>
      <c r="I251" s="4" t="str">
        <f>IF(Bet_Log[[#This Row],[Result ]]="", "", IF(Bet_Log[[#This Row],[Result ]]="Win", Bet_Log[[#This Row],[Stake]]*Bet_Log[[#This Row],[Decimal]]-Bet_Log[[#This Row],[Stake]], IF(Bet_Log[[#This Row],[Result ]]="Loss", -Bet_Log[[#This Row],[Stake]], IF(Bet_Log[[#This Row],[Result ]]="Push", 0, ""))))</f>
        <v/>
      </c>
      <c r="J251" s="2" t="str">
        <f>IF(Bet_Log[[#This Row],[Return]]="", "", J250 + Bet_Log[[#This Row],[Return]])</f>
        <v/>
      </c>
      <c r="K251" s="9"/>
    </row>
    <row r="252" spans="1:11" x14ac:dyDescent="0.2">
      <c r="A252" s="27"/>
      <c r="B252" s="1"/>
      <c r="C252" s="6"/>
      <c r="D252" s="1"/>
      <c r="E252" s="7"/>
      <c r="F252" s="8"/>
      <c r="G252" s="3" t="str" cm="1">
        <f t="array" ref="G252">IF(ISBLANK(F252), "", IFERROR(_xlfn.IFS(LEFT(F252,1)="+", (VALUE(MID(F252,2,LEN(F252)))+100)/100, VALUE(F252)&gt;0, (F252+100)/100, VALUE(F252)&lt;0, (ABS(F252)+100)/ABS(F252), F252=0, 0), ""))</f>
        <v/>
      </c>
      <c r="H252" s="1"/>
      <c r="I252" s="4" t="str">
        <f>IF(Bet_Log[[#This Row],[Result ]]="", "", IF(Bet_Log[[#This Row],[Result ]]="Win", Bet_Log[[#This Row],[Stake]]*Bet_Log[[#This Row],[Decimal]]-Bet_Log[[#This Row],[Stake]], IF(Bet_Log[[#This Row],[Result ]]="Loss", -Bet_Log[[#This Row],[Stake]], IF(Bet_Log[[#This Row],[Result ]]="Push", 0, ""))))</f>
        <v/>
      </c>
      <c r="J252" s="2" t="str">
        <f>IF(Bet_Log[[#This Row],[Return]]="", "", J251 + Bet_Log[[#This Row],[Return]])</f>
        <v/>
      </c>
      <c r="K252" s="9"/>
    </row>
    <row r="253" spans="1:11" x14ac:dyDescent="0.2">
      <c r="A253" s="27"/>
      <c r="B253" s="1"/>
      <c r="C253" s="6"/>
      <c r="D253" s="1"/>
      <c r="E253" s="7"/>
      <c r="F253" s="8"/>
      <c r="G253" s="3" t="str" cm="1">
        <f t="array" ref="G253">IF(ISBLANK(F253), "", IFERROR(_xlfn.IFS(LEFT(F253,1)="+", (VALUE(MID(F253,2,LEN(F253)))+100)/100, VALUE(F253)&gt;0, (F253+100)/100, VALUE(F253)&lt;0, (ABS(F253)+100)/ABS(F253), F253=0, 0), ""))</f>
        <v/>
      </c>
      <c r="H253" s="1"/>
      <c r="I253" s="4" t="str">
        <f>IF(Bet_Log[[#This Row],[Result ]]="", "", IF(Bet_Log[[#This Row],[Result ]]="Win", Bet_Log[[#This Row],[Stake]]*Bet_Log[[#This Row],[Decimal]]-Bet_Log[[#This Row],[Stake]], IF(Bet_Log[[#This Row],[Result ]]="Loss", -Bet_Log[[#This Row],[Stake]], IF(Bet_Log[[#This Row],[Result ]]="Push", 0, ""))))</f>
        <v/>
      </c>
      <c r="J253" s="2" t="str">
        <f>IF(Bet_Log[[#This Row],[Return]]="", "", J252 + Bet_Log[[#This Row],[Return]])</f>
        <v/>
      </c>
      <c r="K253" s="9"/>
    </row>
    <row r="254" spans="1:11" x14ac:dyDescent="0.2">
      <c r="A254" s="27"/>
      <c r="B254" s="1"/>
      <c r="C254" s="6"/>
      <c r="D254" s="1"/>
      <c r="E254" s="7"/>
      <c r="F254" s="8"/>
      <c r="G254" s="3" t="str" cm="1">
        <f t="array" ref="G254">IF(ISBLANK(F254), "", IFERROR(_xlfn.IFS(LEFT(F254,1)="+", (VALUE(MID(F254,2,LEN(F254)))+100)/100, VALUE(F254)&gt;0, (F254+100)/100, VALUE(F254)&lt;0, (ABS(F254)+100)/ABS(F254), F254=0, 0), ""))</f>
        <v/>
      </c>
      <c r="H254" s="1"/>
      <c r="I254" s="4" t="str">
        <f>IF(Bet_Log[[#This Row],[Result ]]="", "", IF(Bet_Log[[#This Row],[Result ]]="Win", Bet_Log[[#This Row],[Stake]]*Bet_Log[[#This Row],[Decimal]]-Bet_Log[[#This Row],[Stake]], IF(Bet_Log[[#This Row],[Result ]]="Loss", -Bet_Log[[#This Row],[Stake]], IF(Bet_Log[[#This Row],[Result ]]="Push", 0, ""))))</f>
        <v/>
      </c>
      <c r="J254" s="2" t="str">
        <f>IF(Bet_Log[[#This Row],[Return]]="", "", J253 + Bet_Log[[#This Row],[Return]])</f>
        <v/>
      </c>
      <c r="K254" s="9"/>
    </row>
    <row r="255" spans="1:11" x14ac:dyDescent="0.2">
      <c r="A255" s="27"/>
      <c r="B255" s="1"/>
      <c r="C255" s="6"/>
      <c r="D255" s="1"/>
      <c r="E255" s="7"/>
      <c r="F255" s="8"/>
      <c r="G255" s="3" t="str" cm="1">
        <f t="array" ref="G255">IF(ISBLANK(F255), "", IFERROR(_xlfn.IFS(LEFT(F255,1)="+", (VALUE(MID(F255,2,LEN(F255)))+100)/100, VALUE(F255)&gt;0, (F255+100)/100, VALUE(F255)&lt;0, (ABS(F255)+100)/ABS(F255), F255=0, 0), ""))</f>
        <v/>
      </c>
      <c r="H255" s="1"/>
      <c r="I255" s="4" t="str">
        <f>IF(Bet_Log[[#This Row],[Result ]]="", "", IF(Bet_Log[[#This Row],[Result ]]="Win", Bet_Log[[#This Row],[Stake]]*Bet_Log[[#This Row],[Decimal]]-Bet_Log[[#This Row],[Stake]], IF(Bet_Log[[#This Row],[Result ]]="Loss", -Bet_Log[[#This Row],[Stake]], IF(Bet_Log[[#This Row],[Result ]]="Push", 0, ""))))</f>
        <v/>
      </c>
      <c r="J255" s="2" t="str">
        <f>IF(Bet_Log[[#This Row],[Return]]="", "", J254 + Bet_Log[[#This Row],[Return]])</f>
        <v/>
      </c>
      <c r="K255" s="9"/>
    </row>
    <row r="256" spans="1:11" x14ac:dyDescent="0.2">
      <c r="A256" s="27"/>
      <c r="B256" s="1"/>
      <c r="C256" s="6"/>
      <c r="D256" s="1"/>
      <c r="E256" s="7"/>
      <c r="F256" s="8"/>
      <c r="G256" s="3" t="str" cm="1">
        <f t="array" ref="G256">IF(ISBLANK(F256), "", IFERROR(_xlfn.IFS(LEFT(F256,1)="+", (VALUE(MID(F256,2,LEN(F256)))+100)/100, VALUE(F256)&gt;0, (F256+100)/100, VALUE(F256)&lt;0, (ABS(F256)+100)/ABS(F256), F256=0, 0), ""))</f>
        <v/>
      </c>
      <c r="H256" s="1"/>
      <c r="I256" s="4" t="str">
        <f>IF(Bet_Log[[#This Row],[Result ]]="", "", IF(Bet_Log[[#This Row],[Result ]]="Win", Bet_Log[[#This Row],[Stake]]*Bet_Log[[#This Row],[Decimal]]-Bet_Log[[#This Row],[Stake]], IF(Bet_Log[[#This Row],[Result ]]="Loss", -Bet_Log[[#This Row],[Stake]], IF(Bet_Log[[#This Row],[Result ]]="Push", 0, ""))))</f>
        <v/>
      </c>
      <c r="J256" s="2" t="str">
        <f>IF(Bet_Log[[#This Row],[Return]]="", "", J255 + Bet_Log[[#This Row],[Return]])</f>
        <v/>
      </c>
      <c r="K256" s="9"/>
    </row>
    <row r="257" spans="1:11" x14ac:dyDescent="0.2">
      <c r="A257" s="27"/>
      <c r="B257" s="1"/>
      <c r="C257" s="6"/>
      <c r="D257" s="1"/>
      <c r="E257" s="7"/>
      <c r="F257" s="8"/>
      <c r="G257" s="3" t="str" cm="1">
        <f t="array" ref="G257">IF(ISBLANK(F257), "", IFERROR(_xlfn.IFS(LEFT(F257,1)="+", (VALUE(MID(F257,2,LEN(F257)))+100)/100, VALUE(F257)&gt;0, (F257+100)/100, VALUE(F257)&lt;0, (ABS(F257)+100)/ABS(F257), F257=0, 0), ""))</f>
        <v/>
      </c>
      <c r="H257" s="1"/>
      <c r="I257" s="4" t="str">
        <f>IF(Bet_Log[[#This Row],[Result ]]="", "", IF(Bet_Log[[#This Row],[Result ]]="Win", Bet_Log[[#This Row],[Stake]]*Bet_Log[[#This Row],[Decimal]]-Bet_Log[[#This Row],[Stake]], IF(Bet_Log[[#This Row],[Result ]]="Loss", -Bet_Log[[#This Row],[Stake]], IF(Bet_Log[[#This Row],[Result ]]="Push", 0, ""))))</f>
        <v/>
      </c>
      <c r="J257" s="2" t="str">
        <f>IF(Bet_Log[[#This Row],[Return]]="", "", J256 + Bet_Log[[#This Row],[Return]])</f>
        <v/>
      </c>
      <c r="K257" s="9"/>
    </row>
    <row r="258" spans="1:11" x14ac:dyDescent="0.2">
      <c r="A258" s="27"/>
      <c r="B258" s="1"/>
      <c r="C258" s="6"/>
      <c r="D258" s="1"/>
      <c r="E258" s="7"/>
      <c r="F258" s="8"/>
      <c r="G258" s="3" t="str" cm="1">
        <f t="array" ref="G258">IF(ISBLANK(F258), "", IFERROR(_xlfn.IFS(LEFT(F258,1)="+", (VALUE(MID(F258,2,LEN(F258)))+100)/100, VALUE(F258)&gt;0, (F258+100)/100, VALUE(F258)&lt;0, (ABS(F258)+100)/ABS(F258), F258=0, 0), ""))</f>
        <v/>
      </c>
      <c r="H258" s="1"/>
      <c r="I258" s="4" t="str">
        <f>IF(Bet_Log[[#This Row],[Result ]]="", "", IF(Bet_Log[[#This Row],[Result ]]="Win", Bet_Log[[#This Row],[Stake]]*Bet_Log[[#This Row],[Decimal]]-Bet_Log[[#This Row],[Stake]], IF(Bet_Log[[#This Row],[Result ]]="Loss", -Bet_Log[[#This Row],[Stake]], IF(Bet_Log[[#This Row],[Result ]]="Push", 0, ""))))</f>
        <v/>
      </c>
      <c r="J258" s="2" t="str">
        <f>IF(Bet_Log[[#This Row],[Return]]="", "", J257 + Bet_Log[[#This Row],[Return]])</f>
        <v/>
      </c>
      <c r="K258" s="9"/>
    </row>
    <row r="259" spans="1:11" x14ac:dyDescent="0.2">
      <c r="A259" s="27"/>
      <c r="B259" s="1"/>
      <c r="C259" s="6"/>
      <c r="D259" s="1"/>
      <c r="E259" s="7"/>
      <c r="F259" s="8"/>
      <c r="G259" s="3" t="str" cm="1">
        <f t="array" ref="G259">IF(ISBLANK(F259), "", IFERROR(_xlfn.IFS(LEFT(F259,1)="+", (VALUE(MID(F259,2,LEN(F259)))+100)/100, VALUE(F259)&gt;0, (F259+100)/100, VALUE(F259)&lt;0, (ABS(F259)+100)/ABS(F259), F259=0, 0), ""))</f>
        <v/>
      </c>
      <c r="H259" s="1"/>
      <c r="I259" s="4" t="str">
        <f>IF(Bet_Log[[#This Row],[Result ]]="", "", IF(Bet_Log[[#This Row],[Result ]]="Win", Bet_Log[[#This Row],[Stake]]*Bet_Log[[#This Row],[Decimal]]-Bet_Log[[#This Row],[Stake]], IF(Bet_Log[[#This Row],[Result ]]="Loss", -Bet_Log[[#This Row],[Stake]], IF(Bet_Log[[#This Row],[Result ]]="Push", 0, ""))))</f>
        <v/>
      </c>
      <c r="J259" s="2" t="str">
        <f>IF(Bet_Log[[#This Row],[Return]]="", "", J258 + Bet_Log[[#This Row],[Return]])</f>
        <v/>
      </c>
      <c r="K259" s="9"/>
    </row>
    <row r="260" spans="1:11" x14ac:dyDescent="0.2">
      <c r="A260" s="27"/>
      <c r="B260" s="1"/>
      <c r="C260" s="6"/>
      <c r="D260" s="1"/>
      <c r="E260" s="7"/>
      <c r="F260" s="8"/>
      <c r="G260" s="3" t="str" cm="1">
        <f t="array" ref="G260">IF(ISBLANK(F260), "", IFERROR(_xlfn.IFS(LEFT(F260,1)="+", (VALUE(MID(F260,2,LEN(F260)))+100)/100, VALUE(F260)&gt;0, (F260+100)/100, VALUE(F260)&lt;0, (ABS(F260)+100)/ABS(F260), F260=0, 0), ""))</f>
        <v/>
      </c>
      <c r="H260" s="1"/>
      <c r="I260" s="4" t="str">
        <f>IF(Bet_Log[[#This Row],[Result ]]="", "", IF(Bet_Log[[#This Row],[Result ]]="Win", Bet_Log[[#This Row],[Stake]]*Bet_Log[[#This Row],[Decimal]]-Bet_Log[[#This Row],[Stake]], IF(Bet_Log[[#This Row],[Result ]]="Loss", -Bet_Log[[#This Row],[Stake]], IF(Bet_Log[[#This Row],[Result ]]="Push", 0, ""))))</f>
        <v/>
      </c>
      <c r="J260" s="2" t="str">
        <f>IF(Bet_Log[[#This Row],[Return]]="", "", J259 + Bet_Log[[#This Row],[Return]])</f>
        <v/>
      </c>
      <c r="K260" s="9"/>
    </row>
    <row r="261" spans="1:11" x14ac:dyDescent="0.2">
      <c r="A261" s="27"/>
      <c r="B261" s="1"/>
      <c r="C261" s="6"/>
      <c r="D261" s="1"/>
      <c r="E261" s="7"/>
      <c r="F261" s="8"/>
      <c r="G261" s="3" t="str" cm="1">
        <f t="array" ref="G261">IF(ISBLANK(F261), "", IFERROR(_xlfn.IFS(LEFT(F261,1)="+", (VALUE(MID(F261,2,LEN(F261)))+100)/100, VALUE(F261)&gt;0, (F261+100)/100, VALUE(F261)&lt;0, (ABS(F261)+100)/ABS(F261), F261=0, 0), ""))</f>
        <v/>
      </c>
      <c r="H261" s="1"/>
      <c r="I261" s="4" t="str">
        <f>IF(Bet_Log[[#This Row],[Result ]]="", "", IF(Bet_Log[[#This Row],[Result ]]="Win", Bet_Log[[#This Row],[Stake]]*Bet_Log[[#This Row],[Decimal]]-Bet_Log[[#This Row],[Stake]], IF(Bet_Log[[#This Row],[Result ]]="Loss", -Bet_Log[[#This Row],[Stake]], IF(Bet_Log[[#This Row],[Result ]]="Push", 0, ""))))</f>
        <v/>
      </c>
      <c r="J261" s="2" t="str">
        <f>IF(Bet_Log[[#This Row],[Return]]="", "", J260 + Bet_Log[[#This Row],[Return]])</f>
        <v/>
      </c>
      <c r="K261" s="9"/>
    </row>
    <row r="262" spans="1:11" x14ac:dyDescent="0.2">
      <c r="A262" s="27"/>
      <c r="B262" s="1"/>
      <c r="C262" s="6"/>
      <c r="D262" s="1"/>
      <c r="E262" s="7"/>
      <c r="F262" s="8"/>
      <c r="G262" s="3" t="str" cm="1">
        <f t="array" ref="G262">IF(ISBLANK(F262), "", IFERROR(_xlfn.IFS(LEFT(F262,1)="+", (VALUE(MID(F262,2,LEN(F262)))+100)/100, VALUE(F262)&gt;0, (F262+100)/100, VALUE(F262)&lt;0, (ABS(F262)+100)/ABS(F262), F262=0, 0), ""))</f>
        <v/>
      </c>
      <c r="H262" s="1"/>
      <c r="I262" s="4" t="str">
        <f>IF(Bet_Log[[#This Row],[Result ]]="", "", IF(Bet_Log[[#This Row],[Result ]]="Win", Bet_Log[[#This Row],[Stake]]*Bet_Log[[#This Row],[Decimal]]-Bet_Log[[#This Row],[Stake]], IF(Bet_Log[[#This Row],[Result ]]="Loss", -Bet_Log[[#This Row],[Stake]], IF(Bet_Log[[#This Row],[Result ]]="Push", 0, ""))))</f>
        <v/>
      </c>
      <c r="J262" s="2" t="str">
        <f>IF(Bet_Log[[#This Row],[Return]]="", "", J261 + Bet_Log[[#This Row],[Return]])</f>
        <v/>
      </c>
      <c r="K262" s="9"/>
    </row>
    <row r="263" spans="1:11" x14ac:dyDescent="0.2">
      <c r="A263" s="27"/>
      <c r="B263" s="1"/>
      <c r="C263" s="6"/>
      <c r="D263" s="1"/>
      <c r="E263" s="7"/>
      <c r="F263" s="8"/>
      <c r="G263" s="3" t="str" cm="1">
        <f t="array" ref="G263">IF(ISBLANK(F263), "", IFERROR(_xlfn.IFS(LEFT(F263,1)="+", (VALUE(MID(F263,2,LEN(F263)))+100)/100, VALUE(F263)&gt;0, (F263+100)/100, VALUE(F263)&lt;0, (ABS(F263)+100)/ABS(F263), F263=0, 0), ""))</f>
        <v/>
      </c>
      <c r="H263" s="1"/>
      <c r="I263" s="4" t="str">
        <f>IF(Bet_Log[[#This Row],[Result ]]="", "", IF(Bet_Log[[#This Row],[Result ]]="Win", Bet_Log[[#This Row],[Stake]]*Bet_Log[[#This Row],[Decimal]]-Bet_Log[[#This Row],[Stake]], IF(Bet_Log[[#This Row],[Result ]]="Loss", -Bet_Log[[#This Row],[Stake]], IF(Bet_Log[[#This Row],[Result ]]="Push", 0, ""))))</f>
        <v/>
      </c>
      <c r="J263" s="2" t="str">
        <f>IF(Bet_Log[[#This Row],[Return]]="", "", J262 + Bet_Log[[#This Row],[Return]])</f>
        <v/>
      </c>
      <c r="K263" s="9"/>
    </row>
    <row r="264" spans="1:11" x14ac:dyDescent="0.2">
      <c r="A264" s="27"/>
      <c r="B264" s="1"/>
      <c r="C264" s="6"/>
      <c r="D264" s="1"/>
      <c r="E264" s="7"/>
      <c r="F264" s="8"/>
      <c r="G264" s="3" t="str" cm="1">
        <f t="array" ref="G264">IF(ISBLANK(F264), "", IFERROR(_xlfn.IFS(LEFT(F264,1)="+", (VALUE(MID(F264,2,LEN(F264)))+100)/100, VALUE(F264)&gt;0, (F264+100)/100, VALUE(F264)&lt;0, (ABS(F264)+100)/ABS(F264), F264=0, 0), ""))</f>
        <v/>
      </c>
      <c r="H264" s="1"/>
      <c r="I264" s="4" t="str">
        <f>IF(Bet_Log[[#This Row],[Result ]]="", "", IF(Bet_Log[[#This Row],[Result ]]="Win", Bet_Log[[#This Row],[Stake]]*Bet_Log[[#This Row],[Decimal]]-Bet_Log[[#This Row],[Stake]], IF(Bet_Log[[#This Row],[Result ]]="Loss", -Bet_Log[[#This Row],[Stake]], IF(Bet_Log[[#This Row],[Result ]]="Push", 0, ""))))</f>
        <v/>
      </c>
      <c r="J264" s="2" t="str">
        <f>IF(Bet_Log[[#This Row],[Return]]="", "", J263 + Bet_Log[[#This Row],[Return]])</f>
        <v/>
      </c>
      <c r="K264" s="9"/>
    </row>
    <row r="265" spans="1:11" x14ac:dyDescent="0.2">
      <c r="A265" s="27"/>
      <c r="B265" s="1"/>
      <c r="C265" s="6"/>
      <c r="D265" s="1"/>
      <c r="E265" s="7"/>
      <c r="F265" s="8"/>
      <c r="G265" s="3" t="str" cm="1">
        <f t="array" ref="G265">IF(ISBLANK(F265), "", IFERROR(_xlfn.IFS(LEFT(F265,1)="+", (VALUE(MID(F265,2,LEN(F265)))+100)/100, VALUE(F265)&gt;0, (F265+100)/100, VALUE(F265)&lt;0, (ABS(F265)+100)/ABS(F265), F265=0, 0), ""))</f>
        <v/>
      </c>
      <c r="H265" s="1"/>
      <c r="I265" s="4" t="str">
        <f>IF(Bet_Log[[#This Row],[Result ]]="", "", IF(Bet_Log[[#This Row],[Result ]]="Win", Bet_Log[[#This Row],[Stake]]*Bet_Log[[#This Row],[Decimal]]-Bet_Log[[#This Row],[Stake]], IF(Bet_Log[[#This Row],[Result ]]="Loss", -Bet_Log[[#This Row],[Stake]], IF(Bet_Log[[#This Row],[Result ]]="Push", 0, ""))))</f>
        <v/>
      </c>
      <c r="J265" s="2" t="str">
        <f>IF(Bet_Log[[#This Row],[Return]]="", "", J264 + Bet_Log[[#This Row],[Return]])</f>
        <v/>
      </c>
      <c r="K265" s="9"/>
    </row>
    <row r="266" spans="1:11" x14ac:dyDescent="0.2">
      <c r="A266" s="27"/>
      <c r="B266" s="1"/>
      <c r="C266" s="6"/>
      <c r="D266" s="1"/>
      <c r="E266" s="7"/>
      <c r="F266" s="8"/>
      <c r="G266" s="3" t="str" cm="1">
        <f t="array" ref="G266">IF(ISBLANK(F266), "", IFERROR(_xlfn.IFS(LEFT(F266,1)="+", (VALUE(MID(F266,2,LEN(F266)))+100)/100, VALUE(F266)&gt;0, (F266+100)/100, VALUE(F266)&lt;0, (ABS(F266)+100)/ABS(F266), F266=0, 0), ""))</f>
        <v/>
      </c>
      <c r="H266" s="1"/>
      <c r="I266" s="4" t="str">
        <f>IF(Bet_Log[[#This Row],[Result ]]="", "", IF(Bet_Log[[#This Row],[Result ]]="Win", Bet_Log[[#This Row],[Stake]]*Bet_Log[[#This Row],[Decimal]]-Bet_Log[[#This Row],[Stake]], IF(Bet_Log[[#This Row],[Result ]]="Loss", -Bet_Log[[#This Row],[Stake]], IF(Bet_Log[[#This Row],[Result ]]="Push", 0, ""))))</f>
        <v/>
      </c>
      <c r="J266" s="2" t="str">
        <f>IF(Bet_Log[[#This Row],[Return]]="", "", J265 + Bet_Log[[#This Row],[Return]])</f>
        <v/>
      </c>
      <c r="K266" s="9"/>
    </row>
    <row r="267" spans="1:11" x14ac:dyDescent="0.2">
      <c r="A267" s="27"/>
      <c r="B267" s="1"/>
      <c r="C267" s="6"/>
      <c r="D267" s="1"/>
      <c r="E267" s="7"/>
      <c r="F267" s="8"/>
      <c r="G267" s="3" t="str" cm="1">
        <f t="array" ref="G267">IF(ISBLANK(F267), "", IFERROR(_xlfn.IFS(LEFT(F267,1)="+", (VALUE(MID(F267,2,LEN(F267)))+100)/100, VALUE(F267)&gt;0, (F267+100)/100, VALUE(F267)&lt;0, (ABS(F267)+100)/ABS(F267), F267=0, 0), ""))</f>
        <v/>
      </c>
      <c r="H267" s="1"/>
      <c r="I267" s="4" t="str">
        <f>IF(Bet_Log[[#This Row],[Result ]]="", "", IF(Bet_Log[[#This Row],[Result ]]="Win", Bet_Log[[#This Row],[Stake]]*Bet_Log[[#This Row],[Decimal]]-Bet_Log[[#This Row],[Stake]], IF(Bet_Log[[#This Row],[Result ]]="Loss", -Bet_Log[[#This Row],[Stake]], IF(Bet_Log[[#This Row],[Result ]]="Push", 0, ""))))</f>
        <v/>
      </c>
      <c r="J267" s="2" t="str">
        <f>IF(Bet_Log[[#This Row],[Return]]="", "", J266 + Bet_Log[[#This Row],[Return]])</f>
        <v/>
      </c>
      <c r="K267" s="9"/>
    </row>
    <row r="268" spans="1:11" x14ac:dyDescent="0.2">
      <c r="A268" s="27"/>
      <c r="B268" s="1"/>
      <c r="C268" s="6"/>
      <c r="D268" s="1"/>
      <c r="E268" s="7"/>
      <c r="F268" s="8"/>
      <c r="G268" s="3" t="str" cm="1">
        <f t="array" ref="G268">IF(ISBLANK(F268), "", IFERROR(_xlfn.IFS(LEFT(F268,1)="+", (VALUE(MID(F268,2,LEN(F268)))+100)/100, VALUE(F268)&gt;0, (F268+100)/100, VALUE(F268)&lt;0, (ABS(F268)+100)/ABS(F268), F268=0, 0), ""))</f>
        <v/>
      </c>
      <c r="H268" s="1"/>
      <c r="I268" s="4" t="str">
        <f>IF(Bet_Log[[#This Row],[Result ]]="", "", IF(Bet_Log[[#This Row],[Result ]]="Win", Bet_Log[[#This Row],[Stake]]*Bet_Log[[#This Row],[Decimal]]-Bet_Log[[#This Row],[Stake]], IF(Bet_Log[[#This Row],[Result ]]="Loss", -Bet_Log[[#This Row],[Stake]], IF(Bet_Log[[#This Row],[Result ]]="Push", 0, ""))))</f>
        <v/>
      </c>
      <c r="J268" s="2" t="str">
        <f>IF(Bet_Log[[#This Row],[Return]]="", "", J267 + Bet_Log[[#This Row],[Return]])</f>
        <v/>
      </c>
      <c r="K268" s="9"/>
    </row>
    <row r="269" spans="1:11" x14ac:dyDescent="0.2">
      <c r="A269" s="27"/>
      <c r="B269" s="1"/>
      <c r="C269" s="6"/>
      <c r="D269" s="1"/>
      <c r="E269" s="7"/>
      <c r="F269" s="8"/>
      <c r="G269" s="3" t="str" cm="1">
        <f t="array" ref="G269">IF(ISBLANK(F269), "", IFERROR(_xlfn.IFS(LEFT(F269,1)="+", (VALUE(MID(F269,2,LEN(F269)))+100)/100, VALUE(F269)&gt;0, (F269+100)/100, VALUE(F269)&lt;0, (ABS(F269)+100)/ABS(F269), F269=0, 0), ""))</f>
        <v/>
      </c>
      <c r="H269" s="1"/>
      <c r="I269" s="4" t="str">
        <f>IF(Bet_Log[[#This Row],[Result ]]="", "", IF(Bet_Log[[#This Row],[Result ]]="Win", Bet_Log[[#This Row],[Stake]]*Bet_Log[[#This Row],[Decimal]]-Bet_Log[[#This Row],[Stake]], IF(Bet_Log[[#This Row],[Result ]]="Loss", -Bet_Log[[#This Row],[Stake]], IF(Bet_Log[[#This Row],[Result ]]="Push", 0, ""))))</f>
        <v/>
      </c>
      <c r="J269" s="2" t="str">
        <f>IF(Bet_Log[[#This Row],[Return]]="", "", J268 + Bet_Log[[#This Row],[Return]])</f>
        <v/>
      </c>
      <c r="K269" s="9"/>
    </row>
    <row r="270" spans="1:11" x14ac:dyDescent="0.2">
      <c r="A270" s="27"/>
      <c r="B270" s="1"/>
      <c r="C270" s="6"/>
      <c r="D270" s="1"/>
      <c r="E270" s="7"/>
      <c r="F270" s="8"/>
      <c r="G270" s="3" t="str" cm="1">
        <f t="array" ref="G270">IF(ISBLANK(F270), "", IFERROR(_xlfn.IFS(LEFT(F270,1)="+", (VALUE(MID(F270,2,LEN(F270)))+100)/100, VALUE(F270)&gt;0, (F270+100)/100, VALUE(F270)&lt;0, (ABS(F270)+100)/ABS(F270), F270=0, 0), ""))</f>
        <v/>
      </c>
      <c r="H270" s="1"/>
      <c r="I270" s="4" t="str">
        <f>IF(Bet_Log[[#This Row],[Result ]]="", "", IF(Bet_Log[[#This Row],[Result ]]="Win", Bet_Log[[#This Row],[Stake]]*Bet_Log[[#This Row],[Decimal]]-Bet_Log[[#This Row],[Stake]], IF(Bet_Log[[#This Row],[Result ]]="Loss", -Bet_Log[[#This Row],[Stake]], IF(Bet_Log[[#This Row],[Result ]]="Push", 0, ""))))</f>
        <v/>
      </c>
      <c r="J270" s="2" t="str">
        <f>IF(Bet_Log[[#This Row],[Return]]="", "", J269 + Bet_Log[[#This Row],[Return]])</f>
        <v/>
      </c>
      <c r="K270" s="9"/>
    </row>
    <row r="271" spans="1:11" x14ac:dyDescent="0.2">
      <c r="A271" s="27"/>
      <c r="B271" s="1"/>
      <c r="C271" s="6"/>
      <c r="D271" s="1"/>
      <c r="E271" s="7"/>
      <c r="F271" s="8"/>
      <c r="G271" s="3" t="str" cm="1">
        <f t="array" ref="G271">IF(ISBLANK(F271), "", IFERROR(_xlfn.IFS(LEFT(F271,1)="+", (VALUE(MID(F271,2,LEN(F271)))+100)/100, VALUE(F271)&gt;0, (F271+100)/100, VALUE(F271)&lt;0, (ABS(F271)+100)/ABS(F271), F271=0, 0), ""))</f>
        <v/>
      </c>
      <c r="H271" s="1"/>
      <c r="I271" s="4" t="str">
        <f>IF(Bet_Log[[#This Row],[Result ]]="", "", IF(Bet_Log[[#This Row],[Result ]]="Win", Bet_Log[[#This Row],[Stake]]*Bet_Log[[#This Row],[Decimal]]-Bet_Log[[#This Row],[Stake]], IF(Bet_Log[[#This Row],[Result ]]="Loss", -Bet_Log[[#This Row],[Stake]], IF(Bet_Log[[#This Row],[Result ]]="Push", 0, ""))))</f>
        <v/>
      </c>
      <c r="J271" s="2" t="str">
        <f>IF(Bet_Log[[#This Row],[Return]]="", "", J270 + Bet_Log[[#This Row],[Return]])</f>
        <v/>
      </c>
      <c r="K271" s="9"/>
    </row>
    <row r="272" spans="1:11" x14ac:dyDescent="0.2">
      <c r="A272" s="27"/>
      <c r="B272" s="1"/>
      <c r="C272" s="6"/>
      <c r="D272" s="1"/>
      <c r="E272" s="7"/>
      <c r="F272" s="8"/>
      <c r="G272" s="3" t="str" cm="1">
        <f t="array" ref="G272">IF(ISBLANK(F272), "", IFERROR(_xlfn.IFS(LEFT(F272,1)="+", (VALUE(MID(F272,2,LEN(F272)))+100)/100, VALUE(F272)&gt;0, (F272+100)/100, VALUE(F272)&lt;0, (ABS(F272)+100)/ABS(F272), F272=0, 0), ""))</f>
        <v/>
      </c>
      <c r="H272" s="1"/>
      <c r="I272" s="4" t="str">
        <f>IF(Bet_Log[[#This Row],[Result ]]="", "", IF(Bet_Log[[#This Row],[Result ]]="Win", Bet_Log[[#This Row],[Stake]]*Bet_Log[[#This Row],[Decimal]]-Bet_Log[[#This Row],[Stake]], IF(Bet_Log[[#This Row],[Result ]]="Loss", -Bet_Log[[#This Row],[Stake]], IF(Bet_Log[[#This Row],[Result ]]="Push", 0, ""))))</f>
        <v/>
      </c>
      <c r="J272" s="2" t="str">
        <f>IF(Bet_Log[[#This Row],[Return]]="", "", J271 + Bet_Log[[#This Row],[Return]])</f>
        <v/>
      </c>
      <c r="K272" s="9"/>
    </row>
    <row r="273" spans="1:11" x14ac:dyDescent="0.2">
      <c r="A273" s="27"/>
      <c r="B273" s="1"/>
      <c r="C273" s="6"/>
      <c r="D273" s="1"/>
      <c r="E273" s="7"/>
      <c r="F273" s="8"/>
      <c r="G273" s="3" t="str" cm="1">
        <f t="array" ref="G273">IF(ISBLANK(F273), "", IFERROR(_xlfn.IFS(LEFT(F273,1)="+", (VALUE(MID(F273,2,LEN(F273)))+100)/100, VALUE(F273)&gt;0, (F273+100)/100, VALUE(F273)&lt;0, (ABS(F273)+100)/ABS(F273), F273=0, 0), ""))</f>
        <v/>
      </c>
      <c r="H273" s="1"/>
      <c r="I273" s="4" t="str">
        <f>IF(Bet_Log[[#This Row],[Result ]]="", "", IF(Bet_Log[[#This Row],[Result ]]="Win", Bet_Log[[#This Row],[Stake]]*Bet_Log[[#This Row],[Decimal]]-Bet_Log[[#This Row],[Stake]], IF(Bet_Log[[#This Row],[Result ]]="Loss", -Bet_Log[[#This Row],[Stake]], IF(Bet_Log[[#This Row],[Result ]]="Push", 0, ""))))</f>
        <v/>
      </c>
      <c r="J273" s="2" t="str">
        <f>IF(Bet_Log[[#This Row],[Return]]="", "", J272 + Bet_Log[[#This Row],[Return]])</f>
        <v/>
      </c>
      <c r="K273" s="9"/>
    </row>
    <row r="274" spans="1:11" x14ac:dyDescent="0.2">
      <c r="A274" s="27"/>
      <c r="B274" s="1"/>
      <c r="C274" s="6"/>
      <c r="D274" s="1"/>
      <c r="E274" s="7"/>
      <c r="F274" s="8"/>
      <c r="G274" s="3" t="str" cm="1">
        <f t="array" ref="G274">IF(ISBLANK(F274), "", IFERROR(_xlfn.IFS(LEFT(F274,1)="+", (VALUE(MID(F274,2,LEN(F274)))+100)/100, VALUE(F274)&gt;0, (F274+100)/100, VALUE(F274)&lt;0, (ABS(F274)+100)/ABS(F274), F274=0, 0), ""))</f>
        <v/>
      </c>
      <c r="H274" s="1"/>
      <c r="I274" s="4" t="str">
        <f>IF(Bet_Log[[#This Row],[Result ]]="", "", IF(Bet_Log[[#This Row],[Result ]]="Win", Bet_Log[[#This Row],[Stake]]*Bet_Log[[#This Row],[Decimal]]-Bet_Log[[#This Row],[Stake]], IF(Bet_Log[[#This Row],[Result ]]="Loss", -Bet_Log[[#This Row],[Stake]], IF(Bet_Log[[#This Row],[Result ]]="Push", 0, ""))))</f>
        <v/>
      </c>
      <c r="J274" s="2" t="str">
        <f>IF(Bet_Log[[#This Row],[Return]]="", "", J273 + Bet_Log[[#This Row],[Return]])</f>
        <v/>
      </c>
      <c r="K274" s="9"/>
    </row>
    <row r="275" spans="1:11" x14ac:dyDescent="0.2">
      <c r="A275" s="27"/>
      <c r="B275" s="1"/>
      <c r="C275" s="6"/>
      <c r="D275" s="1"/>
      <c r="E275" s="7"/>
      <c r="F275" s="8"/>
      <c r="G275" s="3" t="str" cm="1">
        <f t="array" ref="G275">IF(ISBLANK(F275), "", IFERROR(_xlfn.IFS(LEFT(F275,1)="+", (VALUE(MID(F275,2,LEN(F275)))+100)/100, VALUE(F275)&gt;0, (F275+100)/100, VALUE(F275)&lt;0, (ABS(F275)+100)/ABS(F275), F275=0, 0), ""))</f>
        <v/>
      </c>
      <c r="H275" s="1"/>
      <c r="I275" s="4" t="str">
        <f>IF(Bet_Log[[#This Row],[Result ]]="", "", IF(Bet_Log[[#This Row],[Result ]]="Win", Bet_Log[[#This Row],[Stake]]*Bet_Log[[#This Row],[Decimal]]-Bet_Log[[#This Row],[Stake]], IF(Bet_Log[[#This Row],[Result ]]="Loss", -Bet_Log[[#This Row],[Stake]], IF(Bet_Log[[#This Row],[Result ]]="Push", 0, ""))))</f>
        <v/>
      </c>
      <c r="J275" s="2" t="str">
        <f>IF(Bet_Log[[#This Row],[Return]]="", "", J274 + Bet_Log[[#This Row],[Return]])</f>
        <v/>
      </c>
      <c r="K275" s="9"/>
    </row>
    <row r="276" spans="1:11" x14ac:dyDescent="0.2">
      <c r="A276" s="27"/>
      <c r="B276" s="1"/>
      <c r="C276" s="6"/>
      <c r="D276" s="1"/>
      <c r="E276" s="7"/>
      <c r="F276" s="8"/>
      <c r="G276" s="3" t="str" cm="1">
        <f t="array" ref="G276">IF(ISBLANK(F276), "", IFERROR(_xlfn.IFS(LEFT(F276,1)="+", (VALUE(MID(F276,2,LEN(F276)))+100)/100, VALUE(F276)&gt;0, (F276+100)/100, VALUE(F276)&lt;0, (ABS(F276)+100)/ABS(F276), F276=0, 0), ""))</f>
        <v/>
      </c>
      <c r="H276" s="1"/>
      <c r="I276" s="4" t="str">
        <f>IF(Bet_Log[[#This Row],[Result ]]="", "", IF(Bet_Log[[#This Row],[Result ]]="Win", Bet_Log[[#This Row],[Stake]]*Bet_Log[[#This Row],[Decimal]]-Bet_Log[[#This Row],[Stake]], IF(Bet_Log[[#This Row],[Result ]]="Loss", -Bet_Log[[#This Row],[Stake]], IF(Bet_Log[[#This Row],[Result ]]="Push", 0, ""))))</f>
        <v/>
      </c>
      <c r="J276" s="2" t="str">
        <f>IF(Bet_Log[[#This Row],[Return]]="", "", J275 + Bet_Log[[#This Row],[Return]])</f>
        <v/>
      </c>
      <c r="K276" s="9"/>
    </row>
    <row r="277" spans="1:11" x14ac:dyDescent="0.2">
      <c r="A277" s="27"/>
      <c r="B277" s="1"/>
      <c r="C277" s="6"/>
      <c r="D277" s="1"/>
      <c r="E277" s="7"/>
      <c r="F277" s="8"/>
      <c r="G277" s="3" t="str" cm="1">
        <f t="array" ref="G277">IF(ISBLANK(F277), "", IFERROR(_xlfn.IFS(LEFT(F277,1)="+", (VALUE(MID(F277,2,LEN(F277)))+100)/100, VALUE(F277)&gt;0, (F277+100)/100, VALUE(F277)&lt;0, (ABS(F277)+100)/ABS(F277), F277=0, 0), ""))</f>
        <v/>
      </c>
      <c r="H277" s="1"/>
      <c r="I277" s="4" t="str">
        <f>IF(Bet_Log[[#This Row],[Result ]]="", "", IF(Bet_Log[[#This Row],[Result ]]="Win", Bet_Log[[#This Row],[Stake]]*Bet_Log[[#This Row],[Decimal]]-Bet_Log[[#This Row],[Stake]], IF(Bet_Log[[#This Row],[Result ]]="Loss", -Bet_Log[[#This Row],[Stake]], IF(Bet_Log[[#This Row],[Result ]]="Push", 0, ""))))</f>
        <v/>
      </c>
      <c r="J277" s="2" t="str">
        <f>IF(Bet_Log[[#This Row],[Return]]="", "", J276 + Bet_Log[[#This Row],[Return]])</f>
        <v/>
      </c>
      <c r="K277" s="9"/>
    </row>
    <row r="278" spans="1:11" x14ac:dyDescent="0.2">
      <c r="A278" s="27"/>
      <c r="B278" s="1"/>
      <c r="C278" s="6"/>
      <c r="D278" s="1"/>
      <c r="E278" s="7"/>
      <c r="F278" s="8"/>
      <c r="G278" s="3" t="str" cm="1">
        <f t="array" ref="G278">IF(ISBLANK(F278), "", IFERROR(_xlfn.IFS(LEFT(F278,1)="+", (VALUE(MID(F278,2,LEN(F278)))+100)/100, VALUE(F278)&gt;0, (F278+100)/100, VALUE(F278)&lt;0, (ABS(F278)+100)/ABS(F278), F278=0, 0), ""))</f>
        <v/>
      </c>
      <c r="H278" s="1"/>
      <c r="I278" s="4" t="str">
        <f>IF(Bet_Log[[#This Row],[Result ]]="", "", IF(Bet_Log[[#This Row],[Result ]]="Win", Bet_Log[[#This Row],[Stake]]*Bet_Log[[#This Row],[Decimal]]-Bet_Log[[#This Row],[Stake]], IF(Bet_Log[[#This Row],[Result ]]="Loss", -Bet_Log[[#This Row],[Stake]], IF(Bet_Log[[#This Row],[Result ]]="Push", 0, ""))))</f>
        <v/>
      </c>
      <c r="J278" s="2" t="str">
        <f>IF(Bet_Log[[#This Row],[Return]]="", "", J277 + Bet_Log[[#This Row],[Return]])</f>
        <v/>
      </c>
      <c r="K278" s="9"/>
    </row>
    <row r="279" spans="1:11" x14ac:dyDescent="0.2">
      <c r="A279" s="27"/>
      <c r="B279" s="1"/>
      <c r="C279" s="6"/>
      <c r="D279" s="1"/>
      <c r="E279" s="7"/>
      <c r="F279" s="8"/>
      <c r="G279" s="3" t="str" cm="1">
        <f t="array" ref="G279">IF(ISBLANK(F279), "", IFERROR(_xlfn.IFS(LEFT(F279,1)="+", (VALUE(MID(F279,2,LEN(F279)))+100)/100, VALUE(F279)&gt;0, (F279+100)/100, VALUE(F279)&lt;0, (ABS(F279)+100)/ABS(F279), F279=0, 0), ""))</f>
        <v/>
      </c>
      <c r="H279" s="1"/>
      <c r="I279" s="4" t="str">
        <f>IF(Bet_Log[[#This Row],[Result ]]="", "", IF(Bet_Log[[#This Row],[Result ]]="Win", Bet_Log[[#This Row],[Stake]]*Bet_Log[[#This Row],[Decimal]]-Bet_Log[[#This Row],[Stake]], IF(Bet_Log[[#This Row],[Result ]]="Loss", -Bet_Log[[#This Row],[Stake]], IF(Bet_Log[[#This Row],[Result ]]="Push", 0, ""))))</f>
        <v/>
      </c>
      <c r="J279" s="2" t="str">
        <f>IF(Bet_Log[[#This Row],[Return]]="", "", J278 + Bet_Log[[#This Row],[Return]])</f>
        <v/>
      </c>
      <c r="K279" s="9"/>
    </row>
    <row r="280" spans="1:11" x14ac:dyDescent="0.2">
      <c r="A280" s="27"/>
      <c r="B280" s="1"/>
      <c r="C280" s="6"/>
      <c r="D280" s="1"/>
      <c r="E280" s="7"/>
      <c r="F280" s="8"/>
      <c r="G280" s="3" t="str" cm="1">
        <f t="array" ref="G280">IF(ISBLANK(F280), "", IFERROR(_xlfn.IFS(LEFT(F280,1)="+", (VALUE(MID(F280,2,LEN(F280)))+100)/100, VALUE(F280)&gt;0, (F280+100)/100, VALUE(F280)&lt;0, (ABS(F280)+100)/ABS(F280), F280=0, 0), ""))</f>
        <v/>
      </c>
      <c r="H280" s="1"/>
      <c r="I280" s="4" t="str">
        <f>IF(Bet_Log[[#This Row],[Result ]]="", "", IF(Bet_Log[[#This Row],[Result ]]="Win", Bet_Log[[#This Row],[Stake]]*Bet_Log[[#This Row],[Decimal]]-Bet_Log[[#This Row],[Stake]], IF(Bet_Log[[#This Row],[Result ]]="Loss", -Bet_Log[[#This Row],[Stake]], IF(Bet_Log[[#This Row],[Result ]]="Push", 0, ""))))</f>
        <v/>
      </c>
      <c r="J280" s="2" t="str">
        <f>IF(Bet_Log[[#This Row],[Return]]="", "", J279 + Bet_Log[[#This Row],[Return]])</f>
        <v/>
      </c>
      <c r="K280" s="9"/>
    </row>
    <row r="281" spans="1:11" x14ac:dyDescent="0.2">
      <c r="A281" s="27"/>
      <c r="B281" s="1"/>
      <c r="C281" s="6"/>
      <c r="D281" s="1"/>
      <c r="E281" s="7"/>
      <c r="F281" s="8"/>
      <c r="G281" s="3" t="str" cm="1">
        <f t="array" ref="G281">IF(ISBLANK(F281), "", IFERROR(_xlfn.IFS(LEFT(F281,1)="+", (VALUE(MID(F281,2,LEN(F281)))+100)/100, VALUE(F281)&gt;0, (F281+100)/100, VALUE(F281)&lt;0, (ABS(F281)+100)/ABS(F281), F281=0, 0), ""))</f>
        <v/>
      </c>
      <c r="H281" s="1"/>
      <c r="I281" s="4" t="str">
        <f>IF(Bet_Log[[#This Row],[Result ]]="", "", IF(Bet_Log[[#This Row],[Result ]]="Win", Bet_Log[[#This Row],[Stake]]*Bet_Log[[#This Row],[Decimal]]-Bet_Log[[#This Row],[Stake]], IF(Bet_Log[[#This Row],[Result ]]="Loss", -Bet_Log[[#This Row],[Stake]], IF(Bet_Log[[#This Row],[Result ]]="Push", 0, ""))))</f>
        <v/>
      </c>
      <c r="J281" s="2" t="str">
        <f>IF(Bet_Log[[#This Row],[Return]]="", "", J280 + Bet_Log[[#This Row],[Return]])</f>
        <v/>
      </c>
      <c r="K281" s="9"/>
    </row>
    <row r="282" spans="1:11" x14ac:dyDescent="0.2">
      <c r="A282" s="27"/>
      <c r="B282" s="1"/>
      <c r="C282" s="6"/>
      <c r="D282" s="1"/>
      <c r="E282" s="7"/>
      <c r="F282" s="8"/>
      <c r="G282" s="3" t="str" cm="1">
        <f t="array" ref="G282">IF(ISBLANK(F282), "", IFERROR(_xlfn.IFS(LEFT(F282,1)="+", (VALUE(MID(F282,2,LEN(F282)))+100)/100, VALUE(F282)&gt;0, (F282+100)/100, VALUE(F282)&lt;0, (ABS(F282)+100)/ABS(F282), F282=0, 0), ""))</f>
        <v/>
      </c>
      <c r="H282" s="1"/>
      <c r="I282" s="4" t="str">
        <f>IF(Bet_Log[[#This Row],[Result ]]="", "", IF(Bet_Log[[#This Row],[Result ]]="Win", Bet_Log[[#This Row],[Stake]]*Bet_Log[[#This Row],[Decimal]]-Bet_Log[[#This Row],[Stake]], IF(Bet_Log[[#This Row],[Result ]]="Loss", -Bet_Log[[#This Row],[Stake]], IF(Bet_Log[[#This Row],[Result ]]="Push", 0, ""))))</f>
        <v/>
      </c>
      <c r="J282" s="2" t="str">
        <f>IF(Bet_Log[[#This Row],[Return]]="", "", J281 + Bet_Log[[#This Row],[Return]])</f>
        <v/>
      </c>
      <c r="K282" s="9"/>
    </row>
    <row r="283" spans="1:11" x14ac:dyDescent="0.2">
      <c r="A283" s="27"/>
      <c r="B283" s="1"/>
      <c r="C283" s="6"/>
      <c r="D283" s="1"/>
      <c r="E283" s="7"/>
      <c r="F283" s="8"/>
      <c r="G283" s="3" t="str" cm="1">
        <f t="array" ref="G283">IF(ISBLANK(F283), "", IFERROR(_xlfn.IFS(LEFT(F283,1)="+", (VALUE(MID(F283,2,LEN(F283)))+100)/100, VALUE(F283)&gt;0, (F283+100)/100, VALUE(F283)&lt;0, (ABS(F283)+100)/ABS(F283), F283=0, 0), ""))</f>
        <v/>
      </c>
      <c r="H283" s="1"/>
      <c r="I283" s="4" t="str">
        <f>IF(Bet_Log[[#This Row],[Result ]]="", "", IF(Bet_Log[[#This Row],[Result ]]="Win", Bet_Log[[#This Row],[Stake]]*Bet_Log[[#This Row],[Decimal]]-Bet_Log[[#This Row],[Stake]], IF(Bet_Log[[#This Row],[Result ]]="Loss", -Bet_Log[[#This Row],[Stake]], IF(Bet_Log[[#This Row],[Result ]]="Push", 0, ""))))</f>
        <v/>
      </c>
      <c r="J283" s="2" t="str">
        <f>IF(Bet_Log[[#This Row],[Return]]="", "", J282 + Bet_Log[[#This Row],[Return]])</f>
        <v/>
      </c>
      <c r="K283" s="9"/>
    </row>
    <row r="284" spans="1:11" x14ac:dyDescent="0.2">
      <c r="A284" s="27"/>
      <c r="B284" s="1"/>
      <c r="C284" s="6"/>
      <c r="D284" s="1"/>
      <c r="E284" s="7"/>
      <c r="F284" s="8"/>
      <c r="G284" s="3" t="str" cm="1">
        <f t="array" ref="G284">IF(ISBLANK(F284), "", IFERROR(_xlfn.IFS(LEFT(F284,1)="+", (VALUE(MID(F284,2,LEN(F284)))+100)/100, VALUE(F284)&gt;0, (F284+100)/100, VALUE(F284)&lt;0, (ABS(F284)+100)/ABS(F284), F284=0, 0), ""))</f>
        <v/>
      </c>
      <c r="H284" s="1"/>
      <c r="I284" s="4" t="str">
        <f>IF(Bet_Log[[#This Row],[Result ]]="", "", IF(Bet_Log[[#This Row],[Result ]]="Win", Bet_Log[[#This Row],[Stake]]*Bet_Log[[#This Row],[Decimal]]-Bet_Log[[#This Row],[Stake]], IF(Bet_Log[[#This Row],[Result ]]="Loss", -Bet_Log[[#This Row],[Stake]], IF(Bet_Log[[#This Row],[Result ]]="Push", 0, ""))))</f>
        <v/>
      </c>
      <c r="J284" s="2" t="str">
        <f>IF(Bet_Log[[#This Row],[Return]]="", "", J283 + Bet_Log[[#This Row],[Return]])</f>
        <v/>
      </c>
      <c r="K284" s="9"/>
    </row>
    <row r="285" spans="1:11" x14ac:dyDescent="0.2">
      <c r="A285" s="27"/>
      <c r="B285" s="1"/>
      <c r="C285" s="6"/>
      <c r="D285" s="1"/>
      <c r="E285" s="7"/>
      <c r="F285" s="8"/>
      <c r="G285" s="3" t="str" cm="1">
        <f t="array" ref="G285">IF(ISBLANK(F285), "", IFERROR(_xlfn.IFS(LEFT(F285,1)="+", (VALUE(MID(F285,2,LEN(F285)))+100)/100, VALUE(F285)&gt;0, (F285+100)/100, VALUE(F285)&lt;0, (ABS(F285)+100)/ABS(F285), F285=0, 0), ""))</f>
        <v/>
      </c>
      <c r="H285" s="1"/>
      <c r="I285" s="4" t="str">
        <f>IF(Bet_Log[[#This Row],[Result ]]="", "", IF(Bet_Log[[#This Row],[Result ]]="Win", Bet_Log[[#This Row],[Stake]]*Bet_Log[[#This Row],[Decimal]]-Bet_Log[[#This Row],[Stake]], IF(Bet_Log[[#This Row],[Result ]]="Loss", -Bet_Log[[#This Row],[Stake]], IF(Bet_Log[[#This Row],[Result ]]="Push", 0, ""))))</f>
        <v/>
      </c>
      <c r="J285" s="2" t="str">
        <f>IF(Bet_Log[[#This Row],[Return]]="", "", J284 + Bet_Log[[#This Row],[Return]])</f>
        <v/>
      </c>
      <c r="K285" s="9"/>
    </row>
    <row r="286" spans="1:11" x14ac:dyDescent="0.2">
      <c r="A286" s="27"/>
      <c r="B286" s="1"/>
      <c r="C286" s="6"/>
      <c r="D286" s="1"/>
      <c r="E286" s="7"/>
      <c r="F286" s="8"/>
      <c r="G286" s="3" t="str" cm="1">
        <f t="array" ref="G286">IF(ISBLANK(F286), "", IFERROR(_xlfn.IFS(LEFT(F286,1)="+", (VALUE(MID(F286,2,LEN(F286)))+100)/100, VALUE(F286)&gt;0, (F286+100)/100, VALUE(F286)&lt;0, (ABS(F286)+100)/ABS(F286), F286=0, 0), ""))</f>
        <v/>
      </c>
      <c r="H286" s="1"/>
      <c r="I286" s="4" t="str">
        <f>IF(Bet_Log[[#This Row],[Result ]]="", "", IF(Bet_Log[[#This Row],[Result ]]="Win", Bet_Log[[#This Row],[Stake]]*Bet_Log[[#This Row],[Decimal]]-Bet_Log[[#This Row],[Stake]], IF(Bet_Log[[#This Row],[Result ]]="Loss", -Bet_Log[[#This Row],[Stake]], IF(Bet_Log[[#This Row],[Result ]]="Push", 0, ""))))</f>
        <v/>
      </c>
      <c r="J286" s="2" t="str">
        <f>IF(Bet_Log[[#This Row],[Return]]="", "", J285 + Bet_Log[[#This Row],[Return]])</f>
        <v/>
      </c>
      <c r="K286" s="9"/>
    </row>
    <row r="287" spans="1:11" x14ac:dyDescent="0.2">
      <c r="A287" s="27"/>
      <c r="B287" s="1"/>
      <c r="C287" s="6"/>
      <c r="D287" s="1"/>
      <c r="E287" s="7"/>
      <c r="F287" s="8"/>
      <c r="G287" s="3" t="str" cm="1">
        <f t="array" ref="G287">IF(ISBLANK(F287), "", IFERROR(_xlfn.IFS(LEFT(F287,1)="+", (VALUE(MID(F287,2,LEN(F287)))+100)/100, VALUE(F287)&gt;0, (F287+100)/100, VALUE(F287)&lt;0, (ABS(F287)+100)/ABS(F287), F287=0, 0), ""))</f>
        <v/>
      </c>
      <c r="H287" s="1"/>
      <c r="I287" s="4" t="str">
        <f>IF(Bet_Log[[#This Row],[Result ]]="", "", IF(Bet_Log[[#This Row],[Result ]]="Win", Bet_Log[[#This Row],[Stake]]*Bet_Log[[#This Row],[Decimal]]-Bet_Log[[#This Row],[Stake]], IF(Bet_Log[[#This Row],[Result ]]="Loss", -Bet_Log[[#This Row],[Stake]], IF(Bet_Log[[#This Row],[Result ]]="Push", 0, ""))))</f>
        <v/>
      </c>
      <c r="J287" s="2" t="str">
        <f>IF(Bet_Log[[#This Row],[Return]]="", "", J286 + Bet_Log[[#This Row],[Return]])</f>
        <v/>
      </c>
      <c r="K287" s="9"/>
    </row>
    <row r="288" spans="1:11" x14ac:dyDescent="0.2">
      <c r="A288" s="27"/>
      <c r="B288" s="1"/>
      <c r="C288" s="6"/>
      <c r="D288" s="1"/>
      <c r="E288" s="7"/>
      <c r="F288" s="8"/>
      <c r="G288" s="3" t="str" cm="1">
        <f t="array" ref="G288">IF(ISBLANK(F288), "", IFERROR(_xlfn.IFS(LEFT(F288,1)="+", (VALUE(MID(F288,2,LEN(F288)))+100)/100, VALUE(F288)&gt;0, (F288+100)/100, VALUE(F288)&lt;0, (ABS(F288)+100)/ABS(F288), F288=0, 0), ""))</f>
        <v/>
      </c>
      <c r="H288" s="1"/>
      <c r="I288" s="4" t="str">
        <f>IF(Bet_Log[[#This Row],[Result ]]="", "", IF(Bet_Log[[#This Row],[Result ]]="Win", Bet_Log[[#This Row],[Stake]]*Bet_Log[[#This Row],[Decimal]]-Bet_Log[[#This Row],[Stake]], IF(Bet_Log[[#This Row],[Result ]]="Loss", -Bet_Log[[#This Row],[Stake]], IF(Bet_Log[[#This Row],[Result ]]="Push", 0, ""))))</f>
        <v/>
      </c>
      <c r="J288" s="2" t="str">
        <f>IF(Bet_Log[[#This Row],[Return]]="", "", J287 + Bet_Log[[#This Row],[Return]])</f>
        <v/>
      </c>
      <c r="K288" s="9"/>
    </row>
    <row r="289" spans="1:11" x14ac:dyDescent="0.2">
      <c r="A289" s="27"/>
      <c r="B289" s="1"/>
      <c r="C289" s="6"/>
      <c r="D289" s="1"/>
      <c r="E289" s="7"/>
      <c r="F289" s="8"/>
      <c r="G289" s="3" t="str" cm="1">
        <f t="array" ref="G289">IF(ISBLANK(F289), "", IFERROR(_xlfn.IFS(LEFT(F289,1)="+", (VALUE(MID(F289,2,LEN(F289)))+100)/100, VALUE(F289)&gt;0, (F289+100)/100, VALUE(F289)&lt;0, (ABS(F289)+100)/ABS(F289), F289=0, 0), ""))</f>
        <v/>
      </c>
      <c r="H289" s="1"/>
      <c r="I289" s="4" t="str">
        <f>IF(Bet_Log[[#This Row],[Result ]]="", "", IF(Bet_Log[[#This Row],[Result ]]="Win", Bet_Log[[#This Row],[Stake]]*Bet_Log[[#This Row],[Decimal]]-Bet_Log[[#This Row],[Stake]], IF(Bet_Log[[#This Row],[Result ]]="Loss", -Bet_Log[[#This Row],[Stake]], IF(Bet_Log[[#This Row],[Result ]]="Push", 0, ""))))</f>
        <v/>
      </c>
      <c r="J289" s="2" t="str">
        <f>IF(Bet_Log[[#This Row],[Return]]="", "", J288 + Bet_Log[[#This Row],[Return]])</f>
        <v/>
      </c>
      <c r="K289" s="9"/>
    </row>
    <row r="290" spans="1:11" x14ac:dyDescent="0.2">
      <c r="A290" s="27"/>
      <c r="B290" s="1"/>
      <c r="C290" s="6"/>
      <c r="D290" s="1"/>
      <c r="E290" s="7"/>
      <c r="F290" s="8"/>
      <c r="G290" s="3" t="str" cm="1">
        <f t="array" ref="G290">IF(ISBLANK(F290), "", IFERROR(_xlfn.IFS(LEFT(F290,1)="+", (VALUE(MID(F290,2,LEN(F290)))+100)/100, VALUE(F290)&gt;0, (F290+100)/100, VALUE(F290)&lt;0, (ABS(F290)+100)/ABS(F290), F290=0, 0), ""))</f>
        <v/>
      </c>
      <c r="H290" s="1"/>
      <c r="I290" s="4" t="str">
        <f>IF(Bet_Log[[#This Row],[Result ]]="", "", IF(Bet_Log[[#This Row],[Result ]]="Win", Bet_Log[[#This Row],[Stake]]*Bet_Log[[#This Row],[Decimal]]-Bet_Log[[#This Row],[Stake]], IF(Bet_Log[[#This Row],[Result ]]="Loss", -Bet_Log[[#This Row],[Stake]], IF(Bet_Log[[#This Row],[Result ]]="Push", 0, ""))))</f>
        <v/>
      </c>
      <c r="J290" s="2" t="str">
        <f>IF(Bet_Log[[#This Row],[Return]]="", "", J289 + Bet_Log[[#This Row],[Return]])</f>
        <v/>
      </c>
      <c r="K290" s="9"/>
    </row>
    <row r="291" spans="1:11" x14ac:dyDescent="0.2">
      <c r="A291" s="27"/>
      <c r="B291" s="1"/>
      <c r="C291" s="6"/>
      <c r="D291" s="1"/>
      <c r="E291" s="7"/>
      <c r="F291" s="8"/>
      <c r="G291" s="3" t="str" cm="1">
        <f t="array" ref="G291">IF(ISBLANK(F291), "", IFERROR(_xlfn.IFS(LEFT(F291,1)="+", (VALUE(MID(F291,2,LEN(F291)))+100)/100, VALUE(F291)&gt;0, (F291+100)/100, VALUE(F291)&lt;0, (ABS(F291)+100)/ABS(F291), F291=0, 0), ""))</f>
        <v/>
      </c>
      <c r="H291" s="1"/>
      <c r="I291" s="4" t="str">
        <f>IF(Bet_Log[[#This Row],[Result ]]="", "", IF(Bet_Log[[#This Row],[Result ]]="Win", Bet_Log[[#This Row],[Stake]]*Bet_Log[[#This Row],[Decimal]]-Bet_Log[[#This Row],[Stake]], IF(Bet_Log[[#This Row],[Result ]]="Loss", -Bet_Log[[#This Row],[Stake]], IF(Bet_Log[[#This Row],[Result ]]="Push", 0, ""))))</f>
        <v/>
      </c>
      <c r="J291" s="2" t="str">
        <f>IF(Bet_Log[[#This Row],[Return]]="", "", J290 + Bet_Log[[#This Row],[Return]])</f>
        <v/>
      </c>
      <c r="K291" s="9"/>
    </row>
    <row r="292" spans="1:11" x14ac:dyDescent="0.2">
      <c r="A292" s="27"/>
      <c r="B292" s="1"/>
      <c r="C292" s="6"/>
      <c r="D292" s="1"/>
      <c r="E292" s="7"/>
      <c r="F292" s="8"/>
      <c r="G292" s="3" t="str" cm="1">
        <f t="array" ref="G292">IF(ISBLANK(F292), "", IFERROR(_xlfn.IFS(LEFT(F292,1)="+", (VALUE(MID(F292,2,LEN(F292)))+100)/100, VALUE(F292)&gt;0, (F292+100)/100, VALUE(F292)&lt;0, (ABS(F292)+100)/ABS(F292), F292=0, 0), ""))</f>
        <v/>
      </c>
      <c r="H292" s="1"/>
      <c r="I292" s="4" t="str">
        <f>IF(Bet_Log[[#This Row],[Result ]]="", "", IF(Bet_Log[[#This Row],[Result ]]="Win", Bet_Log[[#This Row],[Stake]]*Bet_Log[[#This Row],[Decimal]]-Bet_Log[[#This Row],[Stake]], IF(Bet_Log[[#This Row],[Result ]]="Loss", -Bet_Log[[#This Row],[Stake]], IF(Bet_Log[[#This Row],[Result ]]="Push", 0, ""))))</f>
        <v/>
      </c>
      <c r="J292" s="2" t="str">
        <f>IF(Bet_Log[[#This Row],[Return]]="", "", J291 + Bet_Log[[#This Row],[Return]])</f>
        <v/>
      </c>
      <c r="K292" s="9"/>
    </row>
    <row r="293" spans="1:11" x14ac:dyDescent="0.2">
      <c r="A293" s="27"/>
      <c r="B293" s="1"/>
      <c r="C293" s="6"/>
      <c r="D293" s="1"/>
      <c r="E293" s="7"/>
      <c r="F293" s="8"/>
      <c r="G293" s="3" t="str" cm="1">
        <f t="array" ref="G293">IF(ISBLANK(F293), "", IFERROR(_xlfn.IFS(LEFT(F293,1)="+", (VALUE(MID(F293,2,LEN(F293)))+100)/100, VALUE(F293)&gt;0, (F293+100)/100, VALUE(F293)&lt;0, (ABS(F293)+100)/ABS(F293), F293=0, 0), ""))</f>
        <v/>
      </c>
      <c r="H293" s="1"/>
      <c r="I293" s="4" t="str">
        <f>IF(Bet_Log[[#This Row],[Result ]]="", "", IF(Bet_Log[[#This Row],[Result ]]="Win", Bet_Log[[#This Row],[Stake]]*Bet_Log[[#This Row],[Decimal]]-Bet_Log[[#This Row],[Stake]], IF(Bet_Log[[#This Row],[Result ]]="Loss", -Bet_Log[[#This Row],[Stake]], IF(Bet_Log[[#This Row],[Result ]]="Push", 0, ""))))</f>
        <v/>
      </c>
      <c r="J293" s="2" t="str">
        <f>IF(Bet_Log[[#This Row],[Return]]="", "", J292 + Bet_Log[[#This Row],[Return]])</f>
        <v/>
      </c>
      <c r="K293" s="9"/>
    </row>
    <row r="294" spans="1:11" x14ac:dyDescent="0.2">
      <c r="A294" s="27"/>
      <c r="B294" s="1"/>
      <c r="C294" s="6"/>
      <c r="D294" s="1"/>
      <c r="E294" s="7"/>
      <c r="F294" s="8"/>
      <c r="G294" s="3" t="str" cm="1">
        <f t="array" ref="G294">IF(ISBLANK(F294), "", IFERROR(_xlfn.IFS(LEFT(F294,1)="+", (VALUE(MID(F294,2,LEN(F294)))+100)/100, VALUE(F294)&gt;0, (F294+100)/100, VALUE(F294)&lt;0, (ABS(F294)+100)/ABS(F294), F294=0, 0), ""))</f>
        <v/>
      </c>
      <c r="H294" s="1"/>
      <c r="I294" s="4" t="str">
        <f>IF(Bet_Log[[#This Row],[Result ]]="", "", IF(Bet_Log[[#This Row],[Result ]]="Win", Bet_Log[[#This Row],[Stake]]*Bet_Log[[#This Row],[Decimal]]-Bet_Log[[#This Row],[Stake]], IF(Bet_Log[[#This Row],[Result ]]="Loss", -Bet_Log[[#This Row],[Stake]], IF(Bet_Log[[#This Row],[Result ]]="Push", 0, ""))))</f>
        <v/>
      </c>
      <c r="J294" s="2" t="str">
        <f>IF(Bet_Log[[#This Row],[Return]]="", "", J293 + Bet_Log[[#This Row],[Return]])</f>
        <v/>
      </c>
      <c r="K294" s="9"/>
    </row>
    <row r="295" spans="1:11" x14ac:dyDescent="0.2">
      <c r="A295" s="27"/>
      <c r="B295" s="1"/>
      <c r="C295" s="6"/>
      <c r="D295" s="1"/>
      <c r="E295" s="7"/>
      <c r="F295" s="8"/>
      <c r="G295" s="3" t="str" cm="1">
        <f t="array" ref="G295">IF(ISBLANK(F295), "", IFERROR(_xlfn.IFS(LEFT(F295,1)="+", (VALUE(MID(F295,2,LEN(F295)))+100)/100, VALUE(F295)&gt;0, (F295+100)/100, VALUE(F295)&lt;0, (ABS(F295)+100)/ABS(F295), F295=0, 0), ""))</f>
        <v/>
      </c>
      <c r="H295" s="1"/>
      <c r="I295" s="4" t="str">
        <f>IF(Bet_Log[[#This Row],[Result ]]="", "", IF(Bet_Log[[#This Row],[Result ]]="Win", Bet_Log[[#This Row],[Stake]]*Bet_Log[[#This Row],[Decimal]]-Bet_Log[[#This Row],[Stake]], IF(Bet_Log[[#This Row],[Result ]]="Loss", -Bet_Log[[#This Row],[Stake]], IF(Bet_Log[[#This Row],[Result ]]="Push", 0, ""))))</f>
        <v/>
      </c>
      <c r="J295" s="2" t="str">
        <f>IF(Bet_Log[[#This Row],[Return]]="", "", J294 + Bet_Log[[#This Row],[Return]])</f>
        <v/>
      </c>
      <c r="K295" s="9"/>
    </row>
    <row r="296" spans="1:11" x14ac:dyDescent="0.2">
      <c r="A296" s="27"/>
      <c r="B296" s="1"/>
      <c r="C296" s="6"/>
      <c r="D296" s="1"/>
      <c r="E296" s="7"/>
      <c r="F296" s="8"/>
      <c r="G296" s="3" t="str" cm="1">
        <f t="array" ref="G296">IF(ISBLANK(F296), "", IFERROR(_xlfn.IFS(LEFT(F296,1)="+", (VALUE(MID(F296,2,LEN(F296)))+100)/100, VALUE(F296)&gt;0, (F296+100)/100, VALUE(F296)&lt;0, (ABS(F296)+100)/ABS(F296), F296=0, 0), ""))</f>
        <v/>
      </c>
      <c r="H296" s="1"/>
      <c r="I296" s="4" t="str">
        <f>IF(Bet_Log[[#This Row],[Result ]]="", "", IF(Bet_Log[[#This Row],[Result ]]="Win", Bet_Log[[#This Row],[Stake]]*Bet_Log[[#This Row],[Decimal]]-Bet_Log[[#This Row],[Stake]], IF(Bet_Log[[#This Row],[Result ]]="Loss", -Bet_Log[[#This Row],[Stake]], IF(Bet_Log[[#This Row],[Result ]]="Push", 0, ""))))</f>
        <v/>
      </c>
      <c r="J296" s="2" t="str">
        <f>IF(Bet_Log[[#This Row],[Return]]="", "", J295 + Bet_Log[[#This Row],[Return]])</f>
        <v/>
      </c>
      <c r="K296" s="9"/>
    </row>
    <row r="297" spans="1:11" x14ac:dyDescent="0.2">
      <c r="A297" s="27"/>
      <c r="B297" s="1"/>
      <c r="C297" s="6"/>
      <c r="D297" s="1"/>
      <c r="E297" s="7"/>
      <c r="F297" s="8"/>
      <c r="G297" s="3" t="str" cm="1">
        <f t="array" ref="G297">IF(ISBLANK(F297), "", IFERROR(_xlfn.IFS(LEFT(F297,1)="+", (VALUE(MID(F297,2,LEN(F297)))+100)/100, VALUE(F297)&gt;0, (F297+100)/100, VALUE(F297)&lt;0, (ABS(F297)+100)/ABS(F297), F297=0, 0), ""))</f>
        <v/>
      </c>
      <c r="H297" s="1"/>
      <c r="I297" s="4" t="str">
        <f>IF(Bet_Log[[#This Row],[Result ]]="", "", IF(Bet_Log[[#This Row],[Result ]]="Win", Bet_Log[[#This Row],[Stake]]*Bet_Log[[#This Row],[Decimal]]-Bet_Log[[#This Row],[Stake]], IF(Bet_Log[[#This Row],[Result ]]="Loss", -Bet_Log[[#This Row],[Stake]], IF(Bet_Log[[#This Row],[Result ]]="Push", 0, ""))))</f>
        <v/>
      </c>
      <c r="J297" s="2" t="str">
        <f>IF(Bet_Log[[#This Row],[Return]]="", "", J296 + Bet_Log[[#This Row],[Return]])</f>
        <v/>
      </c>
      <c r="K297" s="9"/>
    </row>
    <row r="298" spans="1:11" x14ac:dyDescent="0.2">
      <c r="A298" s="27"/>
      <c r="B298" s="1"/>
      <c r="C298" s="6"/>
      <c r="D298" s="1"/>
      <c r="E298" s="7"/>
      <c r="F298" s="8"/>
      <c r="G298" s="3" t="str" cm="1">
        <f t="array" ref="G298">IF(ISBLANK(F298), "", IFERROR(_xlfn.IFS(LEFT(F298,1)="+", (VALUE(MID(F298,2,LEN(F298)))+100)/100, VALUE(F298)&gt;0, (F298+100)/100, VALUE(F298)&lt;0, (ABS(F298)+100)/ABS(F298), F298=0, 0), ""))</f>
        <v/>
      </c>
      <c r="H298" s="1"/>
      <c r="I298" s="4" t="str">
        <f>IF(Bet_Log[[#This Row],[Result ]]="", "", IF(Bet_Log[[#This Row],[Result ]]="Win", Bet_Log[[#This Row],[Stake]]*Bet_Log[[#This Row],[Decimal]]-Bet_Log[[#This Row],[Stake]], IF(Bet_Log[[#This Row],[Result ]]="Loss", -Bet_Log[[#This Row],[Stake]], IF(Bet_Log[[#This Row],[Result ]]="Push", 0, ""))))</f>
        <v/>
      </c>
      <c r="J298" s="2" t="str">
        <f>IF(Bet_Log[[#This Row],[Return]]="", "", J297 + Bet_Log[[#This Row],[Return]])</f>
        <v/>
      </c>
      <c r="K298" s="9"/>
    </row>
    <row r="299" spans="1:11" x14ac:dyDescent="0.2">
      <c r="A299" s="27"/>
      <c r="B299" s="1"/>
      <c r="C299" s="6"/>
      <c r="D299" s="1"/>
      <c r="E299" s="7"/>
      <c r="F299" s="8"/>
      <c r="G299" s="3" t="str" cm="1">
        <f t="array" ref="G299">IF(ISBLANK(F299), "", IFERROR(_xlfn.IFS(LEFT(F299,1)="+", (VALUE(MID(F299,2,LEN(F299)))+100)/100, VALUE(F299)&gt;0, (F299+100)/100, VALUE(F299)&lt;0, (ABS(F299)+100)/ABS(F299), F299=0, 0), ""))</f>
        <v/>
      </c>
      <c r="H299" s="1"/>
      <c r="I299" s="4" t="str">
        <f>IF(Bet_Log[[#This Row],[Result ]]="", "", IF(Bet_Log[[#This Row],[Result ]]="Win", Bet_Log[[#This Row],[Stake]]*Bet_Log[[#This Row],[Decimal]]-Bet_Log[[#This Row],[Stake]], IF(Bet_Log[[#This Row],[Result ]]="Loss", -Bet_Log[[#This Row],[Stake]], IF(Bet_Log[[#This Row],[Result ]]="Push", 0, ""))))</f>
        <v/>
      </c>
      <c r="J299" s="2" t="str">
        <f>IF(Bet_Log[[#This Row],[Return]]="", "", J298 + Bet_Log[[#This Row],[Return]])</f>
        <v/>
      </c>
      <c r="K299" s="9"/>
    </row>
    <row r="300" spans="1:11" x14ac:dyDescent="0.2">
      <c r="A300" s="27"/>
      <c r="B300" s="1"/>
      <c r="C300" s="6"/>
      <c r="D300" s="1"/>
      <c r="E300" s="7"/>
      <c r="F300" s="8"/>
      <c r="G300" s="3" t="str" cm="1">
        <f t="array" ref="G300">IF(ISBLANK(F300), "", IFERROR(_xlfn.IFS(LEFT(F300,1)="+", (VALUE(MID(F300,2,LEN(F300)))+100)/100, VALUE(F300)&gt;0, (F300+100)/100, VALUE(F300)&lt;0, (ABS(F300)+100)/ABS(F300), F300=0, 0), ""))</f>
        <v/>
      </c>
      <c r="H300" s="1"/>
      <c r="I300" s="4" t="str">
        <f>IF(Bet_Log[[#This Row],[Result ]]="", "", IF(Bet_Log[[#This Row],[Result ]]="Win", Bet_Log[[#This Row],[Stake]]*Bet_Log[[#This Row],[Decimal]]-Bet_Log[[#This Row],[Stake]], IF(Bet_Log[[#This Row],[Result ]]="Loss", -Bet_Log[[#This Row],[Stake]], IF(Bet_Log[[#This Row],[Result ]]="Push", 0, ""))))</f>
        <v/>
      </c>
      <c r="J300" s="2" t="str">
        <f>IF(Bet_Log[[#This Row],[Return]]="", "", J299 + Bet_Log[[#This Row],[Return]])</f>
        <v/>
      </c>
      <c r="K300" s="9"/>
    </row>
    <row r="301" spans="1:11" x14ac:dyDescent="0.2">
      <c r="A301" s="27"/>
      <c r="B301" s="1"/>
      <c r="C301" s="6"/>
      <c r="D301" s="1"/>
      <c r="E301" s="7"/>
      <c r="F301" s="8"/>
      <c r="G301" s="3" t="str" cm="1">
        <f t="array" ref="G301">IF(ISBLANK(F301), "", IFERROR(_xlfn.IFS(LEFT(F301,1)="+", (VALUE(MID(F301,2,LEN(F301)))+100)/100, VALUE(F301)&gt;0, (F301+100)/100, VALUE(F301)&lt;0, (ABS(F301)+100)/ABS(F301), F301=0, 0), ""))</f>
        <v/>
      </c>
      <c r="H301" s="1"/>
      <c r="I301" s="4" t="str">
        <f>IF(Bet_Log[[#This Row],[Result ]]="", "", IF(Bet_Log[[#This Row],[Result ]]="Win", Bet_Log[[#This Row],[Stake]]*Bet_Log[[#This Row],[Decimal]]-Bet_Log[[#This Row],[Stake]], IF(Bet_Log[[#This Row],[Result ]]="Loss", -Bet_Log[[#This Row],[Stake]], IF(Bet_Log[[#This Row],[Result ]]="Push", 0, ""))))</f>
        <v/>
      </c>
      <c r="J301" s="2" t="str">
        <f>IF(Bet_Log[[#This Row],[Return]]="", "", J300 + Bet_Log[[#This Row],[Return]])</f>
        <v/>
      </c>
      <c r="K301" s="9"/>
    </row>
    <row r="302" spans="1:11" x14ac:dyDescent="0.2">
      <c r="A302" s="27"/>
      <c r="B302" s="1"/>
      <c r="C302" s="6"/>
      <c r="D302" s="1"/>
      <c r="E302" s="7"/>
      <c r="F302" s="8"/>
      <c r="G302" s="3" t="str" cm="1">
        <f t="array" ref="G302">IF(ISBLANK(F302), "", IFERROR(_xlfn.IFS(LEFT(F302,1)="+", (VALUE(MID(F302,2,LEN(F302)))+100)/100, VALUE(F302)&gt;0, (F302+100)/100, VALUE(F302)&lt;0, (ABS(F302)+100)/ABS(F302), F302=0, 0), ""))</f>
        <v/>
      </c>
      <c r="H302" s="1"/>
      <c r="I302" s="4" t="str">
        <f>IF(Bet_Log[[#This Row],[Result ]]="", "", IF(Bet_Log[[#This Row],[Result ]]="Win", Bet_Log[[#This Row],[Stake]]*Bet_Log[[#This Row],[Decimal]]-Bet_Log[[#This Row],[Stake]], IF(Bet_Log[[#This Row],[Result ]]="Loss", -Bet_Log[[#This Row],[Stake]], IF(Bet_Log[[#This Row],[Result ]]="Push", 0, ""))))</f>
        <v/>
      </c>
      <c r="J302" s="2" t="str">
        <f>IF(Bet_Log[[#This Row],[Return]]="", "", J301 + Bet_Log[[#This Row],[Return]])</f>
        <v/>
      </c>
      <c r="K302" s="9"/>
    </row>
    <row r="303" spans="1:11" x14ac:dyDescent="0.2">
      <c r="A303" s="27"/>
      <c r="B303" s="1"/>
      <c r="C303" s="6"/>
      <c r="D303" s="1"/>
      <c r="E303" s="7"/>
      <c r="F303" s="8"/>
      <c r="G303" s="3" t="str" cm="1">
        <f t="array" ref="G303">IF(ISBLANK(F303), "", IFERROR(_xlfn.IFS(LEFT(F303,1)="+", (VALUE(MID(F303,2,LEN(F303)))+100)/100, VALUE(F303)&gt;0, (F303+100)/100, VALUE(F303)&lt;0, (ABS(F303)+100)/ABS(F303), F303=0, 0), ""))</f>
        <v/>
      </c>
      <c r="H303" s="1"/>
      <c r="I303" s="4" t="str">
        <f>IF(Bet_Log[[#This Row],[Result ]]="", "", IF(Bet_Log[[#This Row],[Result ]]="Win", Bet_Log[[#This Row],[Stake]]*Bet_Log[[#This Row],[Decimal]]-Bet_Log[[#This Row],[Stake]], IF(Bet_Log[[#This Row],[Result ]]="Loss", -Bet_Log[[#This Row],[Stake]], IF(Bet_Log[[#This Row],[Result ]]="Push", 0, ""))))</f>
        <v/>
      </c>
      <c r="J303" s="2" t="str">
        <f>IF(Bet_Log[[#This Row],[Return]]="", "", J302 + Bet_Log[[#This Row],[Return]])</f>
        <v/>
      </c>
      <c r="K303" s="9"/>
    </row>
    <row r="304" spans="1:11" x14ac:dyDescent="0.2">
      <c r="A304" s="27"/>
      <c r="B304" s="1"/>
      <c r="C304" s="6"/>
      <c r="D304" s="1"/>
      <c r="E304" s="7"/>
      <c r="F304" s="8"/>
      <c r="G304" s="3" t="str" cm="1">
        <f t="array" ref="G304">IF(ISBLANK(F304), "", IFERROR(_xlfn.IFS(LEFT(F304,1)="+", (VALUE(MID(F304,2,LEN(F304)))+100)/100, VALUE(F304)&gt;0, (F304+100)/100, VALUE(F304)&lt;0, (ABS(F304)+100)/ABS(F304), F304=0, 0), ""))</f>
        <v/>
      </c>
      <c r="H304" s="1"/>
      <c r="I304" s="4" t="str">
        <f>IF(Bet_Log[[#This Row],[Result ]]="", "", IF(Bet_Log[[#This Row],[Result ]]="Win", Bet_Log[[#This Row],[Stake]]*Bet_Log[[#This Row],[Decimal]]-Bet_Log[[#This Row],[Stake]], IF(Bet_Log[[#This Row],[Result ]]="Loss", -Bet_Log[[#This Row],[Stake]], IF(Bet_Log[[#This Row],[Result ]]="Push", 0, ""))))</f>
        <v/>
      </c>
      <c r="J304" s="2" t="str">
        <f>IF(Bet_Log[[#This Row],[Return]]="", "", J303 + Bet_Log[[#This Row],[Return]])</f>
        <v/>
      </c>
      <c r="K304" s="9"/>
    </row>
    <row r="305" spans="1:11" x14ac:dyDescent="0.2">
      <c r="A305" s="27"/>
      <c r="B305" s="1"/>
      <c r="C305" s="6"/>
      <c r="D305" s="1"/>
      <c r="E305" s="7"/>
      <c r="F305" s="8"/>
      <c r="G305" s="3" t="str" cm="1">
        <f t="array" ref="G305">IF(ISBLANK(F305), "", IFERROR(_xlfn.IFS(LEFT(F305,1)="+", (VALUE(MID(F305,2,LEN(F305)))+100)/100, VALUE(F305)&gt;0, (F305+100)/100, VALUE(F305)&lt;0, (ABS(F305)+100)/ABS(F305), F305=0, 0), ""))</f>
        <v/>
      </c>
      <c r="H305" s="1"/>
      <c r="I305" s="4" t="str">
        <f>IF(Bet_Log[[#This Row],[Result ]]="", "", IF(Bet_Log[[#This Row],[Result ]]="Win", Bet_Log[[#This Row],[Stake]]*Bet_Log[[#This Row],[Decimal]]-Bet_Log[[#This Row],[Stake]], IF(Bet_Log[[#This Row],[Result ]]="Loss", -Bet_Log[[#This Row],[Stake]], IF(Bet_Log[[#This Row],[Result ]]="Push", 0, ""))))</f>
        <v/>
      </c>
      <c r="J305" s="2" t="str">
        <f>IF(Bet_Log[[#This Row],[Return]]="", "", J304 + Bet_Log[[#This Row],[Return]])</f>
        <v/>
      </c>
      <c r="K305" s="9"/>
    </row>
    <row r="306" spans="1:11" x14ac:dyDescent="0.2">
      <c r="A306" s="27"/>
      <c r="B306" s="1"/>
      <c r="C306" s="6"/>
      <c r="D306" s="1"/>
      <c r="E306" s="7"/>
      <c r="F306" s="8"/>
      <c r="G306" s="3" t="str" cm="1">
        <f t="array" ref="G306">IF(ISBLANK(F306), "", IFERROR(_xlfn.IFS(LEFT(F306,1)="+", (VALUE(MID(F306,2,LEN(F306)))+100)/100, VALUE(F306)&gt;0, (F306+100)/100, VALUE(F306)&lt;0, (ABS(F306)+100)/ABS(F306), F306=0, 0), ""))</f>
        <v/>
      </c>
      <c r="H306" s="1"/>
      <c r="I306" s="4" t="str">
        <f>IF(Bet_Log[[#This Row],[Result ]]="", "", IF(Bet_Log[[#This Row],[Result ]]="Win", Bet_Log[[#This Row],[Stake]]*Bet_Log[[#This Row],[Decimal]]-Bet_Log[[#This Row],[Stake]], IF(Bet_Log[[#This Row],[Result ]]="Loss", -Bet_Log[[#This Row],[Stake]], IF(Bet_Log[[#This Row],[Result ]]="Push", 0, ""))))</f>
        <v/>
      </c>
      <c r="J306" s="2" t="str">
        <f>IF(Bet_Log[[#This Row],[Return]]="", "", J305 + Bet_Log[[#This Row],[Return]])</f>
        <v/>
      </c>
      <c r="K306" s="9"/>
    </row>
    <row r="307" spans="1:11" x14ac:dyDescent="0.2">
      <c r="A307" s="27"/>
      <c r="B307" s="1"/>
      <c r="C307" s="6"/>
      <c r="D307" s="1"/>
      <c r="E307" s="7"/>
      <c r="F307" s="8"/>
      <c r="G307" s="3" t="str" cm="1">
        <f t="array" ref="G307">IF(ISBLANK(F307), "", IFERROR(_xlfn.IFS(LEFT(F307,1)="+", (VALUE(MID(F307,2,LEN(F307)))+100)/100, VALUE(F307)&gt;0, (F307+100)/100, VALUE(F307)&lt;0, (ABS(F307)+100)/ABS(F307), F307=0, 0), ""))</f>
        <v/>
      </c>
      <c r="H307" s="1"/>
      <c r="I307" s="4" t="str">
        <f>IF(Bet_Log[[#This Row],[Result ]]="", "", IF(Bet_Log[[#This Row],[Result ]]="Win", Bet_Log[[#This Row],[Stake]]*Bet_Log[[#This Row],[Decimal]]-Bet_Log[[#This Row],[Stake]], IF(Bet_Log[[#This Row],[Result ]]="Loss", -Bet_Log[[#This Row],[Stake]], IF(Bet_Log[[#This Row],[Result ]]="Push", 0, ""))))</f>
        <v/>
      </c>
      <c r="J307" s="2" t="str">
        <f>IF(Bet_Log[[#This Row],[Return]]="", "", J306 + Bet_Log[[#This Row],[Return]])</f>
        <v/>
      </c>
      <c r="K307" s="9"/>
    </row>
    <row r="308" spans="1:11" x14ac:dyDescent="0.2">
      <c r="A308" s="27"/>
      <c r="B308" s="1"/>
      <c r="C308" s="6"/>
      <c r="D308" s="1"/>
      <c r="E308" s="7"/>
      <c r="F308" s="8"/>
      <c r="G308" s="3" t="str" cm="1">
        <f t="array" ref="G308">IF(ISBLANK(F308), "", IFERROR(_xlfn.IFS(LEFT(F308,1)="+", (VALUE(MID(F308,2,LEN(F308)))+100)/100, VALUE(F308)&gt;0, (F308+100)/100, VALUE(F308)&lt;0, (ABS(F308)+100)/ABS(F308), F308=0, 0), ""))</f>
        <v/>
      </c>
      <c r="H308" s="1"/>
      <c r="I308" s="4" t="str">
        <f>IF(Bet_Log[[#This Row],[Result ]]="", "", IF(Bet_Log[[#This Row],[Result ]]="Win", Bet_Log[[#This Row],[Stake]]*Bet_Log[[#This Row],[Decimal]]-Bet_Log[[#This Row],[Stake]], IF(Bet_Log[[#This Row],[Result ]]="Loss", -Bet_Log[[#This Row],[Stake]], IF(Bet_Log[[#This Row],[Result ]]="Push", 0, ""))))</f>
        <v/>
      </c>
      <c r="J308" s="2" t="str">
        <f>IF(Bet_Log[[#This Row],[Return]]="", "", J307 + Bet_Log[[#This Row],[Return]])</f>
        <v/>
      </c>
      <c r="K308" s="9"/>
    </row>
    <row r="309" spans="1:11" x14ac:dyDescent="0.2">
      <c r="A309" s="27"/>
      <c r="B309" s="1"/>
      <c r="C309" s="6"/>
      <c r="D309" s="1"/>
      <c r="E309" s="7"/>
      <c r="F309" s="8"/>
      <c r="G309" s="3" t="str" cm="1">
        <f t="array" ref="G309">IF(ISBLANK(F309), "", IFERROR(_xlfn.IFS(LEFT(F309,1)="+", (VALUE(MID(F309,2,LEN(F309)))+100)/100, VALUE(F309)&gt;0, (F309+100)/100, VALUE(F309)&lt;0, (ABS(F309)+100)/ABS(F309), F309=0, 0), ""))</f>
        <v/>
      </c>
      <c r="H309" s="1"/>
      <c r="I309" s="4" t="str">
        <f>IF(Bet_Log[[#This Row],[Result ]]="", "", IF(Bet_Log[[#This Row],[Result ]]="Win", Bet_Log[[#This Row],[Stake]]*Bet_Log[[#This Row],[Decimal]]-Bet_Log[[#This Row],[Stake]], IF(Bet_Log[[#This Row],[Result ]]="Loss", -Bet_Log[[#This Row],[Stake]], IF(Bet_Log[[#This Row],[Result ]]="Push", 0, ""))))</f>
        <v/>
      </c>
      <c r="J309" s="2" t="str">
        <f>IF(Bet_Log[[#This Row],[Return]]="", "", J308 + Bet_Log[[#This Row],[Return]])</f>
        <v/>
      </c>
      <c r="K309" s="9"/>
    </row>
    <row r="310" spans="1:11" x14ac:dyDescent="0.2">
      <c r="A310" s="27"/>
      <c r="B310" s="1"/>
      <c r="C310" s="6"/>
      <c r="D310" s="1"/>
      <c r="E310" s="7"/>
      <c r="F310" s="8"/>
      <c r="G310" s="3" t="str" cm="1">
        <f t="array" ref="G310">IF(ISBLANK(F310), "", IFERROR(_xlfn.IFS(LEFT(F310,1)="+", (VALUE(MID(F310,2,LEN(F310)))+100)/100, VALUE(F310)&gt;0, (F310+100)/100, VALUE(F310)&lt;0, (ABS(F310)+100)/ABS(F310), F310=0, 0), ""))</f>
        <v/>
      </c>
      <c r="H310" s="1"/>
      <c r="I310" s="4" t="str">
        <f>IF(Bet_Log[[#This Row],[Result ]]="", "", IF(Bet_Log[[#This Row],[Result ]]="Win", Bet_Log[[#This Row],[Stake]]*Bet_Log[[#This Row],[Decimal]]-Bet_Log[[#This Row],[Stake]], IF(Bet_Log[[#This Row],[Result ]]="Loss", -Bet_Log[[#This Row],[Stake]], IF(Bet_Log[[#This Row],[Result ]]="Push", 0, ""))))</f>
        <v/>
      </c>
      <c r="J310" s="2" t="str">
        <f>IF(Bet_Log[[#This Row],[Return]]="", "", J309 + Bet_Log[[#This Row],[Return]])</f>
        <v/>
      </c>
      <c r="K310" s="9"/>
    </row>
    <row r="311" spans="1:11" x14ac:dyDescent="0.2">
      <c r="A311" s="27"/>
      <c r="B311" s="1"/>
      <c r="C311" s="6"/>
      <c r="D311" s="1"/>
      <c r="E311" s="7"/>
      <c r="F311" s="8"/>
      <c r="G311" s="3" t="str" cm="1">
        <f t="array" ref="G311">IF(ISBLANK(F311), "", IFERROR(_xlfn.IFS(LEFT(F311,1)="+", (VALUE(MID(F311,2,LEN(F311)))+100)/100, VALUE(F311)&gt;0, (F311+100)/100, VALUE(F311)&lt;0, (ABS(F311)+100)/ABS(F311), F311=0, 0), ""))</f>
        <v/>
      </c>
      <c r="H311" s="1"/>
      <c r="I311" s="4" t="str">
        <f>IF(Bet_Log[[#This Row],[Result ]]="", "", IF(Bet_Log[[#This Row],[Result ]]="Win", Bet_Log[[#This Row],[Stake]]*Bet_Log[[#This Row],[Decimal]]-Bet_Log[[#This Row],[Stake]], IF(Bet_Log[[#This Row],[Result ]]="Loss", -Bet_Log[[#This Row],[Stake]], IF(Bet_Log[[#This Row],[Result ]]="Push", 0, ""))))</f>
        <v/>
      </c>
      <c r="J311" s="2" t="str">
        <f>IF(Bet_Log[[#This Row],[Return]]="", "", J310 + Bet_Log[[#This Row],[Return]])</f>
        <v/>
      </c>
      <c r="K311" s="9"/>
    </row>
    <row r="312" spans="1:11" x14ac:dyDescent="0.2">
      <c r="A312" s="27"/>
      <c r="B312" s="1"/>
      <c r="C312" s="6"/>
      <c r="D312" s="1"/>
      <c r="E312" s="7"/>
      <c r="F312" s="8"/>
      <c r="G312" s="3" t="str" cm="1">
        <f t="array" ref="G312">IF(ISBLANK(F312), "", IFERROR(_xlfn.IFS(LEFT(F312,1)="+", (VALUE(MID(F312,2,LEN(F312)))+100)/100, VALUE(F312)&gt;0, (F312+100)/100, VALUE(F312)&lt;0, (ABS(F312)+100)/ABS(F312), F312=0, 0), ""))</f>
        <v/>
      </c>
      <c r="H312" s="1"/>
      <c r="I312" s="4" t="str">
        <f>IF(Bet_Log[[#This Row],[Result ]]="", "", IF(Bet_Log[[#This Row],[Result ]]="Win", Bet_Log[[#This Row],[Stake]]*Bet_Log[[#This Row],[Decimal]]-Bet_Log[[#This Row],[Stake]], IF(Bet_Log[[#This Row],[Result ]]="Loss", -Bet_Log[[#This Row],[Stake]], IF(Bet_Log[[#This Row],[Result ]]="Push", 0, ""))))</f>
        <v/>
      </c>
      <c r="J312" s="2" t="str">
        <f>IF(Bet_Log[[#This Row],[Return]]="", "", J311 + Bet_Log[[#This Row],[Return]])</f>
        <v/>
      </c>
      <c r="K312" s="9"/>
    </row>
    <row r="313" spans="1:11" x14ac:dyDescent="0.2">
      <c r="A313" s="27"/>
      <c r="B313" s="1"/>
      <c r="C313" s="6"/>
      <c r="D313" s="1"/>
      <c r="E313" s="7"/>
      <c r="F313" s="8"/>
      <c r="G313" s="3" t="str" cm="1">
        <f t="array" ref="G313">IF(ISBLANK(F313), "", IFERROR(_xlfn.IFS(LEFT(F313,1)="+", (VALUE(MID(F313,2,LEN(F313)))+100)/100, VALUE(F313)&gt;0, (F313+100)/100, VALUE(F313)&lt;0, (ABS(F313)+100)/ABS(F313), F313=0, 0), ""))</f>
        <v/>
      </c>
      <c r="H313" s="1"/>
      <c r="I313" s="4" t="str">
        <f>IF(Bet_Log[[#This Row],[Result ]]="", "", IF(Bet_Log[[#This Row],[Result ]]="Win", Bet_Log[[#This Row],[Stake]]*Bet_Log[[#This Row],[Decimal]]-Bet_Log[[#This Row],[Stake]], IF(Bet_Log[[#This Row],[Result ]]="Loss", -Bet_Log[[#This Row],[Stake]], IF(Bet_Log[[#This Row],[Result ]]="Push", 0, ""))))</f>
        <v/>
      </c>
      <c r="J313" s="2" t="str">
        <f>IF(Bet_Log[[#This Row],[Return]]="", "", J312 + Bet_Log[[#This Row],[Return]])</f>
        <v/>
      </c>
      <c r="K313" s="9"/>
    </row>
    <row r="314" spans="1:11" x14ac:dyDescent="0.2">
      <c r="A314" s="27"/>
      <c r="B314" s="1"/>
      <c r="C314" s="6"/>
      <c r="D314" s="1"/>
      <c r="E314" s="7"/>
      <c r="F314" s="8"/>
      <c r="G314" s="3" t="str" cm="1">
        <f t="array" ref="G314">IF(ISBLANK(F314), "", IFERROR(_xlfn.IFS(LEFT(F314,1)="+", (VALUE(MID(F314,2,LEN(F314)))+100)/100, VALUE(F314)&gt;0, (F314+100)/100, VALUE(F314)&lt;0, (ABS(F314)+100)/ABS(F314), F314=0, 0), ""))</f>
        <v/>
      </c>
      <c r="H314" s="1"/>
      <c r="I314" s="4" t="str">
        <f>IF(Bet_Log[[#This Row],[Result ]]="", "", IF(Bet_Log[[#This Row],[Result ]]="Win", Bet_Log[[#This Row],[Stake]]*Bet_Log[[#This Row],[Decimal]]-Bet_Log[[#This Row],[Stake]], IF(Bet_Log[[#This Row],[Result ]]="Loss", -Bet_Log[[#This Row],[Stake]], IF(Bet_Log[[#This Row],[Result ]]="Push", 0, ""))))</f>
        <v/>
      </c>
      <c r="J314" s="2" t="str">
        <f>IF(Bet_Log[[#This Row],[Return]]="", "", J313 + Bet_Log[[#This Row],[Return]])</f>
        <v/>
      </c>
      <c r="K314" s="9"/>
    </row>
    <row r="315" spans="1:11" x14ac:dyDescent="0.2">
      <c r="A315" s="27"/>
      <c r="B315" s="1"/>
      <c r="C315" s="6"/>
      <c r="D315" s="1"/>
      <c r="E315" s="7"/>
      <c r="F315" s="8"/>
      <c r="G315" s="3" t="str" cm="1">
        <f t="array" ref="G315">IF(ISBLANK(F315), "", IFERROR(_xlfn.IFS(LEFT(F315,1)="+", (VALUE(MID(F315,2,LEN(F315)))+100)/100, VALUE(F315)&gt;0, (F315+100)/100, VALUE(F315)&lt;0, (ABS(F315)+100)/ABS(F315), F315=0, 0), ""))</f>
        <v/>
      </c>
      <c r="H315" s="1"/>
      <c r="I315" s="4" t="str">
        <f>IF(Bet_Log[[#This Row],[Result ]]="", "", IF(Bet_Log[[#This Row],[Result ]]="Win", Bet_Log[[#This Row],[Stake]]*Bet_Log[[#This Row],[Decimal]]-Bet_Log[[#This Row],[Stake]], IF(Bet_Log[[#This Row],[Result ]]="Loss", -Bet_Log[[#This Row],[Stake]], IF(Bet_Log[[#This Row],[Result ]]="Push", 0, ""))))</f>
        <v/>
      </c>
      <c r="J315" s="2" t="str">
        <f>IF(Bet_Log[[#This Row],[Return]]="", "", J314 + Bet_Log[[#This Row],[Return]])</f>
        <v/>
      </c>
      <c r="K315" s="9"/>
    </row>
    <row r="316" spans="1:11" x14ac:dyDescent="0.2">
      <c r="A316" s="27"/>
      <c r="B316" s="1"/>
      <c r="C316" s="6"/>
      <c r="D316" s="1"/>
      <c r="E316" s="7"/>
      <c r="F316" s="8"/>
      <c r="G316" s="3" t="str" cm="1">
        <f t="array" ref="G316">IF(ISBLANK(F316), "", IFERROR(_xlfn.IFS(LEFT(F316,1)="+", (VALUE(MID(F316,2,LEN(F316)))+100)/100, VALUE(F316)&gt;0, (F316+100)/100, VALUE(F316)&lt;0, (ABS(F316)+100)/ABS(F316), F316=0, 0), ""))</f>
        <v/>
      </c>
      <c r="H316" s="1"/>
      <c r="I316" s="4" t="str">
        <f>IF(Bet_Log[[#This Row],[Result ]]="", "", IF(Bet_Log[[#This Row],[Result ]]="Win", Bet_Log[[#This Row],[Stake]]*Bet_Log[[#This Row],[Decimal]]-Bet_Log[[#This Row],[Stake]], IF(Bet_Log[[#This Row],[Result ]]="Loss", -Bet_Log[[#This Row],[Stake]], IF(Bet_Log[[#This Row],[Result ]]="Push", 0, ""))))</f>
        <v/>
      </c>
      <c r="J316" s="2" t="str">
        <f>IF(Bet_Log[[#This Row],[Return]]="", "", J315 + Bet_Log[[#This Row],[Return]])</f>
        <v/>
      </c>
      <c r="K316" s="9"/>
    </row>
    <row r="317" spans="1:11" x14ac:dyDescent="0.2">
      <c r="A317" s="27"/>
      <c r="B317" s="1"/>
      <c r="C317" s="6"/>
      <c r="D317" s="1"/>
      <c r="E317" s="7"/>
      <c r="F317" s="8"/>
      <c r="G317" s="3" t="str" cm="1">
        <f t="array" ref="G317">IF(ISBLANK(F317), "", IFERROR(_xlfn.IFS(LEFT(F317,1)="+", (VALUE(MID(F317,2,LEN(F317)))+100)/100, VALUE(F317)&gt;0, (F317+100)/100, VALUE(F317)&lt;0, (ABS(F317)+100)/ABS(F317), F317=0, 0), ""))</f>
        <v/>
      </c>
      <c r="H317" s="1"/>
      <c r="I317" s="4" t="str">
        <f>IF(Bet_Log[[#This Row],[Result ]]="", "", IF(Bet_Log[[#This Row],[Result ]]="Win", Bet_Log[[#This Row],[Stake]]*Bet_Log[[#This Row],[Decimal]]-Bet_Log[[#This Row],[Stake]], IF(Bet_Log[[#This Row],[Result ]]="Loss", -Bet_Log[[#This Row],[Stake]], IF(Bet_Log[[#This Row],[Result ]]="Push", 0, ""))))</f>
        <v/>
      </c>
      <c r="J317" s="2" t="str">
        <f>IF(Bet_Log[[#This Row],[Return]]="", "", J316 + Bet_Log[[#This Row],[Return]])</f>
        <v/>
      </c>
      <c r="K317" s="9"/>
    </row>
    <row r="318" spans="1:11" x14ac:dyDescent="0.2">
      <c r="A318" s="27"/>
      <c r="B318" s="1"/>
      <c r="C318" s="6"/>
      <c r="D318" s="1"/>
      <c r="E318" s="7"/>
      <c r="F318" s="8"/>
      <c r="G318" s="3" t="str" cm="1">
        <f t="array" ref="G318">IF(ISBLANK(F318), "", IFERROR(_xlfn.IFS(LEFT(F318,1)="+", (VALUE(MID(F318,2,LEN(F318)))+100)/100, VALUE(F318)&gt;0, (F318+100)/100, VALUE(F318)&lt;0, (ABS(F318)+100)/ABS(F318), F318=0, 0), ""))</f>
        <v/>
      </c>
      <c r="H318" s="1"/>
      <c r="I318" s="4" t="str">
        <f>IF(Bet_Log[[#This Row],[Result ]]="", "", IF(Bet_Log[[#This Row],[Result ]]="Win", Bet_Log[[#This Row],[Stake]]*Bet_Log[[#This Row],[Decimal]]-Bet_Log[[#This Row],[Stake]], IF(Bet_Log[[#This Row],[Result ]]="Loss", -Bet_Log[[#This Row],[Stake]], IF(Bet_Log[[#This Row],[Result ]]="Push", 0, ""))))</f>
        <v/>
      </c>
      <c r="J318" s="2" t="str">
        <f>IF(Bet_Log[[#This Row],[Return]]="", "", J317 + Bet_Log[[#This Row],[Return]])</f>
        <v/>
      </c>
      <c r="K318" s="9"/>
    </row>
    <row r="319" spans="1:11" x14ac:dyDescent="0.2">
      <c r="A319" s="27"/>
      <c r="B319" s="1"/>
      <c r="C319" s="6"/>
      <c r="D319" s="1"/>
      <c r="E319" s="7"/>
      <c r="F319" s="8"/>
      <c r="G319" s="3" t="str" cm="1">
        <f t="array" ref="G319">IF(ISBLANK(F319), "", IFERROR(_xlfn.IFS(LEFT(F319,1)="+", (VALUE(MID(F319,2,LEN(F319)))+100)/100, VALUE(F319)&gt;0, (F319+100)/100, VALUE(F319)&lt;0, (ABS(F319)+100)/ABS(F319), F319=0, 0), ""))</f>
        <v/>
      </c>
      <c r="H319" s="1"/>
      <c r="I319" s="4" t="str">
        <f>IF(Bet_Log[[#This Row],[Result ]]="", "", IF(Bet_Log[[#This Row],[Result ]]="Win", Bet_Log[[#This Row],[Stake]]*Bet_Log[[#This Row],[Decimal]]-Bet_Log[[#This Row],[Stake]], IF(Bet_Log[[#This Row],[Result ]]="Loss", -Bet_Log[[#This Row],[Stake]], IF(Bet_Log[[#This Row],[Result ]]="Push", 0, ""))))</f>
        <v/>
      </c>
      <c r="J319" s="2" t="str">
        <f>IF(Bet_Log[[#This Row],[Return]]="", "", J318 + Bet_Log[[#This Row],[Return]])</f>
        <v/>
      </c>
      <c r="K319" s="9"/>
    </row>
    <row r="320" spans="1:11" x14ac:dyDescent="0.2">
      <c r="A320" s="27"/>
      <c r="B320" s="1"/>
      <c r="C320" s="6"/>
      <c r="D320" s="1"/>
      <c r="E320" s="7"/>
      <c r="F320" s="8"/>
      <c r="G320" s="3" t="str" cm="1">
        <f t="array" ref="G320">IF(ISBLANK(F320), "", IFERROR(_xlfn.IFS(LEFT(F320,1)="+", (VALUE(MID(F320,2,LEN(F320)))+100)/100, VALUE(F320)&gt;0, (F320+100)/100, VALUE(F320)&lt;0, (ABS(F320)+100)/ABS(F320), F320=0, 0), ""))</f>
        <v/>
      </c>
      <c r="H320" s="1"/>
      <c r="I320" s="4" t="str">
        <f>IF(Bet_Log[[#This Row],[Result ]]="", "", IF(Bet_Log[[#This Row],[Result ]]="Win", Bet_Log[[#This Row],[Stake]]*Bet_Log[[#This Row],[Decimal]]-Bet_Log[[#This Row],[Stake]], IF(Bet_Log[[#This Row],[Result ]]="Loss", -Bet_Log[[#This Row],[Stake]], IF(Bet_Log[[#This Row],[Result ]]="Push", 0, ""))))</f>
        <v/>
      </c>
      <c r="J320" s="2" t="str">
        <f>IF(Bet_Log[[#This Row],[Return]]="", "", J319 + Bet_Log[[#This Row],[Return]])</f>
        <v/>
      </c>
      <c r="K320" s="9"/>
    </row>
    <row r="321" spans="1:11" x14ac:dyDescent="0.2">
      <c r="A321" s="27"/>
      <c r="B321" s="1"/>
      <c r="C321" s="6"/>
      <c r="D321" s="1"/>
      <c r="E321" s="7"/>
      <c r="F321" s="8"/>
      <c r="G321" s="3" t="str" cm="1">
        <f t="array" ref="G321">IF(ISBLANK(F321), "", IFERROR(_xlfn.IFS(LEFT(F321,1)="+", (VALUE(MID(F321,2,LEN(F321)))+100)/100, VALUE(F321)&gt;0, (F321+100)/100, VALUE(F321)&lt;0, (ABS(F321)+100)/ABS(F321), F321=0, 0), ""))</f>
        <v/>
      </c>
      <c r="H321" s="1"/>
      <c r="I321" s="4" t="str">
        <f>IF(Bet_Log[[#This Row],[Result ]]="", "", IF(Bet_Log[[#This Row],[Result ]]="Win", Bet_Log[[#This Row],[Stake]]*Bet_Log[[#This Row],[Decimal]]-Bet_Log[[#This Row],[Stake]], IF(Bet_Log[[#This Row],[Result ]]="Loss", -Bet_Log[[#This Row],[Stake]], IF(Bet_Log[[#This Row],[Result ]]="Push", 0, ""))))</f>
        <v/>
      </c>
      <c r="J321" s="2" t="str">
        <f>IF(Bet_Log[[#This Row],[Return]]="", "", J320 + Bet_Log[[#This Row],[Return]])</f>
        <v/>
      </c>
      <c r="K321" s="9"/>
    </row>
    <row r="322" spans="1:11" x14ac:dyDescent="0.2">
      <c r="A322" s="27"/>
      <c r="B322" s="1"/>
      <c r="C322" s="6"/>
      <c r="D322" s="1"/>
      <c r="E322" s="7"/>
      <c r="F322" s="8"/>
      <c r="G322" s="3" t="str" cm="1">
        <f t="array" ref="G322">IF(ISBLANK(F322), "", IFERROR(_xlfn.IFS(LEFT(F322,1)="+", (VALUE(MID(F322,2,LEN(F322)))+100)/100, VALUE(F322)&gt;0, (F322+100)/100, VALUE(F322)&lt;0, (ABS(F322)+100)/ABS(F322), F322=0, 0), ""))</f>
        <v/>
      </c>
      <c r="H322" s="1"/>
      <c r="I322" s="4" t="str">
        <f>IF(Bet_Log[[#This Row],[Result ]]="", "", IF(Bet_Log[[#This Row],[Result ]]="Win", Bet_Log[[#This Row],[Stake]]*Bet_Log[[#This Row],[Decimal]]-Bet_Log[[#This Row],[Stake]], IF(Bet_Log[[#This Row],[Result ]]="Loss", -Bet_Log[[#This Row],[Stake]], IF(Bet_Log[[#This Row],[Result ]]="Push", 0, ""))))</f>
        <v/>
      </c>
      <c r="J322" s="2" t="str">
        <f>IF(Bet_Log[[#This Row],[Return]]="", "", J321 + Bet_Log[[#This Row],[Return]])</f>
        <v/>
      </c>
      <c r="K322" s="9"/>
    </row>
    <row r="323" spans="1:11" x14ac:dyDescent="0.2">
      <c r="A323" s="27"/>
      <c r="B323" s="1"/>
      <c r="C323" s="6"/>
      <c r="D323" s="1"/>
      <c r="E323" s="7"/>
      <c r="F323" s="8"/>
      <c r="G323" s="3" t="str" cm="1">
        <f t="array" ref="G323">IF(ISBLANK(F323), "", IFERROR(_xlfn.IFS(LEFT(F323,1)="+", (VALUE(MID(F323,2,LEN(F323)))+100)/100, VALUE(F323)&gt;0, (F323+100)/100, VALUE(F323)&lt;0, (ABS(F323)+100)/ABS(F323), F323=0, 0), ""))</f>
        <v/>
      </c>
      <c r="H323" s="1"/>
      <c r="I323" s="4" t="str">
        <f>IF(Bet_Log[[#This Row],[Result ]]="", "", IF(Bet_Log[[#This Row],[Result ]]="Win", Bet_Log[[#This Row],[Stake]]*Bet_Log[[#This Row],[Decimal]]-Bet_Log[[#This Row],[Stake]], IF(Bet_Log[[#This Row],[Result ]]="Loss", -Bet_Log[[#This Row],[Stake]], IF(Bet_Log[[#This Row],[Result ]]="Push", 0, ""))))</f>
        <v/>
      </c>
      <c r="J323" s="2" t="str">
        <f>IF(Bet_Log[[#This Row],[Return]]="", "", J322 + Bet_Log[[#This Row],[Return]])</f>
        <v/>
      </c>
      <c r="K323" s="9"/>
    </row>
    <row r="324" spans="1:11" x14ac:dyDescent="0.2">
      <c r="A324" s="27"/>
      <c r="B324" s="1"/>
      <c r="C324" s="6"/>
      <c r="D324" s="1"/>
      <c r="E324" s="7"/>
      <c r="F324" s="8"/>
      <c r="G324" s="3" t="str" cm="1">
        <f t="array" ref="G324">IF(ISBLANK(F324), "", IFERROR(_xlfn.IFS(LEFT(F324,1)="+", (VALUE(MID(F324,2,LEN(F324)))+100)/100, VALUE(F324)&gt;0, (F324+100)/100, VALUE(F324)&lt;0, (ABS(F324)+100)/ABS(F324), F324=0, 0), ""))</f>
        <v/>
      </c>
      <c r="H324" s="1"/>
      <c r="I324" s="4" t="str">
        <f>IF(Bet_Log[[#This Row],[Result ]]="", "", IF(Bet_Log[[#This Row],[Result ]]="Win", Bet_Log[[#This Row],[Stake]]*Bet_Log[[#This Row],[Decimal]]-Bet_Log[[#This Row],[Stake]], IF(Bet_Log[[#This Row],[Result ]]="Loss", -Bet_Log[[#This Row],[Stake]], IF(Bet_Log[[#This Row],[Result ]]="Push", 0, ""))))</f>
        <v/>
      </c>
      <c r="J324" s="2" t="str">
        <f>IF(Bet_Log[[#This Row],[Return]]="", "", J323 + Bet_Log[[#This Row],[Return]])</f>
        <v/>
      </c>
      <c r="K324" s="9"/>
    </row>
    <row r="325" spans="1:11" x14ac:dyDescent="0.2">
      <c r="A325" s="27"/>
      <c r="B325" s="1"/>
      <c r="C325" s="6"/>
      <c r="D325" s="1"/>
      <c r="E325" s="7"/>
      <c r="F325" s="8"/>
      <c r="G325" s="3" t="str" cm="1">
        <f t="array" ref="G325">IF(ISBLANK(F325), "", IFERROR(_xlfn.IFS(LEFT(F325,1)="+", (VALUE(MID(F325,2,LEN(F325)))+100)/100, VALUE(F325)&gt;0, (F325+100)/100, VALUE(F325)&lt;0, (ABS(F325)+100)/ABS(F325), F325=0, 0), ""))</f>
        <v/>
      </c>
      <c r="H325" s="1"/>
      <c r="I325" s="4" t="str">
        <f>IF(Bet_Log[[#This Row],[Result ]]="", "", IF(Bet_Log[[#This Row],[Result ]]="Win", Bet_Log[[#This Row],[Stake]]*Bet_Log[[#This Row],[Decimal]]-Bet_Log[[#This Row],[Stake]], IF(Bet_Log[[#This Row],[Result ]]="Loss", -Bet_Log[[#This Row],[Stake]], IF(Bet_Log[[#This Row],[Result ]]="Push", 0, ""))))</f>
        <v/>
      </c>
      <c r="J325" s="2" t="str">
        <f>IF(Bet_Log[[#This Row],[Return]]="", "", J324 + Bet_Log[[#This Row],[Return]])</f>
        <v/>
      </c>
      <c r="K325" s="9"/>
    </row>
    <row r="326" spans="1:11" x14ac:dyDescent="0.2">
      <c r="A326" s="27"/>
      <c r="B326" s="1"/>
      <c r="C326" s="6"/>
      <c r="D326" s="1"/>
      <c r="E326" s="7"/>
      <c r="F326" s="8"/>
      <c r="G326" s="3" t="str" cm="1">
        <f t="array" ref="G326">IF(ISBLANK(F326), "", IFERROR(_xlfn.IFS(LEFT(F326,1)="+", (VALUE(MID(F326,2,LEN(F326)))+100)/100, VALUE(F326)&gt;0, (F326+100)/100, VALUE(F326)&lt;0, (ABS(F326)+100)/ABS(F326), F326=0, 0), ""))</f>
        <v/>
      </c>
      <c r="H326" s="1"/>
      <c r="I326" s="4" t="str">
        <f>IF(Bet_Log[[#This Row],[Result ]]="", "", IF(Bet_Log[[#This Row],[Result ]]="Win", Bet_Log[[#This Row],[Stake]]*Bet_Log[[#This Row],[Decimal]]-Bet_Log[[#This Row],[Stake]], IF(Bet_Log[[#This Row],[Result ]]="Loss", -Bet_Log[[#This Row],[Stake]], IF(Bet_Log[[#This Row],[Result ]]="Push", 0, ""))))</f>
        <v/>
      </c>
      <c r="J326" s="2" t="str">
        <f>IF(Bet_Log[[#This Row],[Return]]="", "", J325 + Bet_Log[[#This Row],[Return]])</f>
        <v/>
      </c>
      <c r="K326" s="9"/>
    </row>
    <row r="327" spans="1:11" x14ac:dyDescent="0.2">
      <c r="A327" s="27"/>
      <c r="B327" s="1"/>
      <c r="C327" s="6"/>
      <c r="D327" s="1"/>
      <c r="E327" s="7"/>
      <c r="F327" s="8"/>
      <c r="G327" s="3" t="str" cm="1">
        <f t="array" ref="G327">IF(ISBLANK(F327), "", IFERROR(_xlfn.IFS(LEFT(F327,1)="+", (VALUE(MID(F327,2,LEN(F327)))+100)/100, VALUE(F327)&gt;0, (F327+100)/100, VALUE(F327)&lt;0, (ABS(F327)+100)/ABS(F327), F327=0, 0), ""))</f>
        <v/>
      </c>
      <c r="H327" s="1"/>
      <c r="I327" s="4" t="str">
        <f>IF(Bet_Log[[#This Row],[Result ]]="", "", IF(Bet_Log[[#This Row],[Result ]]="Win", Bet_Log[[#This Row],[Stake]]*Bet_Log[[#This Row],[Decimal]]-Bet_Log[[#This Row],[Stake]], IF(Bet_Log[[#This Row],[Result ]]="Loss", -Bet_Log[[#This Row],[Stake]], IF(Bet_Log[[#This Row],[Result ]]="Push", 0, ""))))</f>
        <v/>
      </c>
      <c r="J327" s="2" t="str">
        <f>IF(Bet_Log[[#This Row],[Return]]="", "", J326 + Bet_Log[[#This Row],[Return]])</f>
        <v/>
      </c>
      <c r="K327" s="9"/>
    </row>
    <row r="328" spans="1:11" x14ac:dyDescent="0.2">
      <c r="A328" s="27"/>
      <c r="B328" s="1"/>
      <c r="C328" s="6"/>
      <c r="D328" s="1"/>
      <c r="E328" s="7"/>
      <c r="F328" s="8"/>
      <c r="G328" s="3" t="str" cm="1">
        <f t="array" ref="G328">IF(ISBLANK(F328), "", IFERROR(_xlfn.IFS(LEFT(F328,1)="+", (VALUE(MID(F328,2,LEN(F328)))+100)/100, VALUE(F328)&gt;0, (F328+100)/100, VALUE(F328)&lt;0, (ABS(F328)+100)/ABS(F328), F328=0, 0), ""))</f>
        <v/>
      </c>
      <c r="H328" s="1"/>
      <c r="I328" s="4" t="str">
        <f>IF(Bet_Log[[#This Row],[Result ]]="", "", IF(Bet_Log[[#This Row],[Result ]]="Win", Bet_Log[[#This Row],[Stake]]*Bet_Log[[#This Row],[Decimal]]-Bet_Log[[#This Row],[Stake]], IF(Bet_Log[[#This Row],[Result ]]="Loss", -Bet_Log[[#This Row],[Stake]], IF(Bet_Log[[#This Row],[Result ]]="Push", 0, ""))))</f>
        <v/>
      </c>
      <c r="J328" s="2" t="str">
        <f>IF(Bet_Log[[#This Row],[Return]]="", "", J327 + Bet_Log[[#This Row],[Return]])</f>
        <v/>
      </c>
      <c r="K328" s="9"/>
    </row>
    <row r="329" spans="1:11" x14ac:dyDescent="0.2">
      <c r="A329" s="27"/>
      <c r="B329" s="1"/>
      <c r="C329" s="6"/>
      <c r="D329" s="1"/>
      <c r="E329" s="7"/>
      <c r="F329" s="8"/>
      <c r="G329" s="3" t="str" cm="1">
        <f t="array" ref="G329">IF(ISBLANK(F329), "", IFERROR(_xlfn.IFS(LEFT(F329,1)="+", (VALUE(MID(F329,2,LEN(F329)))+100)/100, VALUE(F329)&gt;0, (F329+100)/100, VALUE(F329)&lt;0, (ABS(F329)+100)/ABS(F329), F329=0, 0), ""))</f>
        <v/>
      </c>
      <c r="H329" s="1"/>
      <c r="I329" s="4" t="str">
        <f>IF(Bet_Log[[#This Row],[Result ]]="", "", IF(Bet_Log[[#This Row],[Result ]]="Win", Bet_Log[[#This Row],[Stake]]*Bet_Log[[#This Row],[Decimal]]-Bet_Log[[#This Row],[Stake]], IF(Bet_Log[[#This Row],[Result ]]="Loss", -Bet_Log[[#This Row],[Stake]], IF(Bet_Log[[#This Row],[Result ]]="Push", 0, ""))))</f>
        <v/>
      </c>
      <c r="J329" s="2" t="str">
        <f>IF(Bet_Log[[#This Row],[Return]]="", "", J328 + Bet_Log[[#This Row],[Return]])</f>
        <v/>
      </c>
      <c r="K329" s="9"/>
    </row>
    <row r="330" spans="1:11" x14ac:dyDescent="0.2">
      <c r="A330" s="27"/>
      <c r="B330" s="1"/>
      <c r="C330" s="6"/>
      <c r="D330" s="1"/>
      <c r="E330" s="7"/>
      <c r="F330" s="8"/>
      <c r="G330" s="3" t="str" cm="1">
        <f t="array" ref="G330">IF(ISBLANK(F330), "", IFERROR(_xlfn.IFS(LEFT(F330,1)="+", (VALUE(MID(F330,2,LEN(F330)))+100)/100, VALUE(F330)&gt;0, (F330+100)/100, VALUE(F330)&lt;0, (ABS(F330)+100)/ABS(F330), F330=0, 0), ""))</f>
        <v/>
      </c>
      <c r="H330" s="1"/>
      <c r="I330" s="4" t="str">
        <f>IF(Bet_Log[[#This Row],[Result ]]="", "", IF(Bet_Log[[#This Row],[Result ]]="Win", Bet_Log[[#This Row],[Stake]]*Bet_Log[[#This Row],[Decimal]]-Bet_Log[[#This Row],[Stake]], IF(Bet_Log[[#This Row],[Result ]]="Loss", -Bet_Log[[#This Row],[Stake]], IF(Bet_Log[[#This Row],[Result ]]="Push", 0, ""))))</f>
        <v/>
      </c>
      <c r="J330" s="2" t="str">
        <f>IF(Bet_Log[[#This Row],[Return]]="", "", J329 + Bet_Log[[#This Row],[Return]])</f>
        <v/>
      </c>
      <c r="K330" s="9"/>
    </row>
    <row r="331" spans="1:11" x14ac:dyDescent="0.2">
      <c r="A331" s="27"/>
      <c r="B331" s="1"/>
      <c r="C331" s="6"/>
      <c r="D331" s="1"/>
      <c r="E331" s="7"/>
      <c r="F331" s="8"/>
      <c r="G331" s="3" t="str" cm="1">
        <f t="array" ref="G331">IF(ISBLANK(F331), "", IFERROR(_xlfn.IFS(LEFT(F331,1)="+", (VALUE(MID(F331,2,LEN(F331)))+100)/100, VALUE(F331)&gt;0, (F331+100)/100, VALUE(F331)&lt;0, (ABS(F331)+100)/ABS(F331), F331=0, 0), ""))</f>
        <v/>
      </c>
      <c r="H331" s="1"/>
      <c r="I331" s="4" t="str">
        <f>IF(Bet_Log[[#This Row],[Result ]]="", "", IF(Bet_Log[[#This Row],[Result ]]="Win", Bet_Log[[#This Row],[Stake]]*Bet_Log[[#This Row],[Decimal]]-Bet_Log[[#This Row],[Stake]], IF(Bet_Log[[#This Row],[Result ]]="Loss", -Bet_Log[[#This Row],[Stake]], IF(Bet_Log[[#This Row],[Result ]]="Push", 0, ""))))</f>
        <v/>
      </c>
      <c r="J331" s="2" t="str">
        <f>IF(Bet_Log[[#This Row],[Return]]="", "", J330 + Bet_Log[[#This Row],[Return]])</f>
        <v/>
      </c>
      <c r="K331" s="9"/>
    </row>
    <row r="332" spans="1:11" x14ac:dyDescent="0.2">
      <c r="A332" s="27"/>
      <c r="B332" s="1"/>
      <c r="C332" s="6"/>
      <c r="D332" s="1"/>
      <c r="E332" s="7"/>
      <c r="F332" s="8"/>
      <c r="G332" s="3" t="str" cm="1">
        <f t="array" ref="G332">IF(ISBLANK(F332), "", IFERROR(_xlfn.IFS(LEFT(F332,1)="+", (VALUE(MID(F332,2,LEN(F332)))+100)/100, VALUE(F332)&gt;0, (F332+100)/100, VALUE(F332)&lt;0, (ABS(F332)+100)/ABS(F332), F332=0, 0), ""))</f>
        <v/>
      </c>
      <c r="H332" s="1"/>
      <c r="I332" s="4" t="str">
        <f>IF(Bet_Log[[#This Row],[Result ]]="", "", IF(Bet_Log[[#This Row],[Result ]]="Win", Bet_Log[[#This Row],[Stake]]*Bet_Log[[#This Row],[Decimal]]-Bet_Log[[#This Row],[Stake]], IF(Bet_Log[[#This Row],[Result ]]="Loss", -Bet_Log[[#This Row],[Stake]], IF(Bet_Log[[#This Row],[Result ]]="Push", 0, ""))))</f>
        <v/>
      </c>
      <c r="J332" s="2" t="str">
        <f>IF(Bet_Log[[#This Row],[Return]]="", "", J331 + Bet_Log[[#This Row],[Return]])</f>
        <v/>
      </c>
      <c r="K332" s="9"/>
    </row>
    <row r="333" spans="1:11" x14ac:dyDescent="0.2">
      <c r="A333" s="27"/>
      <c r="B333" s="1"/>
      <c r="C333" s="6"/>
      <c r="D333" s="1"/>
      <c r="E333" s="7"/>
      <c r="F333" s="8"/>
      <c r="G333" s="3" t="str" cm="1">
        <f t="array" ref="G333">IF(ISBLANK(F333), "", IFERROR(_xlfn.IFS(LEFT(F333,1)="+", (VALUE(MID(F333,2,LEN(F333)))+100)/100, VALUE(F333)&gt;0, (F333+100)/100, VALUE(F333)&lt;0, (ABS(F333)+100)/ABS(F333), F333=0, 0), ""))</f>
        <v/>
      </c>
      <c r="H333" s="1"/>
      <c r="I333" s="4" t="str">
        <f>IF(Bet_Log[[#This Row],[Result ]]="", "", IF(Bet_Log[[#This Row],[Result ]]="Win", Bet_Log[[#This Row],[Stake]]*Bet_Log[[#This Row],[Decimal]]-Bet_Log[[#This Row],[Stake]], IF(Bet_Log[[#This Row],[Result ]]="Loss", -Bet_Log[[#This Row],[Stake]], IF(Bet_Log[[#This Row],[Result ]]="Push", 0, ""))))</f>
        <v/>
      </c>
      <c r="J333" s="2" t="str">
        <f>IF(Bet_Log[[#This Row],[Return]]="", "", J332 + Bet_Log[[#This Row],[Return]])</f>
        <v/>
      </c>
      <c r="K333" s="9"/>
    </row>
    <row r="334" spans="1:11" x14ac:dyDescent="0.2">
      <c r="A334" s="27"/>
      <c r="B334" s="1"/>
      <c r="C334" s="6"/>
      <c r="D334" s="1"/>
      <c r="E334" s="7"/>
      <c r="F334" s="8"/>
      <c r="G334" s="3" t="str" cm="1">
        <f t="array" ref="G334">IF(ISBLANK(F334), "", IFERROR(_xlfn.IFS(LEFT(F334,1)="+", (VALUE(MID(F334,2,LEN(F334)))+100)/100, VALUE(F334)&gt;0, (F334+100)/100, VALUE(F334)&lt;0, (ABS(F334)+100)/ABS(F334), F334=0, 0), ""))</f>
        <v/>
      </c>
      <c r="H334" s="1"/>
      <c r="I334" s="4" t="str">
        <f>IF(Bet_Log[[#This Row],[Result ]]="", "", IF(Bet_Log[[#This Row],[Result ]]="Win", Bet_Log[[#This Row],[Stake]]*Bet_Log[[#This Row],[Decimal]]-Bet_Log[[#This Row],[Stake]], IF(Bet_Log[[#This Row],[Result ]]="Loss", -Bet_Log[[#This Row],[Stake]], IF(Bet_Log[[#This Row],[Result ]]="Push", 0, ""))))</f>
        <v/>
      </c>
      <c r="J334" s="2" t="str">
        <f>IF(Bet_Log[[#This Row],[Return]]="", "", J333 + Bet_Log[[#This Row],[Return]])</f>
        <v/>
      </c>
      <c r="K334" s="9"/>
    </row>
    <row r="335" spans="1:11" x14ac:dyDescent="0.2">
      <c r="A335" s="27"/>
      <c r="B335" s="1"/>
      <c r="C335" s="6"/>
      <c r="D335" s="1"/>
      <c r="E335" s="7"/>
      <c r="F335" s="8"/>
      <c r="G335" s="3" t="str" cm="1">
        <f t="array" ref="G335">IF(ISBLANK(F335), "", IFERROR(_xlfn.IFS(LEFT(F335,1)="+", (VALUE(MID(F335,2,LEN(F335)))+100)/100, VALUE(F335)&gt;0, (F335+100)/100, VALUE(F335)&lt;0, (ABS(F335)+100)/ABS(F335), F335=0, 0), ""))</f>
        <v/>
      </c>
      <c r="H335" s="1"/>
      <c r="I335" s="4" t="str">
        <f>IF(Bet_Log[[#This Row],[Result ]]="", "", IF(Bet_Log[[#This Row],[Result ]]="Win", Bet_Log[[#This Row],[Stake]]*Bet_Log[[#This Row],[Decimal]]-Bet_Log[[#This Row],[Stake]], IF(Bet_Log[[#This Row],[Result ]]="Loss", -Bet_Log[[#This Row],[Stake]], IF(Bet_Log[[#This Row],[Result ]]="Push", 0, ""))))</f>
        <v/>
      </c>
      <c r="J335" s="2" t="str">
        <f>IF(Bet_Log[[#This Row],[Return]]="", "", J334 + Bet_Log[[#This Row],[Return]])</f>
        <v/>
      </c>
      <c r="K335" s="9"/>
    </row>
    <row r="336" spans="1:11" x14ac:dyDescent="0.2">
      <c r="A336" s="27"/>
      <c r="B336" s="1"/>
      <c r="C336" s="6"/>
      <c r="D336" s="1"/>
      <c r="E336" s="7"/>
      <c r="F336" s="8"/>
      <c r="G336" s="3" t="str" cm="1">
        <f t="array" ref="G336">IF(ISBLANK(F336), "", IFERROR(_xlfn.IFS(LEFT(F336,1)="+", (VALUE(MID(F336,2,LEN(F336)))+100)/100, VALUE(F336)&gt;0, (F336+100)/100, VALUE(F336)&lt;0, (ABS(F336)+100)/ABS(F336), F336=0, 0), ""))</f>
        <v/>
      </c>
      <c r="H336" s="1"/>
      <c r="I336" s="4" t="str">
        <f>IF(Bet_Log[[#This Row],[Result ]]="", "", IF(Bet_Log[[#This Row],[Result ]]="Win", Bet_Log[[#This Row],[Stake]]*Bet_Log[[#This Row],[Decimal]]-Bet_Log[[#This Row],[Stake]], IF(Bet_Log[[#This Row],[Result ]]="Loss", -Bet_Log[[#This Row],[Stake]], IF(Bet_Log[[#This Row],[Result ]]="Push", 0, ""))))</f>
        <v/>
      </c>
      <c r="J336" s="2" t="str">
        <f>IF(Bet_Log[[#This Row],[Return]]="", "", J335 + Bet_Log[[#This Row],[Return]])</f>
        <v/>
      </c>
      <c r="K336" s="9"/>
    </row>
    <row r="337" spans="1:11" x14ac:dyDescent="0.2">
      <c r="A337" s="27"/>
      <c r="B337" s="1"/>
      <c r="C337" s="6"/>
      <c r="D337" s="1"/>
      <c r="E337" s="7"/>
      <c r="F337" s="8"/>
      <c r="G337" s="3" t="str" cm="1">
        <f t="array" ref="G337">IF(ISBLANK(F337), "", IFERROR(_xlfn.IFS(LEFT(F337,1)="+", (VALUE(MID(F337,2,LEN(F337)))+100)/100, VALUE(F337)&gt;0, (F337+100)/100, VALUE(F337)&lt;0, (ABS(F337)+100)/ABS(F337), F337=0, 0), ""))</f>
        <v/>
      </c>
      <c r="H337" s="1"/>
      <c r="I337" s="4" t="str">
        <f>IF(Bet_Log[[#This Row],[Result ]]="", "", IF(Bet_Log[[#This Row],[Result ]]="Win", Bet_Log[[#This Row],[Stake]]*Bet_Log[[#This Row],[Decimal]]-Bet_Log[[#This Row],[Stake]], IF(Bet_Log[[#This Row],[Result ]]="Loss", -Bet_Log[[#This Row],[Stake]], IF(Bet_Log[[#This Row],[Result ]]="Push", 0, ""))))</f>
        <v/>
      </c>
      <c r="J337" s="2" t="str">
        <f>IF(Bet_Log[[#This Row],[Return]]="", "", J336 + Bet_Log[[#This Row],[Return]])</f>
        <v/>
      </c>
      <c r="K337" s="9"/>
    </row>
    <row r="338" spans="1:11" x14ac:dyDescent="0.2">
      <c r="A338" s="27"/>
      <c r="B338" s="1"/>
      <c r="C338" s="6"/>
      <c r="D338" s="1"/>
      <c r="E338" s="7"/>
      <c r="F338" s="8"/>
      <c r="G338" s="3" t="str" cm="1">
        <f t="array" ref="G338">IF(ISBLANK(F338), "", IFERROR(_xlfn.IFS(LEFT(F338,1)="+", (VALUE(MID(F338,2,LEN(F338)))+100)/100, VALUE(F338)&gt;0, (F338+100)/100, VALUE(F338)&lt;0, (ABS(F338)+100)/ABS(F338), F338=0, 0), ""))</f>
        <v/>
      </c>
      <c r="H338" s="1"/>
      <c r="I338" s="4" t="str">
        <f>IF(Bet_Log[[#This Row],[Result ]]="", "", IF(Bet_Log[[#This Row],[Result ]]="Win", Bet_Log[[#This Row],[Stake]]*Bet_Log[[#This Row],[Decimal]]-Bet_Log[[#This Row],[Stake]], IF(Bet_Log[[#This Row],[Result ]]="Loss", -Bet_Log[[#This Row],[Stake]], IF(Bet_Log[[#This Row],[Result ]]="Push", 0, ""))))</f>
        <v/>
      </c>
      <c r="J338" s="2" t="str">
        <f>IF(Bet_Log[[#This Row],[Return]]="", "", J337 + Bet_Log[[#This Row],[Return]])</f>
        <v/>
      </c>
      <c r="K338" s="9"/>
    </row>
    <row r="339" spans="1:11" x14ac:dyDescent="0.2">
      <c r="A339" s="27"/>
      <c r="B339" s="1"/>
      <c r="C339" s="6"/>
      <c r="D339" s="1"/>
      <c r="E339" s="7"/>
      <c r="F339" s="8"/>
      <c r="G339" s="3" t="str" cm="1">
        <f t="array" ref="G339">IF(ISBLANK(F339), "", IFERROR(_xlfn.IFS(LEFT(F339,1)="+", (VALUE(MID(F339,2,LEN(F339)))+100)/100, VALUE(F339)&gt;0, (F339+100)/100, VALUE(F339)&lt;0, (ABS(F339)+100)/ABS(F339), F339=0, 0), ""))</f>
        <v/>
      </c>
      <c r="H339" s="1"/>
      <c r="I339" s="4" t="str">
        <f>IF(Bet_Log[[#This Row],[Result ]]="", "", IF(Bet_Log[[#This Row],[Result ]]="Win", Bet_Log[[#This Row],[Stake]]*Bet_Log[[#This Row],[Decimal]]-Bet_Log[[#This Row],[Stake]], IF(Bet_Log[[#This Row],[Result ]]="Loss", -Bet_Log[[#This Row],[Stake]], IF(Bet_Log[[#This Row],[Result ]]="Push", 0, ""))))</f>
        <v/>
      </c>
      <c r="J339" s="2" t="str">
        <f>IF(Bet_Log[[#This Row],[Return]]="", "", J338 + Bet_Log[[#This Row],[Return]])</f>
        <v/>
      </c>
      <c r="K339" s="9"/>
    </row>
    <row r="340" spans="1:11" x14ac:dyDescent="0.2">
      <c r="A340" s="27"/>
      <c r="B340" s="1"/>
      <c r="C340" s="6"/>
      <c r="D340" s="1"/>
      <c r="E340" s="7"/>
      <c r="F340" s="8"/>
      <c r="G340" s="3" t="str" cm="1">
        <f t="array" ref="G340">IF(ISBLANK(F340), "", IFERROR(_xlfn.IFS(LEFT(F340,1)="+", (VALUE(MID(F340,2,LEN(F340)))+100)/100, VALUE(F340)&gt;0, (F340+100)/100, VALUE(F340)&lt;0, (ABS(F340)+100)/ABS(F340), F340=0, 0), ""))</f>
        <v/>
      </c>
      <c r="H340" s="1"/>
      <c r="I340" s="4" t="str">
        <f>IF(Bet_Log[[#This Row],[Result ]]="", "", IF(Bet_Log[[#This Row],[Result ]]="Win", Bet_Log[[#This Row],[Stake]]*Bet_Log[[#This Row],[Decimal]]-Bet_Log[[#This Row],[Stake]], IF(Bet_Log[[#This Row],[Result ]]="Loss", -Bet_Log[[#This Row],[Stake]], IF(Bet_Log[[#This Row],[Result ]]="Push", 0, ""))))</f>
        <v/>
      </c>
      <c r="J340" s="2" t="str">
        <f>IF(Bet_Log[[#This Row],[Return]]="", "", J339 + Bet_Log[[#This Row],[Return]])</f>
        <v/>
      </c>
      <c r="K340" s="9"/>
    </row>
    <row r="341" spans="1:11" x14ac:dyDescent="0.2">
      <c r="A341" s="27"/>
      <c r="B341" s="1"/>
      <c r="C341" s="6"/>
      <c r="D341" s="1"/>
      <c r="E341" s="7"/>
      <c r="F341" s="8"/>
      <c r="G341" s="3" t="str" cm="1">
        <f t="array" ref="G341">IF(ISBLANK(F341), "", IFERROR(_xlfn.IFS(LEFT(F341,1)="+", (VALUE(MID(F341,2,LEN(F341)))+100)/100, VALUE(F341)&gt;0, (F341+100)/100, VALUE(F341)&lt;0, (ABS(F341)+100)/ABS(F341), F341=0, 0), ""))</f>
        <v/>
      </c>
      <c r="H341" s="1"/>
      <c r="I341" s="4" t="str">
        <f>IF(Bet_Log[[#This Row],[Result ]]="", "", IF(Bet_Log[[#This Row],[Result ]]="Win", Bet_Log[[#This Row],[Stake]]*Bet_Log[[#This Row],[Decimal]]-Bet_Log[[#This Row],[Stake]], IF(Bet_Log[[#This Row],[Result ]]="Loss", -Bet_Log[[#This Row],[Stake]], IF(Bet_Log[[#This Row],[Result ]]="Push", 0, ""))))</f>
        <v/>
      </c>
      <c r="J341" s="2" t="str">
        <f>IF(Bet_Log[[#This Row],[Return]]="", "", J340 + Bet_Log[[#This Row],[Return]])</f>
        <v/>
      </c>
      <c r="K341" s="9"/>
    </row>
    <row r="342" spans="1:11" x14ac:dyDescent="0.2">
      <c r="A342" s="27"/>
      <c r="B342" s="1"/>
      <c r="C342" s="6"/>
      <c r="D342" s="1"/>
      <c r="E342" s="7"/>
      <c r="F342" s="8"/>
      <c r="G342" s="3" t="str" cm="1">
        <f t="array" ref="G342">IF(ISBLANK(F342), "", IFERROR(_xlfn.IFS(LEFT(F342,1)="+", (VALUE(MID(F342,2,LEN(F342)))+100)/100, VALUE(F342)&gt;0, (F342+100)/100, VALUE(F342)&lt;0, (ABS(F342)+100)/ABS(F342), F342=0, 0), ""))</f>
        <v/>
      </c>
      <c r="H342" s="1"/>
      <c r="I342" s="4" t="str">
        <f>IF(Bet_Log[[#This Row],[Result ]]="", "", IF(Bet_Log[[#This Row],[Result ]]="Win", Bet_Log[[#This Row],[Stake]]*Bet_Log[[#This Row],[Decimal]]-Bet_Log[[#This Row],[Stake]], IF(Bet_Log[[#This Row],[Result ]]="Loss", -Bet_Log[[#This Row],[Stake]], IF(Bet_Log[[#This Row],[Result ]]="Push", 0, ""))))</f>
        <v/>
      </c>
      <c r="J342" s="2" t="str">
        <f>IF(Bet_Log[[#This Row],[Return]]="", "", J341 + Bet_Log[[#This Row],[Return]])</f>
        <v/>
      </c>
      <c r="K342" s="9"/>
    </row>
    <row r="343" spans="1:11" x14ac:dyDescent="0.2">
      <c r="A343" s="27"/>
      <c r="B343" s="1"/>
      <c r="C343" s="6"/>
      <c r="D343" s="1"/>
      <c r="E343" s="7"/>
      <c r="F343" s="8"/>
      <c r="G343" s="3" t="str" cm="1">
        <f t="array" ref="G343">IF(ISBLANK(F343), "", IFERROR(_xlfn.IFS(LEFT(F343,1)="+", (VALUE(MID(F343,2,LEN(F343)))+100)/100, VALUE(F343)&gt;0, (F343+100)/100, VALUE(F343)&lt;0, (ABS(F343)+100)/ABS(F343), F343=0, 0), ""))</f>
        <v/>
      </c>
      <c r="H343" s="1"/>
      <c r="I343" s="4" t="str">
        <f>IF(Bet_Log[[#This Row],[Result ]]="", "", IF(Bet_Log[[#This Row],[Result ]]="Win", Bet_Log[[#This Row],[Stake]]*Bet_Log[[#This Row],[Decimal]]-Bet_Log[[#This Row],[Stake]], IF(Bet_Log[[#This Row],[Result ]]="Loss", -Bet_Log[[#This Row],[Stake]], IF(Bet_Log[[#This Row],[Result ]]="Push", 0, ""))))</f>
        <v/>
      </c>
      <c r="J343" s="2" t="str">
        <f>IF(Bet_Log[[#This Row],[Return]]="", "", J342 + Bet_Log[[#This Row],[Return]])</f>
        <v/>
      </c>
      <c r="K343" s="9"/>
    </row>
    <row r="344" spans="1:11" x14ac:dyDescent="0.2">
      <c r="A344" s="27"/>
      <c r="B344" s="1"/>
      <c r="C344" s="6"/>
      <c r="D344" s="1"/>
      <c r="E344" s="7"/>
      <c r="F344" s="8"/>
      <c r="G344" s="3" t="str" cm="1">
        <f t="array" ref="G344">IF(ISBLANK(F344), "", IFERROR(_xlfn.IFS(LEFT(F344,1)="+", (VALUE(MID(F344,2,LEN(F344)))+100)/100, VALUE(F344)&gt;0, (F344+100)/100, VALUE(F344)&lt;0, (ABS(F344)+100)/ABS(F344), F344=0, 0), ""))</f>
        <v/>
      </c>
      <c r="H344" s="1"/>
      <c r="I344" s="4" t="str">
        <f>IF(Bet_Log[[#This Row],[Result ]]="", "", IF(Bet_Log[[#This Row],[Result ]]="Win", Bet_Log[[#This Row],[Stake]]*Bet_Log[[#This Row],[Decimal]]-Bet_Log[[#This Row],[Stake]], IF(Bet_Log[[#This Row],[Result ]]="Loss", -Bet_Log[[#This Row],[Stake]], IF(Bet_Log[[#This Row],[Result ]]="Push", 0, ""))))</f>
        <v/>
      </c>
      <c r="J344" s="2" t="str">
        <f>IF(Bet_Log[[#This Row],[Return]]="", "", J343 + Bet_Log[[#This Row],[Return]])</f>
        <v/>
      </c>
      <c r="K344" s="9"/>
    </row>
    <row r="345" spans="1:11" x14ac:dyDescent="0.2">
      <c r="A345" s="27"/>
      <c r="B345" s="1"/>
      <c r="C345" s="6"/>
      <c r="D345" s="1"/>
      <c r="E345" s="7"/>
      <c r="F345" s="8"/>
      <c r="G345" s="3" t="str" cm="1">
        <f t="array" ref="G345">IF(ISBLANK(F345), "", IFERROR(_xlfn.IFS(LEFT(F345,1)="+", (VALUE(MID(F345,2,LEN(F345)))+100)/100, VALUE(F345)&gt;0, (F345+100)/100, VALUE(F345)&lt;0, (ABS(F345)+100)/ABS(F345), F345=0, 0), ""))</f>
        <v/>
      </c>
      <c r="H345" s="1"/>
      <c r="I345" s="4" t="str">
        <f>IF(Bet_Log[[#This Row],[Result ]]="", "", IF(Bet_Log[[#This Row],[Result ]]="Win", Bet_Log[[#This Row],[Stake]]*Bet_Log[[#This Row],[Decimal]]-Bet_Log[[#This Row],[Stake]], IF(Bet_Log[[#This Row],[Result ]]="Loss", -Bet_Log[[#This Row],[Stake]], IF(Bet_Log[[#This Row],[Result ]]="Push", 0, ""))))</f>
        <v/>
      </c>
      <c r="J345" s="2" t="str">
        <f>IF(Bet_Log[[#This Row],[Return]]="", "", J344 + Bet_Log[[#This Row],[Return]])</f>
        <v/>
      </c>
      <c r="K345" s="9"/>
    </row>
    <row r="346" spans="1:11" x14ac:dyDescent="0.2">
      <c r="A346" s="27"/>
      <c r="B346" s="1"/>
      <c r="C346" s="6"/>
      <c r="D346" s="1"/>
      <c r="E346" s="7"/>
      <c r="F346" s="8"/>
      <c r="G346" s="3" t="str" cm="1">
        <f t="array" ref="G346">IF(ISBLANK(F346), "", IFERROR(_xlfn.IFS(LEFT(F346,1)="+", (VALUE(MID(F346,2,LEN(F346)))+100)/100, VALUE(F346)&gt;0, (F346+100)/100, VALUE(F346)&lt;0, (ABS(F346)+100)/ABS(F346), F346=0, 0), ""))</f>
        <v/>
      </c>
      <c r="H346" s="1"/>
      <c r="I346" s="4" t="str">
        <f>IF(Bet_Log[[#This Row],[Result ]]="", "", IF(Bet_Log[[#This Row],[Result ]]="Win", Bet_Log[[#This Row],[Stake]]*Bet_Log[[#This Row],[Decimal]]-Bet_Log[[#This Row],[Stake]], IF(Bet_Log[[#This Row],[Result ]]="Loss", -Bet_Log[[#This Row],[Stake]], IF(Bet_Log[[#This Row],[Result ]]="Push", 0, ""))))</f>
        <v/>
      </c>
      <c r="J346" s="2" t="str">
        <f>IF(Bet_Log[[#This Row],[Return]]="", "", J345 + Bet_Log[[#This Row],[Return]])</f>
        <v/>
      </c>
      <c r="K346" s="9"/>
    </row>
    <row r="347" spans="1:11" x14ac:dyDescent="0.2">
      <c r="A347" s="27"/>
      <c r="B347" s="1"/>
      <c r="C347" s="6"/>
      <c r="D347" s="1"/>
      <c r="E347" s="7"/>
      <c r="F347" s="8"/>
      <c r="G347" s="3" t="str" cm="1">
        <f t="array" ref="G347">IF(ISBLANK(F347), "", IFERROR(_xlfn.IFS(LEFT(F347,1)="+", (VALUE(MID(F347,2,LEN(F347)))+100)/100, VALUE(F347)&gt;0, (F347+100)/100, VALUE(F347)&lt;0, (ABS(F347)+100)/ABS(F347), F347=0, 0), ""))</f>
        <v/>
      </c>
      <c r="H347" s="1"/>
      <c r="I347" s="4" t="str">
        <f>IF(Bet_Log[[#This Row],[Result ]]="", "", IF(Bet_Log[[#This Row],[Result ]]="Win", Bet_Log[[#This Row],[Stake]]*Bet_Log[[#This Row],[Decimal]]-Bet_Log[[#This Row],[Stake]], IF(Bet_Log[[#This Row],[Result ]]="Loss", -Bet_Log[[#This Row],[Stake]], IF(Bet_Log[[#This Row],[Result ]]="Push", 0, ""))))</f>
        <v/>
      </c>
      <c r="J347" s="2" t="str">
        <f>IF(Bet_Log[[#This Row],[Return]]="", "", J346 + Bet_Log[[#This Row],[Return]])</f>
        <v/>
      </c>
      <c r="K347" s="9"/>
    </row>
    <row r="348" spans="1:11" x14ac:dyDescent="0.2">
      <c r="A348" s="27"/>
      <c r="B348" s="1"/>
      <c r="C348" s="6"/>
      <c r="D348" s="1"/>
      <c r="E348" s="7"/>
      <c r="F348" s="8"/>
      <c r="G348" s="3" t="str" cm="1">
        <f t="array" ref="G348">IF(ISBLANK(F348), "", IFERROR(_xlfn.IFS(LEFT(F348,1)="+", (VALUE(MID(F348,2,LEN(F348)))+100)/100, VALUE(F348)&gt;0, (F348+100)/100, VALUE(F348)&lt;0, (ABS(F348)+100)/ABS(F348), F348=0, 0), ""))</f>
        <v/>
      </c>
      <c r="H348" s="1"/>
      <c r="I348" s="4" t="str">
        <f>IF(Bet_Log[[#This Row],[Result ]]="", "", IF(Bet_Log[[#This Row],[Result ]]="Win", Bet_Log[[#This Row],[Stake]]*Bet_Log[[#This Row],[Decimal]]-Bet_Log[[#This Row],[Stake]], IF(Bet_Log[[#This Row],[Result ]]="Loss", -Bet_Log[[#This Row],[Stake]], IF(Bet_Log[[#This Row],[Result ]]="Push", 0, ""))))</f>
        <v/>
      </c>
      <c r="J348" s="2" t="str">
        <f>IF(Bet_Log[[#This Row],[Return]]="", "", J347 + Bet_Log[[#This Row],[Return]])</f>
        <v/>
      </c>
      <c r="K348" s="9"/>
    </row>
    <row r="349" spans="1:11" x14ac:dyDescent="0.2">
      <c r="A349" s="27"/>
      <c r="B349" s="1"/>
      <c r="C349" s="6"/>
      <c r="D349" s="1"/>
      <c r="E349" s="7"/>
      <c r="F349" s="8"/>
      <c r="G349" s="3" t="str" cm="1">
        <f t="array" ref="G349">IF(ISBLANK(F349), "", IFERROR(_xlfn.IFS(LEFT(F349,1)="+", (VALUE(MID(F349,2,LEN(F349)))+100)/100, VALUE(F349)&gt;0, (F349+100)/100, VALUE(F349)&lt;0, (ABS(F349)+100)/ABS(F349), F349=0, 0), ""))</f>
        <v/>
      </c>
      <c r="H349" s="1"/>
      <c r="I349" s="4" t="str">
        <f>IF(Bet_Log[[#This Row],[Result ]]="", "", IF(Bet_Log[[#This Row],[Result ]]="Win", Bet_Log[[#This Row],[Stake]]*Bet_Log[[#This Row],[Decimal]]-Bet_Log[[#This Row],[Stake]], IF(Bet_Log[[#This Row],[Result ]]="Loss", -Bet_Log[[#This Row],[Stake]], IF(Bet_Log[[#This Row],[Result ]]="Push", 0, ""))))</f>
        <v/>
      </c>
      <c r="J349" s="2" t="str">
        <f>IF(Bet_Log[[#This Row],[Return]]="", "", J348 + Bet_Log[[#This Row],[Return]])</f>
        <v/>
      </c>
      <c r="K349" s="9"/>
    </row>
    <row r="350" spans="1:11" x14ac:dyDescent="0.2">
      <c r="A350" s="27"/>
      <c r="B350" s="1"/>
      <c r="C350" s="6"/>
      <c r="D350" s="1"/>
      <c r="E350" s="7"/>
      <c r="F350" s="8"/>
      <c r="G350" s="3" t="str" cm="1">
        <f t="array" ref="G350">IF(ISBLANK(F350), "", IFERROR(_xlfn.IFS(LEFT(F350,1)="+", (VALUE(MID(F350,2,LEN(F350)))+100)/100, VALUE(F350)&gt;0, (F350+100)/100, VALUE(F350)&lt;0, (ABS(F350)+100)/ABS(F350), F350=0, 0), ""))</f>
        <v/>
      </c>
      <c r="H350" s="1"/>
      <c r="I350" s="4" t="str">
        <f>IF(Bet_Log[[#This Row],[Result ]]="", "", IF(Bet_Log[[#This Row],[Result ]]="Win", Bet_Log[[#This Row],[Stake]]*Bet_Log[[#This Row],[Decimal]]-Bet_Log[[#This Row],[Stake]], IF(Bet_Log[[#This Row],[Result ]]="Loss", -Bet_Log[[#This Row],[Stake]], IF(Bet_Log[[#This Row],[Result ]]="Push", 0, ""))))</f>
        <v/>
      </c>
      <c r="J350" s="2" t="str">
        <f>IF(Bet_Log[[#This Row],[Return]]="", "", J349 + Bet_Log[[#This Row],[Return]])</f>
        <v/>
      </c>
      <c r="K350" s="9"/>
    </row>
    <row r="351" spans="1:11" x14ac:dyDescent="0.2">
      <c r="A351" s="27"/>
      <c r="B351" s="1"/>
      <c r="C351" s="6"/>
      <c r="D351" s="1"/>
      <c r="E351" s="7"/>
      <c r="F351" s="8"/>
      <c r="G351" s="3" t="str" cm="1">
        <f t="array" ref="G351">IF(ISBLANK(F351), "", IFERROR(_xlfn.IFS(LEFT(F351,1)="+", (VALUE(MID(F351,2,LEN(F351)))+100)/100, VALUE(F351)&gt;0, (F351+100)/100, VALUE(F351)&lt;0, (ABS(F351)+100)/ABS(F351), F351=0, 0), ""))</f>
        <v/>
      </c>
      <c r="H351" s="1"/>
      <c r="I351" s="4" t="str">
        <f>IF(Bet_Log[[#This Row],[Result ]]="", "", IF(Bet_Log[[#This Row],[Result ]]="Win", Bet_Log[[#This Row],[Stake]]*Bet_Log[[#This Row],[Decimal]]-Bet_Log[[#This Row],[Stake]], IF(Bet_Log[[#This Row],[Result ]]="Loss", -Bet_Log[[#This Row],[Stake]], IF(Bet_Log[[#This Row],[Result ]]="Push", 0, ""))))</f>
        <v/>
      </c>
      <c r="J351" s="2" t="str">
        <f>IF(Bet_Log[[#This Row],[Return]]="", "", J350 + Bet_Log[[#This Row],[Return]])</f>
        <v/>
      </c>
      <c r="K351" s="9"/>
    </row>
    <row r="352" spans="1:11" x14ac:dyDescent="0.2">
      <c r="A352" s="27"/>
      <c r="B352" s="1"/>
      <c r="C352" s="6"/>
      <c r="D352" s="1"/>
      <c r="E352" s="7"/>
      <c r="F352" s="8"/>
      <c r="G352" s="3" t="str" cm="1">
        <f t="array" ref="G352">IF(ISBLANK(F352), "", IFERROR(_xlfn.IFS(LEFT(F352,1)="+", (VALUE(MID(F352,2,LEN(F352)))+100)/100, VALUE(F352)&gt;0, (F352+100)/100, VALUE(F352)&lt;0, (ABS(F352)+100)/ABS(F352), F352=0, 0), ""))</f>
        <v/>
      </c>
      <c r="H352" s="1"/>
      <c r="I352" s="4" t="str">
        <f>IF(Bet_Log[[#This Row],[Result ]]="", "", IF(Bet_Log[[#This Row],[Result ]]="Win", Bet_Log[[#This Row],[Stake]]*Bet_Log[[#This Row],[Decimal]]-Bet_Log[[#This Row],[Stake]], IF(Bet_Log[[#This Row],[Result ]]="Loss", -Bet_Log[[#This Row],[Stake]], IF(Bet_Log[[#This Row],[Result ]]="Push", 0, ""))))</f>
        <v/>
      </c>
      <c r="J352" s="2" t="str">
        <f>IF(Bet_Log[[#This Row],[Return]]="", "", J351 + Bet_Log[[#This Row],[Return]])</f>
        <v/>
      </c>
      <c r="K352" s="9"/>
    </row>
    <row r="353" spans="1:11" x14ac:dyDescent="0.2">
      <c r="A353" s="27"/>
      <c r="B353" s="1"/>
      <c r="C353" s="6"/>
      <c r="D353" s="1"/>
      <c r="E353" s="7"/>
      <c r="F353" s="8"/>
      <c r="G353" s="3" t="str" cm="1">
        <f t="array" ref="G353">IF(ISBLANK(F353), "", IFERROR(_xlfn.IFS(LEFT(F353,1)="+", (VALUE(MID(F353,2,LEN(F353)))+100)/100, VALUE(F353)&gt;0, (F353+100)/100, VALUE(F353)&lt;0, (ABS(F353)+100)/ABS(F353), F353=0, 0), ""))</f>
        <v/>
      </c>
      <c r="H353" s="1"/>
      <c r="I353" s="4" t="str">
        <f>IF(Bet_Log[[#This Row],[Result ]]="", "", IF(Bet_Log[[#This Row],[Result ]]="Win", Bet_Log[[#This Row],[Stake]]*Bet_Log[[#This Row],[Decimal]]-Bet_Log[[#This Row],[Stake]], IF(Bet_Log[[#This Row],[Result ]]="Loss", -Bet_Log[[#This Row],[Stake]], IF(Bet_Log[[#This Row],[Result ]]="Push", 0, ""))))</f>
        <v/>
      </c>
      <c r="J353" s="2" t="str">
        <f>IF(Bet_Log[[#This Row],[Return]]="", "", J352 + Bet_Log[[#This Row],[Return]])</f>
        <v/>
      </c>
      <c r="K353" s="9"/>
    </row>
    <row r="354" spans="1:11" x14ac:dyDescent="0.2">
      <c r="A354" s="27"/>
      <c r="B354" s="1"/>
      <c r="C354" s="6"/>
      <c r="D354" s="1"/>
      <c r="E354" s="7"/>
      <c r="F354" s="8"/>
      <c r="G354" s="3" t="str" cm="1">
        <f t="array" ref="G354">IF(ISBLANK(F354), "", IFERROR(_xlfn.IFS(LEFT(F354,1)="+", (VALUE(MID(F354,2,LEN(F354)))+100)/100, VALUE(F354)&gt;0, (F354+100)/100, VALUE(F354)&lt;0, (ABS(F354)+100)/ABS(F354), F354=0, 0), ""))</f>
        <v/>
      </c>
      <c r="H354" s="1"/>
      <c r="I354" s="4" t="str">
        <f>IF(Bet_Log[[#This Row],[Result ]]="", "", IF(Bet_Log[[#This Row],[Result ]]="Win", Bet_Log[[#This Row],[Stake]]*Bet_Log[[#This Row],[Decimal]]-Bet_Log[[#This Row],[Stake]], IF(Bet_Log[[#This Row],[Result ]]="Loss", -Bet_Log[[#This Row],[Stake]], IF(Bet_Log[[#This Row],[Result ]]="Push", 0, ""))))</f>
        <v/>
      </c>
      <c r="J354" s="2" t="str">
        <f>IF(Bet_Log[[#This Row],[Return]]="", "", J353 + Bet_Log[[#This Row],[Return]])</f>
        <v/>
      </c>
      <c r="K354" s="9"/>
    </row>
    <row r="355" spans="1:11" x14ac:dyDescent="0.2">
      <c r="A355" s="27"/>
      <c r="B355" s="1"/>
      <c r="C355" s="6"/>
      <c r="D355" s="1"/>
      <c r="E355" s="7"/>
      <c r="F355" s="8"/>
      <c r="G355" s="3" t="str" cm="1">
        <f t="array" ref="G355">IF(ISBLANK(F355), "", IFERROR(_xlfn.IFS(LEFT(F355,1)="+", (VALUE(MID(F355,2,LEN(F355)))+100)/100, VALUE(F355)&gt;0, (F355+100)/100, VALUE(F355)&lt;0, (ABS(F355)+100)/ABS(F355), F355=0, 0), ""))</f>
        <v/>
      </c>
      <c r="H355" s="1"/>
      <c r="I355" s="4" t="str">
        <f>IF(Bet_Log[[#This Row],[Result ]]="", "", IF(Bet_Log[[#This Row],[Result ]]="Win", Bet_Log[[#This Row],[Stake]]*Bet_Log[[#This Row],[Decimal]]-Bet_Log[[#This Row],[Stake]], IF(Bet_Log[[#This Row],[Result ]]="Loss", -Bet_Log[[#This Row],[Stake]], IF(Bet_Log[[#This Row],[Result ]]="Push", 0, ""))))</f>
        <v/>
      </c>
      <c r="J355" s="2" t="str">
        <f>IF(Bet_Log[[#This Row],[Return]]="", "", J354 + Bet_Log[[#This Row],[Return]])</f>
        <v/>
      </c>
      <c r="K355" s="9"/>
    </row>
    <row r="356" spans="1:11" x14ac:dyDescent="0.2">
      <c r="A356" s="27"/>
      <c r="B356" s="1"/>
      <c r="C356" s="6"/>
      <c r="D356" s="1"/>
      <c r="E356" s="7"/>
      <c r="F356" s="8"/>
      <c r="G356" s="3" t="str" cm="1">
        <f t="array" ref="G356">IF(ISBLANK(F356), "", IFERROR(_xlfn.IFS(LEFT(F356,1)="+", (VALUE(MID(F356,2,LEN(F356)))+100)/100, VALUE(F356)&gt;0, (F356+100)/100, VALUE(F356)&lt;0, (ABS(F356)+100)/ABS(F356), F356=0, 0), ""))</f>
        <v/>
      </c>
      <c r="H356" s="1"/>
      <c r="I356" s="4" t="str">
        <f>IF(Bet_Log[[#This Row],[Result ]]="", "", IF(Bet_Log[[#This Row],[Result ]]="Win", Bet_Log[[#This Row],[Stake]]*Bet_Log[[#This Row],[Decimal]]-Bet_Log[[#This Row],[Stake]], IF(Bet_Log[[#This Row],[Result ]]="Loss", -Bet_Log[[#This Row],[Stake]], IF(Bet_Log[[#This Row],[Result ]]="Push", 0, ""))))</f>
        <v/>
      </c>
      <c r="J356" s="2" t="str">
        <f>IF(Bet_Log[[#This Row],[Return]]="", "", J355 + Bet_Log[[#This Row],[Return]])</f>
        <v/>
      </c>
      <c r="K356" s="9"/>
    </row>
    <row r="357" spans="1:11" x14ac:dyDescent="0.2">
      <c r="A357" s="27"/>
      <c r="B357" s="1"/>
      <c r="C357" s="6"/>
      <c r="D357" s="1"/>
      <c r="E357" s="7"/>
      <c r="F357" s="8"/>
      <c r="G357" s="3" t="str" cm="1">
        <f t="array" ref="G357">IF(ISBLANK(F357), "", IFERROR(_xlfn.IFS(LEFT(F357,1)="+", (VALUE(MID(F357,2,LEN(F357)))+100)/100, VALUE(F357)&gt;0, (F357+100)/100, VALUE(F357)&lt;0, (ABS(F357)+100)/ABS(F357), F357=0, 0), ""))</f>
        <v/>
      </c>
      <c r="H357" s="1"/>
      <c r="I357" s="4" t="str">
        <f>IF(Bet_Log[[#This Row],[Result ]]="", "", IF(Bet_Log[[#This Row],[Result ]]="Win", Bet_Log[[#This Row],[Stake]]*Bet_Log[[#This Row],[Decimal]]-Bet_Log[[#This Row],[Stake]], IF(Bet_Log[[#This Row],[Result ]]="Loss", -Bet_Log[[#This Row],[Stake]], IF(Bet_Log[[#This Row],[Result ]]="Push", 0, ""))))</f>
        <v/>
      </c>
      <c r="J357" s="2" t="str">
        <f>IF(Bet_Log[[#This Row],[Return]]="", "", J356 + Bet_Log[[#This Row],[Return]])</f>
        <v/>
      </c>
      <c r="K357" s="9"/>
    </row>
    <row r="358" spans="1:11" x14ac:dyDescent="0.2">
      <c r="A358" s="27"/>
      <c r="B358" s="1"/>
      <c r="C358" s="6"/>
      <c r="D358" s="1"/>
      <c r="E358" s="7"/>
      <c r="F358" s="8"/>
      <c r="G358" s="3" t="str" cm="1">
        <f t="array" ref="G358">IF(ISBLANK(F358), "", IFERROR(_xlfn.IFS(LEFT(F358,1)="+", (VALUE(MID(F358,2,LEN(F358)))+100)/100, VALUE(F358)&gt;0, (F358+100)/100, VALUE(F358)&lt;0, (ABS(F358)+100)/ABS(F358), F358=0, 0), ""))</f>
        <v/>
      </c>
      <c r="H358" s="1"/>
      <c r="I358" s="4" t="str">
        <f>IF(Bet_Log[[#This Row],[Result ]]="", "", IF(Bet_Log[[#This Row],[Result ]]="Win", Bet_Log[[#This Row],[Stake]]*Bet_Log[[#This Row],[Decimal]]-Bet_Log[[#This Row],[Stake]], IF(Bet_Log[[#This Row],[Result ]]="Loss", -Bet_Log[[#This Row],[Stake]], IF(Bet_Log[[#This Row],[Result ]]="Push", 0, ""))))</f>
        <v/>
      </c>
      <c r="J358" s="2" t="str">
        <f>IF(Bet_Log[[#This Row],[Return]]="", "", J357 + Bet_Log[[#This Row],[Return]])</f>
        <v/>
      </c>
      <c r="K358" s="9"/>
    </row>
    <row r="359" spans="1:11" x14ac:dyDescent="0.2">
      <c r="A359" s="27"/>
      <c r="B359" s="1"/>
      <c r="C359" s="6"/>
      <c r="D359" s="1"/>
      <c r="E359" s="7"/>
      <c r="F359" s="8"/>
      <c r="G359" s="3" t="str" cm="1">
        <f t="array" ref="G359">IF(ISBLANK(F359), "", IFERROR(_xlfn.IFS(LEFT(F359,1)="+", (VALUE(MID(F359,2,LEN(F359)))+100)/100, VALUE(F359)&gt;0, (F359+100)/100, VALUE(F359)&lt;0, (ABS(F359)+100)/ABS(F359), F359=0, 0), ""))</f>
        <v/>
      </c>
      <c r="H359" s="1"/>
      <c r="I359" s="4" t="str">
        <f>IF(Bet_Log[[#This Row],[Result ]]="", "", IF(Bet_Log[[#This Row],[Result ]]="Win", Bet_Log[[#This Row],[Stake]]*Bet_Log[[#This Row],[Decimal]]-Bet_Log[[#This Row],[Stake]], IF(Bet_Log[[#This Row],[Result ]]="Loss", -Bet_Log[[#This Row],[Stake]], IF(Bet_Log[[#This Row],[Result ]]="Push", 0, ""))))</f>
        <v/>
      </c>
      <c r="J359" s="2" t="str">
        <f>IF(Bet_Log[[#This Row],[Return]]="", "", J358 + Bet_Log[[#This Row],[Return]])</f>
        <v/>
      </c>
      <c r="K359" s="9"/>
    </row>
    <row r="360" spans="1:11" x14ac:dyDescent="0.2">
      <c r="A360" s="27"/>
      <c r="B360" s="1"/>
      <c r="C360" s="6"/>
      <c r="D360" s="1"/>
      <c r="E360" s="7"/>
      <c r="F360" s="8"/>
      <c r="G360" s="3" t="str" cm="1">
        <f t="array" ref="G360">IF(ISBLANK(F360), "", IFERROR(_xlfn.IFS(LEFT(F360,1)="+", (VALUE(MID(F360,2,LEN(F360)))+100)/100, VALUE(F360)&gt;0, (F360+100)/100, VALUE(F360)&lt;0, (ABS(F360)+100)/ABS(F360), F360=0, 0), ""))</f>
        <v/>
      </c>
      <c r="H360" s="1"/>
      <c r="I360" s="4" t="str">
        <f>IF(Bet_Log[[#This Row],[Result ]]="", "", IF(Bet_Log[[#This Row],[Result ]]="Win", Bet_Log[[#This Row],[Stake]]*Bet_Log[[#This Row],[Decimal]]-Bet_Log[[#This Row],[Stake]], IF(Bet_Log[[#This Row],[Result ]]="Loss", -Bet_Log[[#This Row],[Stake]], IF(Bet_Log[[#This Row],[Result ]]="Push", 0, ""))))</f>
        <v/>
      </c>
      <c r="J360" s="2" t="str">
        <f>IF(Bet_Log[[#This Row],[Return]]="", "", J359 + Bet_Log[[#This Row],[Return]])</f>
        <v/>
      </c>
      <c r="K360" s="9"/>
    </row>
    <row r="361" spans="1:11" x14ac:dyDescent="0.2">
      <c r="A361" s="27"/>
      <c r="B361" s="1"/>
      <c r="C361" s="6"/>
      <c r="D361" s="1"/>
      <c r="E361" s="7"/>
      <c r="F361" s="8"/>
      <c r="G361" s="3" t="str" cm="1">
        <f t="array" ref="G361">IF(ISBLANK(F361), "", IFERROR(_xlfn.IFS(LEFT(F361,1)="+", (VALUE(MID(F361,2,LEN(F361)))+100)/100, VALUE(F361)&gt;0, (F361+100)/100, VALUE(F361)&lt;0, (ABS(F361)+100)/ABS(F361), F361=0, 0), ""))</f>
        <v/>
      </c>
      <c r="H361" s="1"/>
      <c r="I361" s="4" t="str">
        <f>IF(Bet_Log[[#This Row],[Result ]]="", "", IF(Bet_Log[[#This Row],[Result ]]="Win", Bet_Log[[#This Row],[Stake]]*Bet_Log[[#This Row],[Decimal]]-Bet_Log[[#This Row],[Stake]], IF(Bet_Log[[#This Row],[Result ]]="Loss", -Bet_Log[[#This Row],[Stake]], IF(Bet_Log[[#This Row],[Result ]]="Push", 0, ""))))</f>
        <v/>
      </c>
      <c r="J361" s="2" t="str">
        <f>IF(Bet_Log[[#This Row],[Return]]="", "", J360 + Bet_Log[[#This Row],[Return]])</f>
        <v/>
      </c>
      <c r="K361" s="9"/>
    </row>
    <row r="362" spans="1:11" x14ac:dyDescent="0.2">
      <c r="A362" s="27"/>
      <c r="B362" s="1"/>
      <c r="C362" s="6"/>
      <c r="D362" s="1"/>
      <c r="E362" s="7"/>
      <c r="F362" s="8"/>
      <c r="G362" s="3" t="str" cm="1">
        <f t="array" ref="G362">IF(ISBLANK(F362), "", IFERROR(_xlfn.IFS(LEFT(F362,1)="+", (VALUE(MID(F362,2,LEN(F362)))+100)/100, VALUE(F362)&gt;0, (F362+100)/100, VALUE(F362)&lt;0, (ABS(F362)+100)/ABS(F362), F362=0, 0), ""))</f>
        <v/>
      </c>
      <c r="H362" s="1"/>
      <c r="I362" s="4" t="str">
        <f>IF(Bet_Log[[#This Row],[Result ]]="", "", IF(Bet_Log[[#This Row],[Result ]]="Win", Bet_Log[[#This Row],[Stake]]*Bet_Log[[#This Row],[Decimal]]-Bet_Log[[#This Row],[Stake]], IF(Bet_Log[[#This Row],[Result ]]="Loss", -Bet_Log[[#This Row],[Stake]], IF(Bet_Log[[#This Row],[Result ]]="Push", 0, ""))))</f>
        <v/>
      </c>
      <c r="J362" s="2" t="str">
        <f>IF(Bet_Log[[#This Row],[Return]]="", "", J361 + Bet_Log[[#This Row],[Return]])</f>
        <v/>
      </c>
      <c r="K362" s="9"/>
    </row>
    <row r="363" spans="1:11" x14ac:dyDescent="0.2">
      <c r="A363" s="27"/>
      <c r="B363" s="1"/>
      <c r="C363" s="6"/>
      <c r="D363" s="1"/>
      <c r="E363" s="7"/>
      <c r="F363" s="8"/>
      <c r="G363" s="3" t="str" cm="1">
        <f t="array" ref="G363">IF(ISBLANK(F363), "", IFERROR(_xlfn.IFS(LEFT(F363,1)="+", (VALUE(MID(F363,2,LEN(F363)))+100)/100, VALUE(F363)&gt;0, (F363+100)/100, VALUE(F363)&lt;0, (ABS(F363)+100)/ABS(F363), F363=0, 0), ""))</f>
        <v/>
      </c>
      <c r="H363" s="1"/>
      <c r="I363" s="4" t="str">
        <f>IF(Bet_Log[[#This Row],[Result ]]="", "", IF(Bet_Log[[#This Row],[Result ]]="Win", Bet_Log[[#This Row],[Stake]]*Bet_Log[[#This Row],[Decimal]]-Bet_Log[[#This Row],[Stake]], IF(Bet_Log[[#This Row],[Result ]]="Loss", -Bet_Log[[#This Row],[Stake]], IF(Bet_Log[[#This Row],[Result ]]="Push", 0, ""))))</f>
        <v/>
      </c>
      <c r="J363" s="2" t="str">
        <f>IF(Bet_Log[[#This Row],[Return]]="", "", J362 + Bet_Log[[#This Row],[Return]])</f>
        <v/>
      </c>
      <c r="K363" s="9"/>
    </row>
    <row r="364" spans="1:11" x14ac:dyDescent="0.2">
      <c r="A364" s="27"/>
      <c r="B364" s="1"/>
      <c r="C364" s="6"/>
      <c r="D364" s="1"/>
      <c r="E364" s="7"/>
      <c r="F364" s="8"/>
      <c r="G364" s="3" t="str" cm="1">
        <f t="array" ref="G364">IF(ISBLANK(F364), "", IFERROR(_xlfn.IFS(LEFT(F364,1)="+", (VALUE(MID(F364,2,LEN(F364)))+100)/100, VALUE(F364)&gt;0, (F364+100)/100, VALUE(F364)&lt;0, (ABS(F364)+100)/ABS(F364), F364=0, 0), ""))</f>
        <v/>
      </c>
      <c r="H364" s="1"/>
      <c r="I364" s="4" t="str">
        <f>IF(Bet_Log[[#This Row],[Result ]]="", "", IF(Bet_Log[[#This Row],[Result ]]="Win", Bet_Log[[#This Row],[Stake]]*Bet_Log[[#This Row],[Decimal]]-Bet_Log[[#This Row],[Stake]], IF(Bet_Log[[#This Row],[Result ]]="Loss", -Bet_Log[[#This Row],[Stake]], IF(Bet_Log[[#This Row],[Result ]]="Push", 0, ""))))</f>
        <v/>
      </c>
      <c r="J364" s="2" t="str">
        <f>IF(Bet_Log[[#This Row],[Return]]="", "", J363 + Bet_Log[[#This Row],[Return]])</f>
        <v/>
      </c>
      <c r="K364" s="9"/>
    </row>
    <row r="365" spans="1:11" x14ac:dyDescent="0.2">
      <c r="A365" s="27"/>
      <c r="B365" s="1"/>
      <c r="C365" s="6"/>
      <c r="D365" s="1"/>
      <c r="E365" s="7"/>
      <c r="F365" s="8"/>
      <c r="G365" s="3" t="str" cm="1">
        <f t="array" ref="G365">IF(ISBLANK(F365), "", IFERROR(_xlfn.IFS(LEFT(F365,1)="+", (VALUE(MID(F365,2,LEN(F365)))+100)/100, VALUE(F365)&gt;0, (F365+100)/100, VALUE(F365)&lt;0, (ABS(F365)+100)/ABS(F365), F365=0, 0), ""))</f>
        <v/>
      </c>
      <c r="H365" s="1"/>
      <c r="I365" s="4" t="str">
        <f>IF(Bet_Log[[#This Row],[Result ]]="", "", IF(Bet_Log[[#This Row],[Result ]]="Win", Bet_Log[[#This Row],[Stake]]*Bet_Log[[#This Row],[Decimal]]-Bet_Log[[#This Row],[Stake]], IF(Bet_Log[[#This Row],[Result ]]="Loss", -Bet_Log[[#This Row],[Stake]], IF(Bet_Log[[#This Row],[Result ]]="Push", 0, ""))))</f>
        <v/>
      </c>
      <c r="J365" s="2" t="str">
        <f>IF(Bet_Log[[#This Row],[Return]]="", "", J364 + Bet_Log[[#This Row],[Return]])</f>
        <v/>
      </c>
      <c r="K365" s="9"/>
    </row>
    <row r="366" spans="1:11" x14ac:dyDescent="0.2">
      <c r="A366" s="27"/>
      <c r="B366" s="1"/>
      <c r="C366" s="6"/>
      <c r="D366" s="1"/>
      <c r="E366" s="7"/>
      <c r="F366" s="8"/>
      <c r="G366" s="3" t="str" cm="1">
        <f t="array" ref="G366">IF(ISBLANK(F366), "", IFERROR(_xlfn.IFS(LEFT(F366,1)="+", (VALUE(MID(F366,2,LEN(F366)))+100)/100, VALUE(F366)&gt;0, (F366+100)/100, VALUE(F366)&lt;0, (ABS(F366)+100)/ABS(F366), F366=0, 0), ""))</f>
        <v/>
      </c>
      <c r="H366" s="1"/>
      <c r="I366" s="4" t="str">
        <f>IF(Bet_Log[[#This Row],[Result ]]="", "", IF(Bet_Log[[#This Row],[Result ]]="Win", Bet_Log[[#This Row],[Stake]]*Bet_Log[[#This Row],[Decimal]]-Bet_Log[[#This Row],[Stake]], IF(Bet_Log[[#This Row],[Result ]]="Loss", -Bet_Log[[#This Row],[Stake]], IF(Bet_Log[[#This Row],[Result ]]="Push", 0, ""))))</f>
        <v/>
      </c>
      <c r="J366" s="2" t="str">
        <f>IF(Bet_Log[[#This Row],[Return]]="", "", J365 + Bet_Log[[#This Row],[Return]])</f>
        <v/>
      </c>
      <c r="K366" s="9"/>
    </row>
    <row r="367" spans="1:11" x14ac:dyDescent="0.2">
      <c r="A367" s="27"/>
      <c r="B367" s="1"/>
      <c r="C367" s="6"/>
      <c r="D367" s="1"/>
      <c r="E367" s="7"/>
      <c r="F367" s="8"/>
      <c r="G367" s="3" t="str" cm="1">
        <f t="array" ref="G367">IF(ISBLANK(F367), "", IFERROR(_xlfn.IFS(LEFT(F367,1)="+", (VALUE(MID(F367,2,LEN(F367)))+100)/100, VALUE(F367)&gt;0, (F367+100)/100, VALUE(F367)&lt;0, (ABS(F367)+100)/ABS(F367), F367=0, 0), ""))</f>
        <v/>
      </c>
      <c r="H367" s="1"/>
      <c r="I367" s="4" t="str">
        <f>IF(Bet_Log[[#This Row],[Result ]]="", "", IF(Bet_Log[[#This Row],[Result ]]="Win", Bet_Log[[#This Row],[Stake]]*Bet_Log[[#This Row],[Decimal]]-Bet_Log[[#This Row],[Stake]], IF(Bet_Log[[#This Row],[Result ]]="Loss", -Bet_Log[[#This Row],[Stake]], IF(Bet_Log[[#This Row],[Result ]]="Push", 0, ""))))</f>
        <v/>
      </c>
      <c r="J367" s="2" t="str">
        <f>IF(Bet_Log[[#This Row],[Return]]="", "", J366 + Bet_Log[[#This Row],[Return]])</f>
        <v/>
      </c>
      <c r="K367" s="9"/>
    </row>
    <row r="368" spans="1:11" x14ac:dyDescent="0.2">
      <c r="A368" s="27"/>
      <c r="B368" s="1"/>
      <c r="C368" s="6"/>
      <c r="D368" s="1"/>
      <c r="E368" s="7"/>
      <c r="F368" s="8"/>
      <c r="G368" s="3" t="str" cm="1">
        <f t="array" ref="G368">IF(ISBLANK(F368), "", IFERROR(_xlfn.IFS(LEFT(F368,1)="+", (VALUE(MID(F368,2,LEN(F368)))+100)/100, VALUE(F368)&gt;0, (F368+100)/100, VALUE(F368)&lt;0, (ABS(F368)+100)/ABS(F368), F368=0, 0), ""))</f>
        <v/>
      </c>
      <c r="H368" s="1"/>
      <c r="I368" s="4" t="str">
        <f>IF(Bet_Log[[#This Row],[Result ]]="", "", IF(Bet_Log[[#This Row],[Result ]]="Win", Bet_Log[[#This Row],[Stake]]*Bet_Log[[#This Row],[Decimal]]-Bet_Log[[#This Row],[Stake]], IF(Bet_Log[[#This Row],[Result ]]="Loss", -Bet_Log[[#This Row],[Stake]], IF(Bet_Log[[#This Row],[Result ]]="Push", 0, ""))))</f>
        <v/>
      </c>
      <c r="J368" s="2" t="str">
        <f>IF(Bet_Log[[#This Row],[Return]]="", "", J367 + Bet_Log[[#This Row],[Return]])</f>
        <v/>
      </c>
      <c r="K368" s="9"/>
    </row>
    <row r="369" spans="1:11" x14ac:dyDescent="0.2">
      <c r="A369" s="27"/>
      <c r="B369" s="1"/>
      <c r="C369" s="6"/>
      <c r="D369" s="1"/>
      <c r="E369" s="7"/>
      <c r="F369" s="8"/>
      <c r="G369" s="3" t="str" cm="1">
        <f t="array" ref="G369">IF(ISBLANK(F369), "", IFERROR(_xlfn.IFS(LEFT(F369,1)="+", (VALUE(MID(F369,2,LEN(F369)))+100)/100, VALUE(F369)&gt;0, (F369+100)/100, VALUE(F369)&lt;0, (ABS(F369)+100)/ABS(F369), F369=0, 0), ""))</f>
        <v/>
      </c>
      <c r="H369" s="1"/>
      <c r="I369" s="4" t="str">
        <f>IF(Bet_Log[[#This Row],[Result ]]="", "", IF(Bet_Log[[#This Row],[Result ]]="Win", Bet_Log[[#This Row],[Stake]]*Bet_Log[[#This Row],[Decimal]]-Bet_Log[[#This Row],[Stake]], IF(Bet_Log[[#This Row],[Result ]]="Loss", -Bet_Log[[#This Row],[Stake]], IF(Bet_Log[[#This Row],[Result ]]="Push", 0, ""))))</f>
        <v/>
      </c>
      <c r="J369" s="2" t="str">
        <f>IF(Bet_Log[[#This Row],[Return]]="", "", J368 + Bet_Log[[#This Row],[Return]])</f>
        <v/>
      </c>
      <c r="K369" s="9"/>
    </row>
    <row r="370" spans="1:11" x14ac:dyDescent="0.2">
      <c r="A370" s="27"/>
      <c r="B370" s="1"/>
      <c r="C370" s="6"/>
      <c r="D370" s="1"/>
      <c r="E370" s="7"/>
      <c r="F370" s="8"/>
      <c r="G370" s="3" t="str" cm="1">
        <f t="array" ref="G370">IF(ISBLANK(F370), "", IFERROR(_xlfn.IFS(LEFT(F370,1)="+", (VALUE(MID(F370,2,LEN(F370)))+100)/100, VALUE(F370)&gt;0, (F370+100)/100, VALUE(F370)&lt;0, (ABS(F370)+100)/ABS(F370), F370=0, 0), ""))</f>
        <v/>
      </c>
      <c r="H370" s="1"/>
      <c r="I370" s="4" t="str">
        <f>IF(Bet_Log[[#This Row],[Result ]]="", "", IF(Bet_Log[[#This Row],[Result ]]="Win", Bet_Log[[#This Row],[Stake]]*Bet_Log[[#This Row],[Decimal]]-Bet_Log[[#This Row],[Stake]], IF(Bet_Log[[#This Row],[Result ]]="Loss", -Bet_Log[[#This Row],[Stake]], IF(Bet_Log[[#This Row],[Result ]]="Push", 0, ""))))</f>
        <v/>
      </c>
      <c r="J370" s="2" t="str">
        <f>IF(Bet_Log[[#This Row],[Return]]="", "", J369 + Bet_Log[[#This Row],[Return]])</f>
        <v/>
      </c>
      <c r="K370" s="9"/>
    </row>
    <row r="371" spans="1:11" x14ac:dyDescent="0.2">
      <c r="A371" s="27"/>
      <c r="B371" s="1"/>
      <c r="C371" s="6"/>
      <c r="D371" s="1"/>
      <c r="E371" s="7"/>
      <c r="F371" s="8"/>
      <c r="G371" s="3" t="str" cm="1">
        <f t="array" ref="G371">IF(ISBLANK(F371), "", IFERROR(_xlfn.IFS(LEFT(F371,1)="+", (VALUE(MID(F371,2,LEN(F371)))+100)/100, VALUE(F371)&gt;0, (F371+100)/100, VALUE(F371)&lt;0, (ABS(F371)+100)/ABS(F371), F371=0, 0), ""))</f>
        <v/>
      </c>
      <c r="H371" s="1"/>
      <c r="I371" s="4" t="str">
        <f>IF(Bet_Log[[#This Row],[Result ]]="", "", IF(Bet_Log[[#This Row],[Result ]]="Win", Bet_Log[[#This Row],[Stake]]*Bet_Log[[#This Row],[Decimal]]-Bet_Log[[#This Row],[Stake]], IF(Bet_Log[[#This Row],[Result ]]="Loss", -Bet_Log[[#This Row],[Stake]], IF(Bet_Log[[#This Row],[Result ]]="Push", 0, ""))))</f>
        <v/>
      </c>
      <c r="J371" s="2" t="str">
        <f>IF(Bet_Log[[#This Row],[Return]]="", "", J370 + Bet_Log[[#This Row],[Return]])</f>
        <v/>
      </c>
      <c r="K371" s="9"/>
    </row>
    <row r="372" spans="1:11" x14ac:dyDescent="0.2">
      <c r="A372" s="27"/>
      <c r="B372" s="1"/>
      <c r="C372" s="6"/>
      <c r="D372" s="1"/>
      <c r="E372" s="7"/>
      <c r="F372" s="8"/>
      <c r="G372" s="3" t="str" cm="1">
        <f t="array" ref="G372">IF(ISBLANK(F372), "", IFERROR(_xlfn.IFS(LEFT(F372,1)="+", (VALUE(MID(F372,2,LEN(F372)))+100)/100, VALUE(F372)&gt;0, (F372+100)/100, VALUE(F372)&lt;0, (ABS(F372)+100)/ABS(F372), F372=0, 0), ""))</f>
        <v/>
      </c>
      <c r="H372" s="1"/>
      <c r="I372" s="4" t="str">
        <f>IF(Bet_Log[[#This Row],[Result ]]="", "", IF(Bet_Log[[#This Row],[Result ]]="Win", Bet_Log[[#This Row],[Stake]]*Bet_Log[[#This Row],[Decimal]]-Bet_Log[[#This Row],[Stake]], IF(Bet_Log[[#This Row],[Result ]]="Loss", -Bet_Log[[#This Row],[Stake]], IF(Bet_Log[[#This Row],[Result ]]="Push", 0, ""))))</f>
        <v/>
      </c>
      <c r="J372" s="2" t="str">
        <f>IF(Bet_Log[[#This Row],[Return]]="", "", J371 + Bet_Log[[#This Row],[Return]])</f>
        <v/>
      </c>
      <c r="K372" s="9"/>
    </row>
    <row r="373" spans="1:11" x14ac:dyDescent="0.2">
      <c r="A373" s="27"/>
      <c r="B373" s="1"/>
      <c r="C373" s="6"/>
      <c r="D373" s="1"/>
      <c r="E373" s="7"/>
      <c r="F373" s="8"/>
      <c r="G373" s="3" t="str" cm="1">
        <f t="array" ref="G373">IF(ISBLANK(F373), "", IFERROR(_xlfn.IFS(LEFT(F373,1)="+", (VALUE(MID(F373,2,LEN(F373)))+100)/100, VALUE(F373)&gt;0, (F373+100)/100, VALUE(F373)&lt;0, (ABS(F373)+100)/ABS(F373), F373=0, 0), ""))</f>
        <v/>
      </c>
      <c r="H373" s="1"/>
      <c r="I373" s="4" t="str">
        <f>IF(Bet_Log[[#This Row],[Result ]]="", "", IF(Bet_Log[[#This Row],[Result ]]="Win", Bet_Log[[#This Row],[Stake]]*Bet_Log[[#This Row],[Decimal]]-Bet_Log[[#This Row],[Stake]], IF(Bet_Log[[#This Row],[Result ]]="Loss", -Bet_Log[[#This Row],[Stake]], IF(Bet_Log[[#This Row],[Result ]]="Push", 0, ""))))</f>
        <v/>
      </c>
      <c r="J373" s="2" t="str">
        <f>IF(Bet_Log[[#This Row],[Return]]="", "", J372 + Bet_Log[[#This Row],[Return]])</f>
        <v/>
      </c>
      <c r="K373" s="9"/>
    </row>
    <row r="374" spans="1:11" x14ac:dyDescent="0.2">
      <c r="A374" s="27"/>
      <c r="B374" s="1"/>
      <c r="C374" s="6"/>
      <c r="D374" s="1"/>
      <c r="E374" s="7"/>
      <c r="F374" s="8"/>
      <c r="G374" s="3" t="str" cm="1">
        <f t="array" ref="G374">IF(ISBLANK(F374), "", IFERROR(_xlfn.IFS(LEFT(F374,1)="+", (VALUE(MID(F374,2,LEN(F374)))+100)/100, VALUE(F374)&gt;0, (F374+100)/100, VALUE(F374)&lt;0, (ABS(F374)+100)/ABS(F374), F374=0, 0), ""))</f>
        <v/>
      </c>
      <c r="H374" s="1"/>
      <c r="I374" s="4" t="str">
        <f>IF(Bet_Log[[#This Row],[Result ]]="", "", IF(Bet_Log[[#This Row],[Result ]]="Win", Bet_Log[[#This Row],[Stake]]*Bet_Log[[#This Row],[Decimal]]-Bet_Log[[#This Row],[Stake]], IF(Bet_Log[[#This Row],[Result ]]="Loss", -Bet_Log[[#This Row],[Stake]], IF(Bet_Log[[#This Row],[Result ]]="Push", 0, ""))))</f>
        <v/>
      </c>
      <c r="J374" s="2" t="str">
        <f>IF(Bet_Log[[#This Row],[Return]]="", "", J373 + Bet_Log[[#This Row],[Return]])</f>
        <v/>
      </c>
      <c r="K374" s="9"/>
    </row>
    <row r="375" spans="1:11" x14ac:dyDescent="0.2">
      <c r="A375" s="27"/>
      <c r="B375" s="1"/>
      <c r="C375" s="6"/>
      <c r="D375" s="1"/>
      <c r="E375" s="7"/>
      <c r="F375" s="8"/>
      <c r="G375" s="3" t="str" cm="1">
        <f t="array" ref="G375">IF(ISBLANK(F375), "", IFERROR(_xlfn.IFS(LEFT(F375,1)="+", (VALUE(MID(F375,2,LEN(F375)))+100)/100, VALUE(F375)&gt;0, (F375+100)/100, VALUE(F375)&lt;0, (ABS(F375)+100)/ABS(F375), F375=0, 0), ""))</f>
        <v/>
      </c>
      <c r="H375" s="1"/>
      <c r="I375" s="4" t="str">
        <f>IF(Bet_Log[[#This Row],[Result ]]="", "", IF(Bet_Log[[#This Row],[Result ]]="Win", Bet_Log[[#This Row],[Stake]]*Bet_Log[[#This Row],[Decimal]]-Bet_Log[[#This Row],[Stake]], IF(Bet_Log[[#This Row],[Result ]]="Loss", -Bet_Log[[#This Row],[Stake]], IF(Bet_Log[[#This Row],[Result ]]="Push", 0, ""))))</f>
        <v/>
      </c>
      <c r="J375" s="2" t="str">
        <f>IF(Bet_Log[[#This Row],[Return]]="", "", J374 + Bet_Log[[#This Row],[Return]])</f>
        <v/>
      </c>
      <c r="K375" s="9"/>
    </row>
    <row r="376" spans="1:11" x14ac:dyDescent="0.2">
      <c r="A376" s="27"/>
      <c r="B376" s="1"/>
      <c r="C376" s="6"/>
      <c r="D376" s="1"/>
      <c r="E376" s="7"/>
      <c r="F376" s="8"/>
      <c r="G376" s="3" t="str" cm="1">
        <f t="array" ref="G376">IF(ISBLANK(F376), "", IFERROR(_xlfn.IFS(LEFT(F376,1)="+", (VALUE(MID(F376,2,LEN(F376)))+100)/100, VALUE(F376)&gt;0, (F376+100)/100, VALUE(F376)&lt;0, (ABS(F376)+100)/ABS(F376), F376=0, 0), ""))</f>
        <v/>
      </c>
      <c r="H376" s="1"/>
      <c r="I376" s="4" t="str">
        <f>IF(Bet_Log[[#This Row],[Result ]]="", "", IF(Bet_Log[[#This Row],[Result ]]="Win", Bet_Log[[#This Row],[Stake]]*Bet_Log[[#This Row],[Decimal]]-Bet_Log[[#This Row],[Stake]], IF(Bet_Log[[#This Row],[Result ]]="Loss", -Bet_Log[[#This Row],[Stake]], IF(Bet_Log[[#This Row],[Result ]]="Push", 0, ""))))</f>
        <v/>
      </c>
      <c r="J376" s="2" t="str">
        <f>IF(Bet_Log[[#This Row],[Return]]="", "", J375 + Bet_Log[[#This Row],[Return]])</f>
        <v/>
      </c>
      <c r="K376" s="9"/>
    </row>
    <row r="377" spans="1:11" x14ac:dyDescent="0.2">
      <c r="A377" s="27"/>
      <c r="B377" s="1"/>
      <c r="C377" s="6"/>
      <c r="D377" s="1"/>
      <c r="E377" s="7"/>
      <c r="F377" s="8"/>
      <c r="G377" s="3" t="str" cm="1">
        <f t="array" ref="G377">IF(ISBLANK(F377), "", IFERROR(_xlfn.IFS(LEFT(F377,1)="+", (VALUE(MID(F377,2,LEN(F377)))+100)/100, VALUE(F377)&gt;0, (F377+100)/100, VALUE(F377)&lt;0, (ABS(F377)+100)/ABS(F377), F377=0, 0), ""))</f>
        <v/>
      </c>
      <c r="H377" s="1"/>
      <c r="I377" s="4" t="str">
        <f>IF(Bet_Log[[#This Row],[Result ]]="", "", IF(Bet_Log[[#This Row],[Result ]]="Win", Bet_Log[[#This Row],[Stake]]*Bet_Log[[#This Row],[Decimal]]-Bet_Log[[#This Row],[Stake]], IF(Bet_Log[[#This Row],[Result ]]="Loss", -Bet_Log[[#This Row],[Stake]], IF(Bet_Log[[#This Row],[Result ]]="Push", 0, ""))))</f>
        <v/>
      </c>
      <c r="J377" s="2" t="str">
        <f>IF(Bet_Log[[#This Row],[Return]]="", "", J376 + Bet_Log[[#This Row],[Return]])</f>
        <v/>
      </c>
      <c r="K377" s="9"/>
    </row>
    <row r="378" spans="1:11" x14ac:dyDescent="0.2">
      <c r="A378" s="27"/>
      <c r="B378" s="1"/>
      <c r="C378" s="6"/>
      <c r="D378" s="1"/>
      <c r="E378" s="7"/>
      <c r="F378" s="8"/>
      <c r="G378" s="3" t="str" cm="1">
        <f t="array" ref="G378">IF(ISBLANK(F378), "", IFERROR(_xlfn.IFS(LEFT(F378,1)="+", (VALUE(MID(F378,2,LEN(F378)))+100)/100, VALUE(F378)&gt;0, (F378+100)/100, VALUE(F378)&lt;0, (ABS(F378)+100)/ABS(F378), F378=0, 0), ""))</f>
        <v/>
      </c>
      <c r="H378" s="1"/>
      <c r="I378" s="4" t="str">
        <f>IF(Bet_Log[[#This Row],[Result ]]="", "", IF(Bet_Log[[#This Row],[Result ]]="Win", Bet_Log[[#This Row],[Stake]]*Bet_Log[[#This Row],[Decimal]]-Bet_Log[[#This Row],[Stake]], IF(Bet_Log[[#This Row],[Result ]]="Loss", -Bet_Log[[#This Row],[Stake]], IF(Bet_Log[[#This Row],[Result ]]="Push", 0, ""))))</f>
        <v/>
      </c>
      <c r="J378" s="2" t="str">
        <f>IF(Bet_Log[[#This Row],[Return]]="", "", J377 + Bet_Log[[#This Row],[Return]])</f>
        <v/>
      </c>
      <c r="K378" s="9"/>
    </row>
    <row r="379" spans="1:11" x14ac:dyDescent="0.2">
      <c r="A379" s="27"/>
      <c r="B379" s="1"/>
      <c r="C379" s="6"/>
      <c r="D379" s="1"/>
      <c r="E379" s="7"/>
      <c r="F379" s="8"/>
      <c r="G379" s="3" t="str" cm="1">
        <f t="array" ref="G379">IF(ISBLANK(F379), "", IFERROR(_xlfn.IFS(LEFT(F379,1)="+", (VALUE(MID(F379,2,LEN(F379)))+100)/100, VALUE(F379)&gt;0, (F379+100)/100, VALUE(F379)&lt;0, (ABS(F379)+100)/ABS(F379), F379=0, 0), ""))</f>
        <v/>
      </c>
      <c r="H379" s="1"/>
      <c r="I379" s="4" t="str">
        <f>IF(Bet_Log[[#This Row],[Result ]]="", "", IF(Bet_Log[[#This Row],[Result ]]="Win", Bet_Log[[#This Row],[Stake]]*Bet_Log[[#This Row],[Decimal]]-Bet_Log[[#This Row],[Stake]], IF(Bet_Log[[#This Row],[Result ]]="Loss", -Bet_Log[[#This Row],[Stake]], IF(Bet_Log[[#This Row],[Result ]]="Push", 0, ""))))</f>
        <v/>
      </c>
      <c r="J379" s="2" t="str">
        <f>IF(Bet_Log[[#This Row],[Return]]="", "", J378 + Bet_Log[[#This Row],[Return]])</f>
        <v/>
      </c>
      <c r="K379" s="9"/>
    </row>
    <row r="380" spans="1:11" x14ac:dyDescent="0.2">
      <c r="A380" s="27"/>
      <c r="B380" s="1"/>
      <c r="C380" s="6"/>
      <c r="D380" s="1"/>
      <c r="E380" s="7"/>
      <c r="F380" s="8"/>
      <c r="G380" s="3" t="str" cm="1">
        <f t="array" ref="G380">IF(ISBLANK(F380), "", IFERROR(_xlfn.IFS(LEFT(F380,1)="+", (VALUE(MID(F380,2,LEN(F380)))+100)/100, VALUE(F380)&gt;0, (F380+100)/100, VALUE(F380)&lt;0, (ABS(F380)+100)/ABS(F380), F380=0, 0), ""))</f>
        <v/>
      </c>
      <c r="H380" s="1"/>
      <c r="I380" s="4" t="str">
        <f>IF(Bet_Log[[#This Row],[Result ]]="", "", IF(Bet_Log[[#This Row],[Result ]]="Win", Bet_Log[[#This Row],[Stake]]*Bet_Log[[#This Row],[Decimal]]-Bet_Log[[#This Row],[Stake]], IF(Bet_Log[[#This Row],[Result ]]="Loss", -Bet_Log[[#This Row],[Stake]], IF(Bet_Log[[#This Row],[Result ]]="Push", 0, ""))))</f>
        <v/>
      </c>
      <c r="J380" s="2" t="str">
        <f>IF(Bet_Log[[#This Row],[Return]]="", "", J379 + Bet_Log[[#This Row],[Return]])</f>
        <v/>
      </c>
      <c r="K380" s="9"/>
    </row>
    <row r="381" spans="1:11" x14ac:dyDescent="0.2">
      <c r="A381" s="27"/>
      <c r="B381" s="1"/>
      <c r="C381" s="6"/>
      <c r="D381" s="1"/>
      <c r="E381" s="7"/>
      <c r="F381" s="8"/>
      <c r="G381" s="3" t="str" cm="1">
        <f t="array" ref="G381">IF(ISBLANK(F381), "", IFERROR(_xlfn.IFS(LEFT(F381,1)="+", (VALUE(MID(F381,2,LEN(F381)))+100)/100, VALUE(F381)&gt;0, (F381+100)/100, VALUE(F381)&lt;0, (ABS(F381)+100)/ABS(F381), F381=0, 0), ""))</f>
        <v/>
      </c>
      <c r="H381" s="1"/>
      <c r="I381" s="4" t="str">
        <f>IF(Bet_Log[[#This Row],[Result ]]="", "", IF(Bet_Log[[#This Row],[Result ]]="Win", Bet_Log[[#This Row],[Stake]]*Bet_Log[[#This Row],[Decimal]]-Bet_Log[[#This Row],[Stake]], IF(Bet_Log[[#This Row],[Result ]]="Loss", -Bet_Log[[#This Row],[Stake]], IF(Bet_Log[[#This Row],[Result ]]="Push", 0, ""))))</f>
        <v/>
      </c>
      <c r="J381" s="2" t="str">
        <f>IF(Bet_Log[[#This Row],[Return]]="", "", J380 + Bet_Log[[#This Row],[Return]])</f>
        <v/>
      </c>
      <c r="K381" s="9"/>
    </row>
    <row r="382" spans="1:11" x14ac:dyDescent="0.2">
      <c r="A382" s="27"/>
      <c r="B382" s="1"/>
      <c r="C382" s="6"/>
      <c r="D382" s="1"/>
      <c r="E382" s="7"/>
      <c r="F382" s="8"/>
      <c r="G382" s="3" t="str" cm="1">
        <f t="array" ref="G382">IF(ISBLANK(F382), "", IFERROR(_xlfn.IFS(LEFT(F382,1)="+", (VALUE(MID(F382,2,LEN(F382)))+100)/100, VALUE(F382)&gt;0, (F382+100)/100, VALUE(F382)&lt;0, (ABS(F382)+100)/ABS(F382), F382=0, 0), ""))</f>
        <v/>
      </c>
      <c r="H382" s="1"/>
      <c r="I382" s="4" t="str">
        <f>IF(Bet_Log[[#This Row],[Result ]]="", "", IF(Bet_Log[[#This Row],[Result ]]="Win", Bet_Log[[#This Row],[Stake]]*Bet_Log[[#This Row],[Decimal]]-Bet_Log[[#This Row],[Stake]], IF(Bet_Log[[#This Row],[Result ]]="Loss", -Bet_Log[[#This Row],[Stake]], IF(Bet_Log[[#This Row],[Result ]]="Push", 0, ""))))</f>
        <v/>
      </c>
      <c r="J382" s="2" t="str">
        <f>IF(Bet_Log[[#This Row],[Return]]="", "", J381 + Bet_Log[[#This Row],[Return]])</f>
        <v/>
      </c>
      <c r="K382" s="9"/>
    </row>
    <row r="383" spans="1:11" x14ac:dyDescent="0.2">
      <c r="A383" s="27"/>
      <c r="B383" s="1"/>
      <c r="C383" s="6"/>
      <c r="D383" s="1"/>
      <c r="E383" s="7"/>
      <c r="F383" s="8"/>
      <c r="G383" s="3" t="str" cm="1">
        <f t="array" ref="G383">IF(ISBLANK(F383), "", IFERROR(_xlfn.IFS(LEFT(F383,1)="+", (VALUE(MID(F383,2,LEN(F383)))+100)/100, VALUE(F383)&gt;0, (F383+100)/100, VALUE(F383)&lt;0, (ABS(F383)+100)/ABS(F383), F383=0, 0), ""))</f>
        <v/>
      </c>
      <c r="H383" s="1"/>
      <c r="I383" s="4" t="str">
        <f>IF(Bet_Log[[#This Row],[Result ]]="", "", IF(Bet_Log[[#This Row],[Result ]]="Win", Bet_Log[[#This Row],[Stake]]*Bet_Log[[#This Row],[Decimal]]-Bet_Log[[#This Row],[Stake]], IF(Bet_Log[[#This Row],[Result ]]="Loss", -Bet_Log[[#This Row],[Stake]], IF(Bet_Log[[#This Row],[Result ]]="Push", 0, ""))))</f>
        <v/>
      </c>
      <c r="J383" s="2" t="str">
        <f>IF(Bet_Log[[#This Row],[Return]]="", "", J382 + Bet_Log[[#This Row],[Return]])</f>
        <v/>
      </c>
      <c r="K383" s="9"/>
    </row>
    <row r="384" spans="1:11" x14ac:dyDescent="0.2">
      <c r="A384" s="27"/>
      <c r="B384" s="1"/>
      <c r="C384" s="6"/>
      <c r="D384" s="1"/>
      <c r="E384" s="7"/>
      <c r="F384" s="8"/>
      <c r="G384" s="3" t="str" cm="1">
        <f t="array" ref="G384">IF(ISBLANK(F384), "", IFERROR(_xlfn.IFS(LEFT(F384,1)="+", (VALUE(MID(F384,2,LEN(F384)))+100)/100, VALUE(F384)&gt;0, (F384+100)/100, VALUE(F384)&lt;0, (ABS(F384)+100)/ABS(F384), F384=0, 0), ""))</f>
        <v/>
      </c>
      <c r="H384" s="1"/>
      <c r="I384" s="4" t="str">
        <f>IF(Bet_Log[[#This Row],[Result ]]="", "", IF(Bet_Log[[#This Row],[Result ]]="Win", Bet_Log[[#This Row],[Stake]]*Bet_Log[[#This Row],[Decimal]]-Bet_Log[[#This Row],[Stake]], IF(Bet_Log[[#This Row],[Result ]]="Loss", -Bet_Log[[#This Row],[Stake]], IF(Bet_Log[[#This Row],[Result ]]="Push", 0, ""))))</f>
        <v/>
      </c>
      <c r="J384" s="2" t="str">
        <f>IF(Bet_Log[[#This Row],[Return]]="", "", J383 + Bet_Log[[#This Row],[Return]])</f>
        <v/>
      </c>
      <c r="K384" s="9"/>
    </row>
    <row r="385" spans="1:11" x14ac:dyDescent="0.2">
      <c r="A385" s="27"/>
      <c r="B385" s="1"/>
      <c r="C385" s="6"/>
      <c r="D385" s="1"/>
      <c r="E385" s="7"/>
      <c r="F385" s="8"/>
      <c r="G385" s="3" t="str" cm="1">
        <f t="array" ref="G385">IF(ISBLANK(F385), "", IFERROR(_xlfn.IFS(LEFT(F385,1)="+", (VALUE(MID(F385,2,LEN(F385)))+100)/100, VALUE(F385)&gt;0, (F385+100)/100, VALUE(F385)&lt;0, (ABS(F385)+100)/ABS(F385), F385=0, 0), ""))</f>
        <v/>
      </c>
      <c r="H385" s="1"/>
      <c r="I385" s="4" t="str">
        <f>IF(Bet_Log[[#This Row],[Result ]]="", "", IF(Bet_Log[[#This Row],[Result ]]="Win", Bet_Log[[#This Row],[Stake]]*Bet_Log[[#This Row],[Decimal]]-Bet_Log[[#This Row],[Stake]], IF(Bet_Log[[#This Row],[Result ]]="Loss", -Bet_Log[[#This Row],[Stake]], IF(Bet_Log[[#This Row],[Result ]]="Push", 0, ""))))</f>
        <v/>
      </c>
      <c r="J385" s="2" t="str">
        <f>IF(Bet_Log[[#This Row],[Return]]="", "", J384 + Bet_Log[[#This Row],[Return]])</f>
        <v/>
      </c>
      <c r="K385" s="9"/>
    </row>
    <row r="386" spans="1:11" x14ac:dyDescent="0.2">
      <c r="A386" s="27"/>
      <c r="B386" s="1"/>
      <c r="C386" s="6"/>
      <c r="D386" s="1"/>
      <c r="E386" s="7"/>
      <c r="F386" s="8"/>
      <c r="G386" s="3" t="str" cm="1">
        <f t="array" ref="G386">IF(ISBLANK(F386), "", IFERROR(_xlfn.IFS(LEFT(F386,1)="+", (VALUE(MID(F386,2,LEN(F386)))+100)/100, VALUE(F386)&gt;0, (F386+100)/100, VALUE(F386)&lt;0, (ABS(F386)+100)/ABS(F386), F386=0, 0), ""))</f>
        <v/>
      </c>
      <c r="H386" s="1"/>
      <c r="I386" s="4" t="str">
        <f>IF(Bet_Log[[#This Row],[Result ]]="", "", IF(Bet_Log[[#This Row],[Result ]]="Win", Bet_Log[[#This Row],[Stake]]*Bet_Log[[#This Row],[Decimal]]-Bet_Log[[#This Row],[Stake]], IF(Bet_Log[[#This Row],[Result ]]="Loss", -Bet_Log[[#This Row],[Stake]], IF(Bet_Log[[#This Row],[Result ]]="Push", 0, ""))))</f>
        <v/>
      </c>
      <c r="J386" s="2" t="str">
        <f>IF(Bet_Log[[#This Row],[Return]]="", "", J385 + Bet_Log[[#This Row],[Return]])</f>
        <v/>
      </c>
      <c r="K386" s="9"/>
    </row>
    <row r="387" spans="1:11" x14ac:dyDescent="0.2">
      <c r="A387" s="27"/>
      <c r="B387" s="1"/>
      <c r="C387" s="6"/>
      <c r="D387" s="1"/>
      <c r="E387" s="7"/>
      <c r="F387" s="8"/>
      <c r="G387" s="3" t="str" cm="1">
        <f t="array" ref="G387">IF(ISBLANK(F387), "", IFERROR(_xlfn.IFS(LEFT(F387,1)="+", (VALUE(MID(F387,2,LEN(F387)))+100)/100, VALUE(F387)&gt;0, (F387+100)/100, VALUE(F387)&lt;0, (ABS(F387)+100)/ABS(F387), F387=0, 0), ""))</f>
        <v/>
      </c>
      <c r="H387" s="1"/>
      <c r="I387" s="4" t="str">
        <f>IF(Bet_Log[[#This Row],[Result ]]="", "", IF(Bet_Log[[#This Row],[Result ]]="Win", Bet_Log[[#This Row],[Stake]]*Bet_Log[[#This Row],[Decimal]]-Bet_Log[[#This Row],[Stake]], IF(Bet_Log[[#This Row],[Result ]]="Loss", -Bet_Log[[#This Row],[Stake]], IF(Bet_Log[[#This Row],[Result ]]="Push", 0, ""))))</f>
        <v/>
      </c>
      <c r="J387" s="2" t="str">
        <f>IF(Bet_Log[[#This Row],[Return]]="", "", J386 + Bet_Log[[#This Row],[Return]])</f>
        <v/>
      </c>
      <c r="K387" s="9"/>
    </row>
    <row r="388" spans="1:11" x14ac:dyDescent="0.2">
      <c r="A388" s="27"/>
      <c r="B388" s="1"/>
      <c r="C388" s="6"/>
      <c r="D388" s="1"/>
      <c r="E388" s="7"/>
      <c r="F388" s="8"/>
      <c r="G388" s="3" t="str" cm="1">
        <f t="array" ref="G388">IF(ISBLANK(F388), "", IFERROR(_xlfn.IFS(LEFT(F388,1)="+", (VALUE(MID(F388,2,LEN(F388)))+100)/100, VALUE(F388)&gt;0, (F388+100)/100, VALUE(F388)&lt;0, (ABS(F388)+100)/ABS(F388), F388=0, 0), ""))</f>
        <v/>
      </c>
      <c r="H388" s="1"/>
      <c r="I388" s="4" t="str">
        <f>IF(Bet_Log[[#This Row],[Result ]]="", "", IF(Bet_Log[[#This Row],[Result ]]="Win", Bet_Log[[#This Row],[Stake]]*Bet_Log[[#This Row],[Decimal]]-Bet_Log[[#This Row],[Stake]], IF(Bet_Log[[#This Row],[Result ]]="Loss", -Bet_Log[[#This Row],[Stake]], IF(Bet_Log[[#This Row],[Result ]]="Push", 0, ""))))</f>
        <v/>
      </c>
      <c r="J388" s="2" t="str">
        <f>IF(Bet_Log[[#This Row],[Return]]="", "", J387 + Bet_Log[[#This Row],[Return]])</f>
        <v/>
      </c>
      <c r="K388" s="9"/>
    </row>
    <row r="389" spans="1:11" x14ac:dyDescent="0.2">
      <c r="A389" s="27"/>
      <c r="B389" s="1"/>
      <c r="C389" s="6"/>
      <c r="D389" s="1"/>
      <c r="E389" s="7"/>
      <c r="F389" s="8"/>
      <c r="G389" s="3" t="str" cm="1">
        <f t="array" ref="G389">IF(ISBLANK(F389), "", IFERROR(_xlfn.IFS(LEFT(F389,1)="+", (VALUE(MID(F389,2,LEN(F389)))+100)/100, VALUE(F389)&gt;0, (F389+100)/100, VALUE(F389)&lt;0, (ABS(F389)+100)/ABS(F389), F389=0, 0), ""))</f>
        <v/>
      </c>
      <c r="H389" s="1"/>
      <c r="I389" s="4" t="str">
        <f>IF(Bet_Log[[#This Row],[Result ]]="", "", IF(Bet_Log[[#This Row],[Result ]]="Win", Bet_Log[[#This Row],[Stake]]*Bet_Log[[#This Row],[Decimal]]-Bet_Log[[#This Row],[Stake]], IF(Bet_Log[[#This Row],[Result ]]="Loss", -Bet_Log[[#This Row],[Stake]], IF(Bet_Log[[#This Row],[Result ]]="Push", 0, ""))))</f>
        <v/>
      </c>
      <c r="J389" s="2" t="str">
        <f>IF(Bet_Log[[#This Row],[Return]]="", "", J388 + Bet_Log[[#This Row],[Return]])</f>
        <v/>
      </c>
      <c r="K389" s="9"/>
    </row>
    <row r="390" spans="1:11" x14ac:dyDescent="0.2">
      <c r="A390" s="27"/>
      <c r="B390" s="1"/>
      <c r="C390" s="6"/>
      <c r="D390" s="1"/>
      <c r="E390" s="7"/>
      <c r="F390" s="8"/>
      <c r="G390" s="3" t="str" cm="1">
        <f t="array" ref="G390">IF(ISBLANK(F390), "", IFERROR(_xlfn.IFS(LEFT(F390,1)="+", (VALUE(MID(F390,2,LEN(F390)))+100)/100, VALUE(F390)&gt;0, (F390+100)/100, VALUE(F390)&lt;0, (ABS(F390)+100)/ABS(F390), F390=0, 0), ""))</f>
        <v/>
      </c>
      <c r="H390" s="1"/>
      <c r="I390" s="4" t="str">
        <f>IF(Bet_Log[[#This Row],[Result ]]="", "", IF(Bet_Log[[#This Row],[Result ]]="Win", Bet_Log[[#This Row],[Stake]]*Bet_Log[[#This Row],[Decimal]]-Bet_Log[[#This Row],[Stake]], IF(Bet_Log[[#This Row],[Result ]]="Loss", -Bet_Log[[#This Row],[Stake]], IF(Bet_Log[[#This Row],[Result ]]="Push", 0, ""))))</f>
        <v/>
      </c>
      <c r="J390" s="2" t="str">
        <f>IF(Bet_Log[[#This Row],[Return]]="", "", J389 + Bet_Log[[#This Row],[Return]])</f>
        <v/>
      </c>
      <c r="K390" s="9"/>
    </row>
    <row r="391" spans="1:11" x14ac:dyDescent="0.2">
      <c r="A391" s="27"/>
      <c r="B391" s="1"/>
      <c r="C391" s="6"/>
      <c r="D391" s="1"/>
      <c r="E391" s="7"/>
      <c r="F391" s="8"/>
      <c r="G391" s="3" t="str" cm="1">
        <f t="array" ref="G391">IF(ISBLANK(F391), "", IFERROR(_xlfn.IFS(LEFT(F391,1)="+", (VALUE(MID(F391,2,LEN(F391)))+100)/100, VALUE(F391)&gt;0, (F391+100)/100, VALUE(F391)&lt;0, (ABS(F391)+100)/ABS(F391), F391=0, 0), ""))</f>
        <v/>
      </c>
      <c r="H391" s="1"/>
      <c r="I391" s="4" t="str">
        <f>IF(Bet_Log[[#This Row],[Result ]]="", "", IF(Bet_Log[[#This Row],[Result ]]="Win", Bet_Log[[#This Row],[Stake]]*Bet_Log[[#This Row],[Decimal]]-Bet_Log[[#This Row],[Stake]], IF(Bet_Log[[#This Row],[Result ]]="Loss", -Bet_Log[[#This Row],[Stake]], IF(Bet_Log[[#This Row],[Result ]]="Push", 0, ""))))</f>
        <v/>
      </c>
      <c r="J391" s="2" t="str">
        <f>IF(Bet_Log[[#This Row],[Return]]="", "", J390 + Bet_Log[[#This Row],[Return]])</f>
        <v/>
      </c>
      <c r="K391" s="9"/>
    </row>
    <row r="392" spans="1:11" x14ac:dyDescent="0.2">
      <c r="A392" s="27"/>
      <c r="B392" s="1"/>
      <c r="C392" s="6"/>
      <c r="D392" s="1"/>
      <c r="E392" s="7"/>
      <c r="F392" s="8"/>
      <c r="G392" s="3" t="str" cm="1">
        <f t="array" ref="G392">IF(ISBLANK(F392), "", IFERROR(_xlfn.IFS(LEFT(F392,1)="+", (VALUE(MID(F392,2,LEN(F392)))+100)/100, VALUE(F392)&gt;0, (F392+100)/100, VALUE(F392)&lt;0, (ABS(F392)+100)/ABS(F392), F392=0, 0), ""))</f>
        <v/>
      </c>
      <c r="H392" s="1"/>
      <c r="I392" s="4" t="str">
        <f>IF(Bet_Log[[#This Row],[Result ]]="", "", IF(Bet_Log[[#This Row],[Result ]]="Win", Bet_Log[[#This Row],[Stake]]*Bet_Log[[#This Row],[Decimal]]-Bet_Log[[#This Row],[Stake]], IF(Bet_Log[[#This Row],[Result ]]="Loss", -Bet_Log[[#This Row],[Stake]], IF(Bet_Log[[#This Row],[Result ]]="Push", 0, ""))))</f>
        <v/>
      </c>
      <c r="J392" s="2" t="str">
        <f>IF(Bet_Log[[#This Row],[Return]]="", "", J391 + Bet_Log[[#This Row],[Return]])</f>
        <v/>
      </c>
      <c r="K392" s="9"/>
    </row>
    <row r="393" spans="1:11" x14ac:dyDescent="0.2">
      <c r="A393" s="27"/>
      <c r="B393" s="1"/>
      <c r="C393" s="6"/>
      <c r="D393" s="1"/>
      <c r="E393" s="7"/>
      <c r="F393" s="8"/>
      <c r="G393" s="3" t="str" cm="1">
        <f t="array" ref="G393">IF(ISBLANK(F393), "", IFERROR(_xlfn.IFS(LEFT(F393,1)="+", (VALUE(MID(F393,2,LEN(F393)))+100)/100, VALUE(F393)&gt;0, (F393+100)/100, VALUE(F393)&lt;0, (ABS(F393)+100)/ABS(F393), F393=0, 0), ""))</f>
        <v/>
      </c>
      <c r="H393" s="1"/>
      <c r="I393" s="4" t="str">
        <f>IF(Bet_Log[[#This Row],[Result ]]="", "", IF(Bet_Log[[#This Row],[Result ]]="Win", Bet_Log[[#This Row],[Stake]]*Bet_Log[[#This Row],[Decimal]]-Bet_Log[[#This Row],[Stake]], IF(Bet_Log[[#This Row],[Result ]]="Loss", -Bet_Log[[#This Row],[Stake]], IF(Bet_Log[[#This Row],[Result ]]="Push", 0, ""))))</f>
        <v/>
      </c>
      <c r="J393" s="2" t="str">
        <f>IF(Bet_Log[[#This Row],[Return]]="", "", J392 + Bet_Log[[#This Row],[Return]])</f>
        <v/>
      </c>
      <c r="K393" s="9"/>
    </row>
    <row r="394" spans="1:11" x14ac:dyDescent="0.2">
      <c r="A394" s="27"/>
      <c r="B394" s="1"/>
      <c r="C394" s="6"/>
      <c r="D394" s="1"/>
      <c r="E394" s="7"/>
      <c r="F394" s="8"/>
      <c r="G394" s="3" t="str" cm="1">
        <f t="array" ref="G394">IF(ISBLANK(F394), "", IFERROR(_xlfn.IFS(LEFT(F394,1)="+", (VALUE(MID(F394,2,LEN(F394)))+100)/100, VALUE(F394)&gt;0, (F394+100)/100, VALUE(F394)&lt;0, (ABS(F394)+100)/ABS(F394), F394=0, 0), ""))</f>
        <v/>
      </c>
      <c r="H394" s="1"/>
      <c r="I394" s="4" t="str">
        <f>IF(Bet_Log[[#This Row],[Result ]]="", "", IF(Bet_Log[[#This Row],[Result ]]="Win", Bet_Log[[#This Row],[Stake]]*Bet_Log[[#This Row],[Decimal]]-Bet_Log[[#This Row],[Stake]], IF(Bet_Log[[#This Row],[Result ]]="Loss", -Bet_Log[[#This Row],[Stake]], IF(Bet_Log[[#This Row],[Result ]]="Push", 0, ""))))</f>
        <v/>
      </c>
      <c r="J394" s="2" t="str">
        <f>IF(Bet_Log[[#This Row],[Return]]="", "", J393 + Bet_Log[[#This Row],[Return]])</f>
        <v/>
      </c>
      <c r="K394" s="9"/>
    </row>
    <row r="395" spans="1:11" x14ac:dyDescent="0.2">
      <c r="A395" s="27"/>
      <c r="B395" s="1"/>
      <c r="C395" s="6"/>
      <c r="D395" s="1"/>
      <c r="E395" s="7"/>
      <c r="F395" s="8"/>
      <c r="G395" s="3" t="str" cm="1">
        <f t="array" ref="G395">IF(ISBLANK(F395), "", IFERROR(_xlfn.IFS(LEFT(F395,1)="+", (VALUE(MID(F395,2,LEN(F395)))+100)/100, VALUE(F395)&gt;0, (F395+100)/100, VALUE(F395)&lt;0, (ABS(F395)+100)/ABS(F395), F395=0, 0), ""))</f>
        <v/>
      </c>
      <c r="H395" s="1"/>
      <c r="I395" s="4" t="str">
        <f>IF(Bet_Log[[#This Row],[Result ]]="", "", IF(Bet_Log[[#This Row],[Result ]]="Win", Bet_Log[[#This Row],[Stake]]*Bet_Log[[#This Row],[Decimal]]-Bet_Log[[#This Row],[Stake]], IF(Bet_Log[[#This Row],[Result ]]="Loss", -Bet_Log[[#This Row],[Stake]], IF(Bet_Log[[#This Row],[Result ]]="Push", 0, ""))))</f>
        <v/>
      </c>
      <c r="J395" s="2" t="str">
        <f>IF(Bet_Log[[#This Row],[Return]]="", "", J394 + Bet_Log[[#This Row],[Return]])</f>
        <v/>
      </c>
      <c r="K395" s="9"/>
    </row>
    <row r="396" spans="1:11" x14ac:dyDescent="0.2">
      <c r="A396" s="27"/>
      <c r="B396" s="1"/>
      <c r="C396" s="6"/>
      <c r="D396" s="1"/>
      <c r="E396" s="7"/>
      <c r="F396" s="8"/>
      <c r="G396" s="3" t="str" cm="1">
        <f t="array" ref="G396">IF(ISBLANK(F396), "", IFERROR(_xlfn.IFS(LEFT(F396,1)="+", (VALUE(MID(F396,2,LEN(F396)))+100)/100, VALUE(F396)&gt;0, (F396+100)/100, VALUE(F396)&lt;0, (ABS(F396)+100)/ABS(F396), F396=0, 0), ""))</f>
        <v/>
      </c>
      <c r="H396" s="1"/>
      <c r="I396" s="4" t="str">
        <f>IF(Bet_Log[[#This Row],[Result ]]="", "", IF(Bet_Log[[#This Row],[Result ]]="Win", Bet_Log[[#This Row],[Stake]]*Bet_Log[[#This Row],[Decimal]]-Bet_Log[[#This Row],[Stake]], IF(Bet_Log[[#This Row],[Result ]]="Loss", -Bet_Log[[#This Row],[Stake]], IF(Bet_Log[[#This Row],[Result ]]="Push", 0, ""))))</f>
        <v/>
      </c>
      <c r="J396" s="2" t="str">
        <f>IF(Bet_Log[[#This Row],[Return]]="", "", J395 + Bet_Log[[#This Row],[Return]])</f>
        <v/>
      </c>
      <c r="K396" s="9"/>
    </row>
    <row r="397" spans="1:11" x14ac:dyDescent="0.2">
      <c r="A397" s="27"/>
      <c r="B397" s="1"/>
      <c r="C397" s="6"/>
      <c r="D397" s="1"/>
      <c r="E397" s="7"/>
      <c r="F397" s="8"/>
      <c r="G397" s="3" t="str" cm="1">
        <f t="array" ref="G397">IF(ISBLANK(F397), "", IFERROR(_xlfn.IFS(LEFT(F397,1)="+", (VALUE(MID(F397,2,LEN(F397)))+100)/100, VALUE(F397)&gt;0, (F397+100)/100, VALUE(F397)&lt;0, (ABS(F397)+100)/ABS(F397), F397=0, 0), ""))</f>
        <v/>
      </c>
      <c r="H397" s="1"/>
      <c r="I397" s="4" t="str">
        <f>IF(Bet_Log[[#This Row],[Result ]]="", "", IF(Bet_Log[[#This Row],[Result ]]="Win", Bet_Log[[#This Row],[Stake]]*Bet_Log[[#This Row],[Decimal]]-Bet_Log[[#This Row],[Stake]], IF(Bet_Log[[#This Row],[Result ]]="Loss", -Bet_Log[[#This Row],[Stake]], IF(Bet_Log[[#This Row],[Result ]]="Push", 0, ""))))</f>
        <v/>
      </c>
      <c r="J397" s="2" t="str">
        <f>IF(Bet_Log[[#This Row],[Return]]="", "", J396 + Bet_Log[[#This Row],[Return]])</f>
        <v/>
      </c>
      <c r="K397" s="9"/>
    </row>
    <row r="398" spans="1:11" x14ac:dyDescent="0.2">
      <c r="A398" s="27"/>
      <c r="B398" s="1"/>
      <c r="C398" s="6"/>
      <c r="D398" s="1"/>
      <c r="E398" s="7"/>
      <c r="F398" s="8"/>
      <c r="G398" s="3" t="str" cm="1">
        <f t="array" ref="G398">IF(ISBLANK(F398), "", IFERROR(_xlfn.IFS(LEFT(F398,1)="+", (VALUE(MID(F398,2,LEN(F398)))+100)/100, VALUE(F398)&gt;0, (F398+100)/100, VALUE(F398)&lt;0, (ABS(F398)+100)/ABS(F398), F398=0, 0), ""))</f>
        <v/>
      </c>
      <c r="H398" s="1"/>
      <c r="I398" s="4" t="str">
        <f>IF(Bet_Log[[#This Row],[Result ]]="", "", IF(Bet_Log[[#This Row],[Result ]]="Win", Bet_Log[[#This Row],[Stake]]*Bet_Log[[#This Row],[Decimal]]-Bet_Log[[#This Row],[Stake]], IF(Bet_Log[[#This Row],[Result ]]="Loss", -Bet_Log[[#This Row],[Stake]], IF(Bet_Log[[#This Row],[Result ]]="Push", 0, ""))))</f>
        <v/>
      </c>
      <c r="J398" s="2" t="str">
        <f>IF(Bet_Log[[#This Row],[Return]]="", "", J397 + Bet_Log[[#This Row],[Return]])</f>
        <v/>
      </c>
      <c r="K398" s="9"/>
    </row>
    <row r="399" spans="1:11" x14ac:dyDescent="0.2">
      <c r="A399" s="27"/>
      <c r="B399" s="1"/>
      <c r="C399" s="6"/>
      <c r="D399" s="1"/>
      <c r="E399" s="7"/>
      <c r="F399" s="8"/>
      <c r="G399" s="3" t="str" cm="1">
        <f t="array" ref="G399">IF(ISBLANK(F399), "", IFERROR(_xlfn.IFS(LEFT(F399,1)="+", (VALUE(MID(F399,2,LEN(F399)))+100)/100, VALUE(F399)&gt;0, (F399+100)/100, VALUE(F399)&lt;0, (ABS(F399)+100)/ABS(F399), F399=0, 0), ""))</f>
        <v/>
      </c>
      <c r="H399" s="1"/>
      <c r="I399" s="4" t="str">
        <f>IF(Bet_Log[[#This Row],[Result ]]="", "", IF(Bet_Log[[#This Row],[Result ]]="Win", Bet_Log[[#This Row],[Stake]]*Bet_Log[[#This Row],[Decimal]]-Bet_Log[[#This Row],[Stake]], IF(Bet_Log[[#This Row],[Result ]]="Loss", -Bet_Log[[#This Row],[Stake]], IF(Bet_Log[[#This Row],[Result ]]="Push", 0, ""))))</f>
        <v/>
      </c>
      <c r="J399" s="2" t="str">
        <f>IF(Bet_Log[[#This Row],[Return]]="", "", J398 + Bet_Log[[#This Row],[Return]])</f>
        <v/>
      </c>
      <c r="K399" s="9"/>
    </row>
    <row r="400" spans="1:11" x14ac:dyDescent="0.2">
      <c r="A400" s="27"/>
      <c r="B400" s="1"/>
      <c r="C400" s="6"/>
      <c r="D400" s="1"/>
      <c r="E400" s="7"/>
      <c r="F400" s="8"/>
      <c r="G400" s="3" t="str" cm="1">
        <f t="array" ref="G400">IF(ISBLANK(F400), "", IFERROR(_xlfn.IFS(LEFT(F400,1)="+", (VALUE(MID(F400,2,LEN(F400)))+100)/100, VALUE(F400)&gt;0, (F400+100)/100, VALUE(F400)&lt;0, (ABS(F400)+100)/ABS(F400), F400=0, 0), ""))</f>
        <v/>
      </c>
      <c r="H400" s="1"/>
      <c r="I400" s="4" t="str">
        <f>IF(Bet_Log[[#This Row],[Result ]]="", "", IF(Bet_Log[[#This Row],[Result ]]="Win", Bet_Log[[#This Row],[Stake]]*Bet_Log[[#This Row],[Decimal]]-Bet_Log[[#This Row],[Stake]], IF(Bet_Log[[#This Row],[Result ]]="Loss", -Bet_Log[[#This Row],[Stake]], IF(Bet_Log[[#This Row],[Result ]]="Push", 0, ""))))</f>
        <v/>
      </c>
      <c r="J400" s="2" t="str">
        <f>IF(Bet_Log[[#This Row],[Return]]="", "", J399 + Bet_Log[[#This Row],[Return]])</f>
        <v/>
      </c>
      <c r="K400" s="9"/>
    </row>
    <row r="401" spans="1:11" x14ac:dyDescent="0.2">
      <c r="A401" s="27"/>
      <c r="B401" s="1"/>
      <c r="C401" s="6"/>
      <c r="D401" s="1"/>
      <c r="E401" s="7"/>
      <c r="F401" s="8"/>
      <c r="G401" s="3" t="str" cm="1">
        <f t="array" ref="G401">IF(ISBLANK(F401), "", IFERROR(_xlfn.IFS(LEFT(F401,1)="+", (VALUE(MID(F401,2,LEN(F401)))+100)/100, VALUE(F401)&gt;0, (F401+100)/100, VALUE(F401)&lt;0, (ABS(F401)+100)/ABS(F401), F401=0, 0), ""))</f>
        <v/>
      </c>
      <c r="H401" s="1"/>
      <c r="I401" s="4" t="str">
        <f>IF(Bet_Log[[#This Row],[Result ]]="", "", IF(Bet_Log[[#This Row],[Result ]]="Win", Bet_Log[[#This Row],[Stake]]*Bet_Log[[#This Row],[Decimal]]-Bet_Log[[#This Row],[Stake]], IF(Bet_Log[[#This Row],[Result ]]="Loss", -Bet_Log[[#This Row],[Stake]], IF(Bet_Log[[#This Row],[Result ]]="Push", 0, ""))))</f>
        <v/>
      </c>
      <c r="J401" s="2" t="str">
        <f>IF(Bet_Log[[#This Row],[Return]]="", "", J400 + Bet_Log[[#This Row],[Return]])</f>
        <v/>
      </c>
      <c r="K401" s="9"/>
    </row>
    <row r="402" spans="1:11" x14ac:dyDescent="0.2">
      <c r="A402" s="27"/>
      <c r="B402" s="1"/>
      <c r="C402" s="6"/>
      <c r="D402" s="1"/>
      <c r="E402" s="7"/>
      <c r="F402" s="8"/>
      <c r="G402" s="3" t="str" cm="1">
        <f t="array" ref="G402">IF(ISBLANK(F402), "", IFERROR(_xlfn.IFS(LEFT(F402,1)="+", (VALUE(MID(F402,2,LEN(F402)))+100)/100, VALUE(F402)&gt;0, (F402+100)/100, VALUE(F402)&lt;0, (ABS(F402)+100)/ABS(F402), F402=0, 0), ""))</f>
        <v/>
      </c>
      <c r="H402" s="1"/>
      <c r="I402" s="4" t="str">
        <f>IF(Bet_Log[[#This Row],[Result ]]="", "", IF(Bet_Log[[#This Row],[Result ]]="Win", Bet_Log[[#This Row],[Stake]]*Bet_Log[[#This Row],[Decimal]]-Bet_Log[[#This Row],[Stake]], IF(Bet_Log[[#This Row],[Result ]]="Loss", -Bet_Log[[#This Row],[Stake]], IF(Bet_Log[[#This Row],[Result ]]="Push", 0, ""))))</f>
        <v/>
      </c>
      <c r="J402" s="2" t="str">
        <f>IF(Bet_Log[[#This Row],[Return]]="", "", J401 + Bet_Log[[#This Row],[Return]])</f>
        <v/>
      </c>
      <c r="K402" s="9"/>
    </row>
    <row r="403" spans="1:11" x14ac:dyDescent="0.2">
      <c r="A403" s="27"/>
      <c r="B403" s="1"/>
      <c r="C403" s="6"/>
      <c r="D403" s="1"/>
      <c r="E403" s="7"/>
      <c r="F403" s="8"/>
      <c r="G403" s="3" t="str" cm="1">
        <f t="array" ref="G403">IF(ISBLANK(F403), "", IFERROR(_xlfn.IFS(LEFT(F403,1)="+", (VALUE(MID(F403,2,LEN(F403)))+100)/100, VALUE(F403)&gt;0, (F403+100)/100, VALUE(F403)&lt;0, (ABS(F403)+100)/ABS(F403), F403=0, 0), ""))</f>
        <v/>
      </c>
      <c r="H403" s="1"/>
      <c r="I403" s="4" t="str">
        <f>IF(Bet_Log[[#This Row],[Result ]]="", "", IF(Bet_Log[[#This Row],[Result ]]="Win", Bet_Log[[#This Row],[Stake]]*Bet_Log[[#This Row],[Decimal]]-Bet_Log[[#This Row],[Stake]], IF(Bet_Log[[#This Row],[Result ]]="Loss", -Bet_Log[[#This Row],[Stake]], IF(Bet_Log[[#This Row],[Result ]]="Push", 0, ""))))</f>
        <v/>
      </c>
      <c r="J403" s="2" t="str">
        <f>IF(Bet_Log[[#This Row],[Return]]="", "", J402 + Bet_Log[[#This Row],[Return]])</f>
        <v/>
      </c>
      <c r="K403" s="9"/>
    </row>
    <row r="404" spans="1:11" x14ac:dyDescent="0.2">
      <c r="A404" s="27"/>
      <c r="B404" s="1"/>
      <c r="C404" s="6"/>
      <c r="D404" s="1"/>
      <c r="E404" s="7"/>
      <c r="F404" s="8"/>
      <c r="G404" s="3" t="str" cm="1">
        <f t="array" ref="G404">IF(ISBLANK(F404), "", IFERROR(_xlfn.IFS(LEFT(F404,1)="+", (VALUE(MID(F404,2,LEN(F404)))+100)/100, VALUE(F404)&gt;0, (F404+100)/100, VALUE(F404)&lt;0, (ABS(F404)+100)/ABS(F404), F404=0, 0), ""))</f>
        <v/>
      </c>
      <c r="H404" s="1"/>
      <c r="I404" s="4" t="str">
        <f>IF(Bet_Log[[#This Row],[Result ]]="", "", IF(Bet_Log[[#This Row],[Result ]]="Win", Bet_Log[[#This Row],[Stake]]*Bet_Log[[#This Row],[Decimal]]-Bet_Log[[#This Row],[Stake]], IF(Bet_Log[[#This Row],[Result ]]="Loss", -Bet_Log[[#This Row],[Stake]], IF(Bet_Log[[#This Row],[Result ]]="Push", 0, ""))))</f>
        <v/>
      </c>
      <c r="J404" s="2" t="str">
        <f>IF(Bet_Log[[#This Row],[Return]]="", "", J403 + Bet_Log[[#This Row],[Return]])</f>
        <v/>
      </c>
      <c r="K404" s="9"/>
    </row>
    <row r="405" spans="1:11" x14ac:dyDescent="0.2">
      <c r="A405" s="27"/>
      <c r="B405" s="1"/>
      <c r="C405" s="6"/>
      <c r="D405" s="1"/>
      <c r="E405" s="7"/>
      <c r="F405" s="8"/>
      <c r="G405" s="3" t="str" cm="1">
        <f t="array" ref="G405">IF(ISBLANK(F405), "", IFERROR(_xlfn.IFS(LEFT(F405,1)="+", (VALUE(MID(F405,2,LEN(F405)))+100)/100, VALUE(F405)&gt;0, (F405+100)/100, VALUE(F405)&lt;0, (ABS(F405)+100)/ABS(F405), F405=0, 0), ""))</f>
        <v/>
      </c>
      <c r="H405" s="1"/>
      <c r="I405" s="4" t="str">
        <f>IF(Bet_Log[[#This Row],[Result ]]="", "", IF(Bet_Log[[#This Row],[Result ]]="Win", Bet_Log[[#This Row],[Stake]]*Bet_Log[[#This Row],[Decimal]]-Bet_Log[[#This Row],[Stake]], IF(Bet_Log[[#This Row],[Result ]]="Loss", -Bet_Log[[#This Row],[Stake]], IF(Bet_Log[[#This Row],[Result ]]="Push", 0, ""))))</f>
        <v/>
      </c>
      <c r="J405" s="2" t="str">
        <f>IF(Bet_Log[[#This Row],[Return]]="", "", J404 + Bet_Log[[#This Row],[Return]])</f>
        <v/>
      </c>
      <c r="K405" s="9"/>
    </row>
    <row r="406" spans="1:11" x14ac:dyDescent="0.2">
      <c r="A406" s="27"/>
      <c r="B406" s="1"/>
      <c r="C406" s="6"/>
      <c r="D406" s="1"/>
      <c r="E406" s="7"/>
      <c r="F406" s="8"/>
      <c r="G406" s="3" t="str" cm="1">
        <f t="array" ref="G406">IF(ISBLANK(F406), "", IFERROR(_xlfn.IFS(LEFT(F406,1)="+", (VALUE(MID(F406,2,LEN(F406)))+100)/100, VALUE(F406)&gt;0, (F406+100)/100, VALUE(F406)&lt;0, (ABS(F406)+100)/ABS(F406), F406=0, 0), ""))</f>
        <v/>
      </c>
      <c r="H406" s="1"/>
      <c r="I406" s="4" t="str">
        <f>IF(Bet_Log[[#This Row],[Result ]]="", "", IF(Bet_Log[[#This Row],[Result ]]="Win", Bet_Log[[#This Row],[Stake]]*Bet_Log[[#This Row],[Decimal]]-Bet_Log[[#This Row],[Stake]], IF(Bet_Log[[#This Row],[Result ]]="Loss", -Bet_Log[[#This Row],[Stake]], IF(Bet_Log[[#This Row],[Result ]]="Push", 0, ""))))</f>
        <v/>
      </c>
      <c r="J406" s="2" t="str">
        <f>IF(Bet_Log[[#This Row],[Return]]="", "", J405 + Bet_Log[[#This Row],[Return]])</f>
        <v/>
      </c>
      <c r="K406" s="9"/>
    </row>
    <row r="407" spans="1:11" x14ac:dyDescent="0.2">
      <c r="A407" s="27"/>
      <c r="B407" s="1"/>
      <c r="C407" s="6"/>
      <c r="D407" s="1"/>
      <c r="E407" s="7"/>
      <c r="F407" s="8"/>
      <c r="G407" s="3" t="str" cm="1">
        <f t="array" ref="G407">IF(ISBLANK(F407), "", IFERROR(_xlfn.IFS(LEFT(F407,1)="+", (VALUE(MID(F407,2,LEN(F407)))+100)/100, VALUE(F407)&gt;0, (F407+100)/100, VALUE(F407)&lt;0, (ABS(F407)+100)/ABS(F407), F407=0, 0), ""))</f>
        <v/>
      </c>
      <c r="H407" s="1"/>
      <c r="I407" s="4" t="str">
        <f>IF(Bet_Log[[#This Row],[Result ]]="", "", IF(Bet_Log[[#This Row],[Result ]]="Win", Bet_Log[[#This Row],[Stake]]*Bet_Log[[#This Row],[Decimal]]-Bet_Log[[#This Row],[Stake]], IF(Bet_Log[[#This Row],[Result ]]="Loss", -Bet_Log[[#This Row],[Stake]], IF(Bet_Log[[#This Row],[Result ]]="Push", 0, ""))))</f>
        <v/>
      </c>
      <c r="J407" s="2" t="str">
        <f>IF(Bet_Log[[#This Row],[Return]]="", "", J406 + Bet_Log[[#This Row],[Return]])</f>
        <v/>
      </c>
      <c r="K407" s="9"/>
    </row>
    <row r="408" spans="1:11" x14ac:dyDescent="0.2">
      <c r="A408" s="27"/>
      <c r="B408" s="1"/>
      <c r="C408" s="6"/>
      <c r="D408" s="1"/>
      <c r="E408" s="7"/>
      <c r="F408" s="8"/>
      <c r="G408" s="3" t="str" cm="1">
        <f t="array" ref="G408">IF(ISBLANK(F408), "", IFERROR(_xlfn.IFS(LEFT(F408,1)="+", (VALUE(MID(F408,2,LEN(F408)))+100)/100, VALUE(F408)&gt;0, (F408+100)/100, VALUE(F408)&lt;0, (ABS(F408)+100)/ABS(F408), F408=0, 0), ""))</f>
        <v/>
      </c>
      <c r="H408" s="1"/>
      <c r="I408" s="4" t="str">
        <f>IF(Bet_Log[[#This Row],[Result ]]="", "", IF(Bet_Log[[#This Row],[Result ]]="Win", Bet_Log[[#This Row],[Stake]]*Bet_Log[[#This Row],[Decimal]]-Bet_Log[[#This Row],[Stake]], IF(Bet_Log[[#This Row],[Result ]]="Loss", -Bet_Log[[#This Row],[Stake]], IF(Bet_Log[[#This Row],[Result ]]="Push", 0, ""))))</f>
        <v/>
      </c>
      <c r="J408" s="2" t="str">
        <f>IF(Bet_Log[[#This Row],[Return]]="", "", J407 + Bet_Log[[#This Row],[Return]])</f>
        <v/>
      </c>
      <c r="K408" s="9"/>
    </row>
    <row r="409" spans="1:11" x14ac:dyDescent="0.2">
      <c r="A409" s="27"/>
      <c r="B409" s="1"/>
      <c r="C409" s="6"/>
      <c r="D409" s="1"/>
      <c r="E409" s="7"/>
      <c r="F409" s="8"/>
      <c r="G409" s="3" t="str" cm="1">
        <f t="array" ref="G409">IF(ISBLANK(F409), "", IFERROR(_xlfn.IFS(LEFT(F409,1)="+", (VALUE(MID(F409,2,LEN(F409)))+100)/100, VALUE(F409)&gt;0, (F409+100)/100, VALUE(F409)&lt;0, (ABS(F409)+100)/ABS(F409), F409=0, 0), ""))</f>
        <v/>
      </c>
      <c r="H409" s="1"/>
      <c r="I409" s="4" t="str">
        <f>IF(Bet_Log[[#This Row],[Result ]]="", "", IF(Bet_Log[[#This Row],[Result ]]="Win", Bet_Log[[#This Row],[Stake]]*Bet_Log[[#This Row],[Decimal]]-Bet_Log[[#This Row],[Stake]], IF(Bet_Log[[#This Row],[Result ]]="Loss", -Bet_Log[[#This Row],[Stake]], IF(Bet_Log[[#This Row],[Result ]]="Push", 0, ""))))</f>
        <v/>
      </c>
      <c r="J409" s="2" t="str">
        <f>IF(Bet_Log[[#This Row],[Return]]="", "", J408 + Bet_Log[[#This Row],[Return]])</f>
        <v/>
      </c>
      <c r="K409" s="9"/>
    </row>
    <row r="410" spans="1:11" x14ac:dyDescent="0.2">
      <c r="A410" s="27"/>
      <c r="B410" s="1"/>
      <c r="C410" s="6"/>
      <c r="D410" s="1"/>
      <c r="E410" s="7"/>
      <c r="F410" s="8"/>
      <c r="G410" s="3" t="str" cm="1">
        <f t="array" ref="G410">IF(ISBLANK(F410), "", IFERROR(_xlfn.IFS(LEFT(F410,1)="+", (VALUE(MID(F410,2,LEN(F410)))+100)/100, VALUE(F410)&gt;0, (F410+100)/100, VALUE(F410)&lt;0, (ABS(F410)+100)/ABS(F410), F410=0, 0), ""))</f>
        <v/>
      </c>
      <c r="H410" s="1"/>
      <c r="I410" s="4" t="str">
        <f>IF(Bet_Log[[#This Row],[Result ]]="", "", IF(Bet_Log[[#This Row],[Result ]]="Win", Bet_Log[[#This Row],[Stake]]*Bet_Log[[#This Row],[Decimal]]-Bet_Log[[#This Row],[Stake]], IF(Bet_Log[[#This Row],[Result ]]="Loss", -Bet_Log[[#This Row],[Stake]], IF(Bet_Log[[#This Row],[Result ]]="Push", 0, ""))))</f>
        <v/>
      </c>
      <c r="J410" s="2" t="str">
        <f>IF(Bet_Log[[#This Row],[Return]]="", "", J409 + Bet_Log[[#This Row],[Return]])</f>
        <v/>
      </c>
      <c r="K410" s="9"/>
    </row>
    <row r="411" spans="1:11" x14ac:dyDescent="0.2">
      <c r="A411" s="27"/>
      <c r="B411" s="1"/>
      <c r="C411" s="6"/>
      <c r="D411" s="1"/>
      <c r="E411" s="7"/>
      <c r="F411" s="8"/>
      <c r="G411" s="3" t="str" cm="1">
        <f t="array" ref="G411">IF(ISBLANK(F411), "", IFERROR(_xlfn.IFS(LEFT(F411,1)="+", (VALUE(MID(F411,2,LEN(F411)))+100)/100, VALUE(F411)&gt;0, (F411+100)/100, VALUE(F411)&lt;0, (ABS(F411)+100)/ABS(F411), F411=0, 0), ""))</f>
        <v/>
      </c>
      <c r="H411" s="1"/>
      <c r="I411" s="4" t="str">
        <f>IF(Bet_Log[[#This Row],[Result ]]="", "", IF(Bet_Log[[#This Row],[Result ]]="Win", Bet_Log[[#This Row],[Stake]]*Bet_Log[[#This Row],[Decimal]]-Bet_Log[[#This Row],[Stake]], IF(Bet_Log[[#This Row],[Result ]]="Loss", -Bet_Log[[#This Row],[Stake]], IF(Bet_Log[[#This Row],[Result ]]="Push", 0, ""))))</f>
        <v/>
      </c>
      <c r="J411" s="2" t="str">
        <f>IF(Bet_Log[[#This Row],[Return]]="", "", J410 + Bet_Log[[#This Row],[Return]])</f>
        <v/>
      </c>
      <c r="K411" s="9"/>
    </row>
    <row r="412" spans="1:11" x14ac:dyDescent="0.2">
      <c r="A412" s="27"/>
      <c r="B412" s="1"/>
      <c r="C412" s="6"/>
      <c r="D412" s="1"/>
      <c r="E412" s="7"/>
      <c r="F412" s="8"/>
      <c r="G412" s="3" t="str" cm="1">
        <f t="array" ref="G412">IF(ISBLANK(F412), "", IFERROR(_xlfn.IFS(LEFT(F412,1)="+", (VALUE(MID(F412,2,LEN(F412)))+100)/100, VALUE(F412)&gt;0, (F412+100)/100, VALUE(F412)&lt;0, (ABS(F412)+100)/ABS(F412), F412=0, 0), ""))</f>
        <v/>
      </c>
      <c r="H412" s="1"/>
      <c r="I412" s="4" t="str">
        <f>IF(Bet_Log[[#This Row],[Result ]]="", "", IF(Bet_Log[[#This Row],[Result ]]="Win", Bet_Log[[#This Row],[Stake]]*Bet_Log[[#This Row],[Decimal]]-Bet_Log[[#This Row],[Stake]], IF(Bet_Log[[#This Row],[Result ]]="Loss", -Bet_Log[[#This Row],[Stake]], IF(Bet_Log[[#This Row],[Result ]]="Push", 0, ""))))</f>
        <v/>
      </c>
      <c r="J412" s="2" t="str">
        <f>IF(Bet_Log[[#This Row],[Return]]="", "", J411 + Bet_Log[[#This Row],[Return]])</f>
        <v/>
      </c>
      <c r="K412" s="9"/>
    </row>
    <row r="413" spans="1:11" x14ac:dyDescent="0.2">
      <c r="A413" s="27"/>
      <c r="B413" s="1"/>
      <c r="C413" s="6"/>
      <c r="D413" s="1"/>
      <c r="E413" s="7"/>
      <c r="F413" s="8"/>
      <c r="G413" s="3" t="str" cm="1">
        <f t="array" ref="G413">IF(ISBLANK(F413), "", IFERROR(_xlfn.IFS(LEFT(F413,1)="+", (VALUE(MID(F413,2,LEN(F413)))+100)/100, VALUE(F413)&gt;0, (F413+100)/100, VALUE(F413)&lt;0, (ABS(F413)+100)/ABS(F413), F413=0, 0), ""))</f>
        <v/>
      </c>
      <c r="H413" s="1"/>
      <c r="I413" s="4" t="str">
        <f>IF(Bet_Log[[#This Row],[Result ]]="", "", IF(Bet_Log[[#This Row],[Result ]]="Win", Bet_Log[[#This Row],[Stake]]*Bet_Log[[#This Row],[Decimal]]-Bet_Log[[#This Row],[Stake]], IF(Bet_Log[[#This Row],[Result ]]="Loss", -Bet_Log[[#This Row],[Stake]], IF(Bet_Log[[#This Row],[Result ]]="Push", 0, ""))))</f>
        <v/>
      </c>
      <c r="J413" s="2" t="str">
        <f>IF(Bet_Log[[#This Row],[Return]]="", "", J412 + Bet_Log[[#This Row],[Return]])</f>
        <v/>
      </c>
      <c r="K413" s="9"/>
    </row>
    <row r="414" spans="1:11" x14ac:dyDescent="0.2">
      <c r="A414" s="27"/>
      <c r="B414" s="1"/>
      <c r="C414" s="6"/>
      <c r="D414" s="1"/>
      <c r="E414" s="7"/>
      <c r="F414" s="8"/>
      <c r="G414" s="3" t="str" cm="1">
        <f t="array" ref="G414">IF(ISBLANK(F414), "", IFERROR(_xlfn.IFS(LEFT(F414,1)="+", (VALUE(MID(F414,2,LEN(F414)))+100)/100, VALUE(F414)&gt;0, (F414+100)/100, VALUE(F414)&lt;0, (ABS(F414)+100)/ABS(F414), F414=0, 0), ""))</f>
        <v/>
      </c>
      <c r="H414" s="1"/>
      <c r="I414" s="4" t="str">
        <f>IF(Bet_Log[[#This Row],[Result ]]="", "", IF(Bet_Log[[#This Row],[Result ]]="Win", Bet_Log[[#This Row],[Stake]]*Bet_Log[[#This Row],[Decimal]]-Bet_Log[[#This Row],[Stake]], IF(Bet_Log[[#This Row],[Result ]]="Loss", -Bet_Log[[#This Row],[Stake]], IF(Bet_Log[[#This Row],[Result ]]="Push", 0, ""))))</f>
        <v/>
      </c>
      <c r="J414" s="2" t="str">
        <f>IF(Bet_Log[[#This Row],[Return]]="", "", J413 + Bet_Log[[#This Row],[Return]])</f>
        <v/>
      </c>
      <c r="K414" s="9"/>
    </row>
    <row r="415" spans="1:11" x14ac:dyDescent="0.2">
      <c r="A415" s="27"/>
      <c r="B415" s="1"/>
      <c r="C415" s="6"/>
      <c r="D415" s="1"/>
      <c r="E415" s="7"/>
      <c r="F415" s="8"/>
      <c r="G415" s="3" t="str" cm="1">
        <f t="array" ref="G415">IF(ISBLANK(F415), "", IFERROR(_xlfn.IFS(LEFT(F415,1)="+", (VALUE(MID(F415,2,LEN(F415)))+100)/100, VALUE(F415)&gt;0, (F415+100)/100, VALUE(F415)&lt;0, (ABS(F415)+100)/ABS(F415), F415=0, 0), ""))</f>
        <v/>
      </c>
      <c r="H415" s="1"/>
      <c r="I415" s="4" t="str">
        <f>IF(Bet_Log[[#This Row],[Result ]]="", "", IF(Bet_Log[[#This Row],[Result ]]="Win", Bet_Log[[#This Row],[Stake]]*Bet_Log[[#This Row],[Decimal]]-Bet_Log[[#This Row],[Stake]], IF(Bet_Log[[#This Row],[Result ]]="Loss", -Bet_Log[[#This Row],[Stake]], IF(Bet_Log[[#This Row],[Result ]]="Push", 0, ""))))</f>
        <v/>
      </c>
      <c r="J415" s="2" t="str">
        <f>IF(Bet_Log[[#This Row],[Return]]="", "", J414 + Bet_Log[[#This Row],[Return]])</f>
        <v/>
      </c>
      <c r="K415" s="9"/>
    </row>
    <row r="416" spans="1:11" x14ac:dyDescent="0.2">
      <c r="A416" s="27"/>
      <c r="B416" s="1"/>
      <c r="C416" s="6"/>
      <c r="D416" s="1"/>
      <c r="E416" s="7"/>
      <c r="F416" s="8"/>
      <c r="G416" s="3" t="str" cm="1">
        <f t="array" ref="G416">IF(ISBLANK(F416), "", IFERROR(_xlfn.IFS(LEFT(F416,1)="+", (VALUE(MID(F416,2,LEN(F416)))+100)/100, VALUE(F416)&gt;0, (F416+100)/100, VALUE(F416)&lt;0, (ABS(F416)+100)/ABS(F416), F416=0, 0), ""))</f>
        <v/>
      </c>
      <c r="H416" s="1"/>
      <c r="I416" s="4" t="str">
        <f>IF(Bet_Log[[#This Row],[Result ]]="", "", IF(Bet_Log[[#This Row],[Result ]]="Win", Bet_Log[[#This Row],[Stake]]*Bet_Log[[#This Row],[Decimal]]-Bet_Log[[#This Row],[Stake]], IF(Bet_Log[[#This Row],[Result ]]="Loss", -Bet_Log[[#This Row],[Stake]], IF(Bet_Log[[#This Row],[Result ]]="Push", 0, ""))))</f>
        <v/>
      </c>
      <c r="J416" s="2" t="str">
        <f>IF(Bet_Log[[#This Row],[Return]]="", "", J415 + Bet_Log[[#This Row],[Return]])</f>
        <v/>
      </c>
      <c r="K416" s="9"/>
    </row>
    <row r="417" spans="1:11" x14ac:dyDescent="0.2">
      <c r="A417" s="27"/>
      <c r="B417" s="1"/>
      <c r="C417" s="6"/>
      <c r="D417" s="1"/>
      <c r="E417" s="7"/>
      <c r="F417" s="8"/>
      <c r="G417" s="3" t="str" cm="1">
        <f t="array" ref="G417">IF(ISBLANK(F417), "", IFERROR(_xlfn.IFS(LEFT(F417,1)="+", (VALUE(MID(F417,2,LEN(F417)))+100)/100, VALUE(F417)&gt;0, (F417+100)/100, VALUE(F417)&lt;0, (ABS(F417)+100)/ABS(F417), F417=0, 0), ""))</f>
        <v/>
      </c>
      <c r="H417" s="1"/>
      <c r="I417" s="4" t="str">
        <f>IF(Bet_Log[[#This Row],[Result ]]="", "", IF(Bet_Log[[#This Row],[Result ]]="Win", Bet_Log[[#This Row],[Stake]]*Bet_Log[[#This Row],[Decimal]]-Bet_Log[[#This Row],[Stake]], IF(Bet_Log[[#This Row],[Result ]]="Loss", -Bet_Log[[#This Row],[Stake]], IF(Bet_Log[[#This Row],[Result ]]="Push", 0, ""))))</f>
        <v/>
      </c>
      <c r="J417" s="2" t="str">
        <f>IF(Bet_Log[[#This Row],[Return]]="", "", J416 + Bet_Log[[#This Row],[Return]])</f>
        <v/>
      </c>
      <c r="K417" s="9"/>
    </row>
    <row r="418" spans="1:11" x14ac:dyDescent="0.2">
      <c r="A418" s="27"/>
      <c r="B418" s="1"/>
      <c r="C418" s="6"/>
      <c r="D418" s="1"/>
      <c r="E418" s="7"/>
      <c r="F418" s="8"/>
      <c r="G418" s="3" t="str" cm="1">
        <f t="array" ref="G418">IF(ISBLANK(F418), "", IFERROR(_xlfn.IFS(LEFT(F418,1)="+", (VALUE(MID(F418,2,LEN(F418)))+100)/100, VALUE(F418)&gt;0, (F418+100)/100, VALUE(F418)&lt;0, (ABS(F418)+100)/ABS(F418), F418=0, 0), ""))</f>
        <v/>
      </c>
      <c r="H418" s="1"/>
      <c r="I418" s="4" t="str">
        <f>IF(Bet_Log[[#This Row],[Result ]]="", "", IF(Bet_Log[[#This Row],[Result ]]="Win", Bet_Log[[#This Row],[Stake]]*Bet_Log[[#This Row],[Decimal]]-Bet_Log[[#This Row],[Stake]], IF(Bet_Log[[#This Row],[Result ]]="Loss", -Bet_Log[[#This Row],[Stake]], IF(Bet_Log[[#This Row],[Result ]]="Push", 0, ""))))</f>
        <v/>
      </c>
      <c r="J418" s="2" t="str">
        <f>IF(Bet_Log[[#This Row],[Return]]="", "", J417 + Bet_Log[[#This Row],[Return]])</f>
        <v/>
      </c>
      <c r="K418" s="9"/>
    </row>
    <row r="419" spans="1:11" x14ac:dyDescent="0.2">
      <c r="A419" s="27"/>
      <c r="B419" s="1"/>
      <c r="C419" s="6"/>
      <c r="D419" s="1"/>
      <c r="E419" s="7"/>
      <c r="F419" s="8"/>
      <c r="G419" s="3" t="str" cm="1">
        <f t="array" ref="G419">IF(ISBLANK(F419), "", IFERROR(_xlfn.IFS(LEFT(F419,1)="+", (VALUE(MID(F419,2,LEN(F419)))+100)/100, VALUE(F419)&gt;0, (F419+100)/100, VALUE(F419)&lt;0, (ABS(F419)+100)/ABS(F419), F419=0, 0), ""))</f>
        <v/>
      </c>
      <c r="H419" s="1"/>
      <c r="I419" s="4" t="str">
        <f>IF(Bet_Log[[#This Row],[Result ]]="", "", IF(Bet_Log[[#This Row],[Result ]]="Win", Bet_Log[[#This Row],[Stake]]*Bet_Log[[#This Row],[Decimal]]-Bet_Log[[#This Row],[Stake]], IF(Bet_Log[[#This Row],[Result ]]="Loss", -Bet_Log[[#This Row],[Stake]], IF(Bet_Log[[#This Row],[Result ]]="Push", 0, ""))))</f>
        <v/>
      </c>
      <c r="J419" s="2" t="str">
        <f>IF(Bet_Log[[#This Row],[Return]]="", "", J418 + Bet_Log[[#This Row],[Return]])</f>
        <v/>
      </c>
      <c r="K419" s="9"/>
    </row>
    <row r="420" spans="1:11" x14ac:dyDescent="0.2">
      <c r="A420" s="27"/>
      <c r="B420" s="1"/>
      <c r="C420" s="6"/>
      <c r="D420" s="1"/>
      <c r="E420" s="7"/>
      <c r="F420" s="8"/>
      <c r="G420" s="3" t="str" cm="1">
        <f t="array" ref="G420">IF(ISBLANK(F420), "", IFERROR(_xlfn.IFS(LEFT(F420,1)="+", (VALUE(MID(F420,2,LEN(F420)))+100)/100, VALUE(F420)&gt;0, (F420+100)/100, VALUE(F420)&lt;0, (ABS(F420)+100)/ABS(F420), F420=0, 0), ""))</f>
        <v/>
      </c>
      <c r="H420" s="1"/>
      <c r="I420" s="4" t="str">
        <f>IF(Bet_Log[[#This Row],[Result ]]="", "", IF(Bet_Log[[#This Row],[Result ]]="Win", Bet_Log[[#This Row],[Stake]]*Bet_Log[[#This Row],[Decimal]]-Bet_Log[[#This Row],[Stake]], IF(Bet_Log[[#This Row],[Result ]]="Loss", -Bet_Log[[#This Row],[Stake]], IF(Bet_Log[[#This Row],[Result ]]="Push", 0, ""))))</f>
        <v/>
      </c>
      <c r="J420" s="2" t="str">
        <f>IF(Bet_Log[[#This Row],[Return]]="", "", J419 + Bet_Log[[#This Row],[Return]])</f>
        <v/>
      </c>
      <c r="K420" s="9"/>
    </row>
    <row r="421" spans="1:11" x14ac:dyDescent="0.2">
      <c r="A421" s="27"/>
      <c r="B421" s="1"/>
      <c r="C421" s="6"/>
      <c r="D421" s="1"/>
      <c r="E421" s="7"/>
      <c r="F421" s="8"/>
      <c r="G421" s="3" t="str" cm="1">
        <f t="array" ref="G421">IF(ISBLANK(F421), "", IFERROR(_xlfn.IFS(LEFT(F421,1)="+", (VALUE(MID(F421,2,LEN(F421)))+100)/100, VALUE(F421)&gt;0, (F421+100)/100, VALUE(F421)&lt;0, (ABS(F421)+100)/ABS(F421), F421=0, 0), ""))</f>
        <v/>
      </c>
      <c r="H421" s="1"/>
      <c r="I421" s="4" t="str">
        <f>IF(Bet_Log[[#This Row],[Result ]]="", "", IF(Bet_Log[[#This Row],[Result ]]="Win", Bet_Log[[#This Row],[Stake]]*Bet_Log[[#This Row],[Decimal]]-Bet_Log[[#This Row],[Stake]], IF(Bet_Log[[#This Row],[Result ]]="Loss", -Bet_Log[[#This Row],[Stake]], IF(Bet_Log[[#This Row],[Result ]]="Push", 0, ""))))</f>
        <v/>
      </c>
      <c r="J421" s="2" t="str">
        <f>IF(Bet_Log[[#This Row],[Return]]="", "", J420 + Bet_Log[[#This Row],[Return]])</f>
        <v/>
      </c>
      <c r="K421" s="9"/>
    </row>
    <row r="422" spans="1:11" x14ac:dyDescent="0.2">
      <c r="A422" s="27"/>
      <c r="B422" s="1"/>
      <c r="C422" s="6"/>
      <c r="D422" s="1"/>
      <c r="E422" s="7"/>
      <c r="F422" s="8"/>
      <c r="G422" s="3" t="str" cm="1">
        <f t="array" ref="G422">IF(ISBLANK(F422), "", IFERROR(_xlfn.IFS(LEFT(F422,1)="+", (VALUE(MID(F422,2,LEN(F422)))+100)/100, VALUE(F422)&gt;0, (F422+100)/100, VALUE(F422)&lt;0, (ABS(F422)+100)/ABS(F422), F422=0, 0), ""))</f>
        <v/>
      </c>
      <c r="H422" s="1"/>
      <c r="I422" s="4" t="str">
        <f>IF(Bet_Log[[#This Row],[Result ]]="", "", IF(Bet_Log[[#This Row],[Result ]]="Win", Bet_Log[[#This Row],[Stake]]*Bet_Log[[#This Row],[Decimal]]-Bet_Log[[#This Row],[Stake]], IF(Bet_Log[[#This Row],[Result ]]="Loss", -Bet_Log[[#This Row],[Stake]], IF(Bet_Log[[#This Row],[Result ]]="Push", 0, ""))))</f>
        <v/>
      </c>
      <c r="J422" s="2" t="str">
        <f>IF(Bet_Log[[#This Row],[Return]]="", "", J421 + Bet_Log[[#This Row],[Return]])</f>
        <v/>
      </c>
      <c r="K422" s="9"/>
    </row>
    <row r="423" spans="1:11" x14ac:dyDescent="0.2">
      <c r="A423" s="27"/>
      <c r="B423" s="1"/>
      <c r="C423" s="6"/>
      <c r="D423" s="1"/>
      <c r="E423" s="7"/>
      <c r="F423" s="8"/>
      <c r="G423" s="3" t="str" cm="1">
        <f t="array" ref="G423">IF(ISBLANK(F423), "", IFERROR(_xlfn.IFS(LEFT(F423,1)="+", (VALUE(MID(F423,2,LEN(F423)))+100)/100, VALUE(F423)&gt;0, (F423+100)/100, VALUE(F423)&lt;0, (ABS(F423)+100)/ABS(F423), F423=0, 0), ""))</f>
        <v/>
      </c>
      <c r="H423" s="1"/>
      <c r="I423" s="4" t="str">
        <f>IF(Bet_Log[[#This Row],[Result ]]="", "", IF(Bet_Log[[#This Row],[Result ]]="Win", Bet_Log[[#This Row],[Stake]]*Bet_Log[[#This Row],[Decimal]]-Bet_Log[[#This Row],[Stake]], IF(Bet_Log[[#This Row],[Result ]]="Loss", -Bet_Log[[#This Row],[Stake]], IF(Bet_Log[[#This Row],[Result ]]="Push", 0, ""))))</f>
        <v/>
      </c>
      <c r="J423" s="2" t="str">
        <f>IF(Bet_Log[[#This Row],[Return]]="", "", J422 + Bet_Log[[#This Row],[Return]])</f>
        <v/>
      </c>
      <c r="K423" s="9"/>
    </row>
    <row r="424" spans="1:11" x14ac:dyDescent="0.2">
      <c r="A424" s="27"/>
      <c r="B424" s="1"/>
      <c r="C424" s="6"/>
      <c r="D424" s="1"/>
      <c r="E424" s="7"/>
      <c r="F424" s="8"/>
      <c r="G424" s="3" t="str" cm="1">
        <f t="array" ref="G424">IF(ISBLANK(F424), "", IFERROR(_xlfn.IFS(LEFT(F424,1)="+", (VALUE(MID(F424,2,LEN(F424)))+100)/100, VALUE(F424)&gt;0, (F424+100)/100, VALUE(F424)&lt;0, (ABS(F424)+100)/ABS(F424), F424=0, 0), ""))</f>
        <v/>
      </c>
      <c r="H424" s="1"/>
      <c r="I424" s="4" t="str">
        <f>IF(Bet_Log[[#This Row],[Result ]]="", "", IF(Bet_Log[[#This Row],[Result ]]="Win", Bet_Log[[#This Row],[Stake]]*Bet_Log[[#This Row],[Decimal]]-Bet_Log[[#This Row],[Stake]], IF(Bet_Log[[#This Row],[Result ]]="Loss", -Bet_Log[[#This Row],[Stake]], IF(Bet_Log[[#This Row],[Result ]]="Push", 0, ""))))</f>
        <v/>
      </c>
      <c r="J424" s="2" t="str">
        <f>IF(Bet_Log[[#This Row],[Return]]="", "", J423 + Bet_Log[[#This Row],[Return]])</f>
        <v/>
      </c>
      <c r="K424" s="9"/>
    </row>
    <row r="425" spans="1:11" x14ac:dyDescent="0.2">
      <c r="A425" s="27"/>
      <c r="B425" s="1"/>
      <c r="C425" s="6"/>
      <c r="D425" s="1"/>
      <c r="E425" s="7"/>
      <c r="F425" s="8"/>
      <c r="G425" s="3" t="str" cm="1">
        <f t="array" ref="G425">IF(ISBLANK(F425), "", IFERROR(_xlfn.IFS(LEFT(F425,1)="+", (VALUE(MID(F425,2,LEN(F425)))+100)/100, VALUE(F425)&gt;0, (F425+100)/100, VALUE(F425)&lt;0, (ABS(F425)+100)/ABS(F425), F425=0, 0), ""))</f>
        <v/>
      </c>
      <c r="H425" s="1"/>
      <c r="I425" s="4" t="str">
        <f>IF(Bet_Log[[#This Row],[Result ]]="", "", IF(Bet_Log[[#This Row],[Result ]]="Win", Bet_Log[[#This Row],[Stake]]*Bet_Log[[#This Row],[Decimal]]-Bet_Log[[#This Row],[Stake]], IF(Bet_Log[[#This Row],[Result ]]="Loss", -Bet_Log[[#This Row],[Stake]], IF(Bet_Log[[#This Row],[Result ]]="Push", 0, ""))))</f>
        <v/>
      </c>
      <c r="J425" s="2" t="str">
        <f>IF(Bet_Log[[#This Row],[Return]]="", "", J424 + Bet_Log[[#This Row],[Return]])</f>
        <v/>
      </c>
      <c r="K425" s="9"/>
    </row>
    <row r="426" spans="1:11" x14ac:dyDescent="0.2">
      <c r="A426" s="27"/>
      <c r="B426" s="1"/>
      <c r="C426" s="6"/>
      <c r="D426" s="1"/>
      <c r="E426" s="7"/>
      <c r="F426" s="8"/>
      <c r="G426" s="3" t="str" cm="1">
        <f t="array" ref="G426">IF(ISBLANK(F426), "", IFERROR(_xlfn.IFS(LEFT(F426,1)="+", (VALUE(MID(F426,2,LEN(F426)))+100)/100, VALUE(F426)&gt;0, (F426+100)/100, VALUE(F426)&lt;0, (ABS(F426)+100)/ABS(F426), F426=0, 0), ""))</f>
        <v/>
      </c>
      <c r="H426" s="1"/>
      <c r="I426" s="4" t="str">
        <f>IF(Bet_Log[[#This Row],[Result ]]="", "", IF(Bet_Log[[#This Row],[Result ]]="Win", Bet_Log[[#This Row],[Stake]]*Bet_Log[[#This Row],[Decimal]]-Bet_Log[[#This Row],[Stake]], IF(Bet_Log[[#This Row],[Result ]]="Loss", -Bet_Log[[#This Row],[Stake]], IF(Bet_Log[[#This Row],[Result ]]="Push", 0, ""))))</f>
        <v/>
      </c>
      <c r="J426" s="2" t="str">
        <f>IF(Bet_Log[[#This Row],[Return]]="", "", J425 + Bet_Log[[#This Row],[Return]])</f>
        <v/>
      </c>
      <c r="K426" s="9"/>
    </row>
    <row r="427" spans="1:11" x14ac:dyDescent="0.2">
      <c r="A427" s="27"/>
      <c r="B427" s="1"/>
      <c r="C427" s="6"/>
      <c r="D427" s="1"/>
      <c r="E427" s="7"/>
      <c r="F427" s="8"/>
      <c r="G427" s="3" t="str" cm="1">
        <f t="array" ref="G427">IF(ISBLANK(F427), "", IFERROR(_xlfn.IFS(LEFT(F427,1)="+", (VALUE(MID(F427,2,LEN(F427)))+100)/100, VALUE(F427)&gt;0, (F427+100)/100, VALUE(F427)&lt;0, (ABS(F427)+100)/ABS(F427), F427=0, 0), ""))</f>
        <v/>
      </c>
      <c r="H427" s="1"/>
      <c r="I427" s="4" t="str">
        <f>IF(Bet_Log[[#This Row],[Result ]]="", "", IF(Bet_Log[[#This Row],[Result ]]="Win", Bet_Log[[#This Row],[Stake]]*Bet_Log[[#This Row],[Decimal]]-Bet_Log[[#This Row],[Stake]], IF(Bet_Log[[#This Row],[Result ]]="Loss", -Bet_Log[[#This Row],[Stake]], IF(Bet_Log[[#This Row],[Result ]]="Push", 0, ""))))</f>
        <v/>
      </c>
      <c r="J427" s="2" t="str">
        <f>IF(Bet_Log[[#This Row],[Return]]="", "", J426 + Bet_Log[[#This Row],[Return]])</f>
        <v/>
      </c>
      <c r="K427" s="9"/>
    </row>
    <row r="428" spans="1:11" x14ac:dyDescent="0.2">
      <c r="A428" s="27"/>
      <c r="B428" s="1"/>
      <c r="C428" s="6"/>
      <c r="D428" s="1"/>
      <c r="E428" s="7"/>
      <c r="F428" s="8"/>
      <c r="G428" s="3" t="str" cm="1">
        <f t="array" ref="G428">IF(ISBLANK(F428), "", IFERROR(_xlfn.IFS(LEFT(F428,1)="+", (VALUE(MID(F428,2,LEN(F428)))+100)/100, VALUE(F428)&gt;0, (F428+100)/100, VALUE(F428)&lt;0, (ABS(F428)+100)/ABS(F428), F428=0, 0), ""))</f>
        <v/>
      </c>
      <c r="H428" s="1"/>
      <c r="I428" s="4" t="str">
        <f>IF(Bet_Log[[#This Row],[Result ]]="", "", IF(Bet_Log[[#This Row],[Result ]]="Win", Bet_Log[[#This Row],[Stake]]*Bet_Log[[#This Row],[Decimal]]-Bet_Log[[#This Row],[Stake]], IF(Bet_Log[[#This Row],[Result ]]="Loss", -Bet_Log[[#This Row],[Stake]], IF(Bet_Log[[#This Row],[Result ]]="Push", 0, ""))))</f>
        <v/>
      </c>
      <c r="J428" s="2" t="str">
        <f>IF(Bet_Log[[#This Row],[Return]]="", "", J427 + Bet_Log[[#This Row],[Return]])</f>
        <v/>
      </c>
      <c r="K428" s="9"/>
    </row>
    <row r="429" spans="1:11" x14ac:dyDescent="0.2">
      <c r="A429" s="27"/>
      <c r="B429" s="1"/>
      <c r="C429" s="6"/>
      <c r="D429" s="1"/>
      <c r="E429" s="7"/>
      <c r="F429" s="8"/>
      <c r="G429" s="3" t="str" cm="1">
        <f t="array" ref="G429">IF(ISBLANK(F429), "", IFERROR(_xlfn.IFS(LEFT(F429,1)="+", (VALUE(MID(F429,2,LEN(F429)))+100)/100, VALUE(F429)&gt;0, (F429+100)/100, VALUE(F429)&lt;0, (ABS(F429)+100)/ABS(F429), F429=0, 0), ""))</f>
        <v/>
      </c>
      <c r="H429" s="1"/>
      <c r="I429" s="4" t="str">
        <f>IF(Bet_Log[[#This Row],[Result ]]="", "", IF(Bet_Log[[#This Row],[Result ]]="Win", Bet_Log[[#This Row],[Stake]]*Bet_Log[[#This Row],[Decimal]]-Bet_Log[[#This Row],[Stake]], IF(Bet_Log[[#This Row],[Result ]]="Loss", -Bet_Log[[#This Row],[Stake]], IF(Bet_Log[[#This Row],[Result ]]="Push", 0, ""))))</f>
        <v/>
      </c>
      <c r="J429" s="2" t="str">
        <f>IF(Bet_Log[[#This Row],[Return]]="", "", J428 + Bet_Log[[#This Row],[Return]])</f>
        <v/>
      </c>
      <c r="K429" s="9"/>
    </row>
    <row r="430" spans="1:11" x14ac:dyDescent="0.2">
      <c r="A430" s="27"/>
      <c r="B430" s="1"/>
      <c r="C430" s="6"/>
      <c r="D430" s="1"/>
      <c r="E430" s="7"/>
      <c r="F430" s="8"/>
      <c r="G430" s="3" t="str" cm="1">
        <f t="array" ref="G430">IF(ISBLANK(F430), "", IFERROR(_xlfn.IFS(LEFT(F430,1)="+", (VALUE(MID(F430,2,LEN(F430)))+100)/100, VALUE(F430)&gt;0, (F430+100)/100, VALUE(F430)&lt;0, (ABS(F430)+100)/ABS(F430), F430=0, 0), ""))</f>
        <v/>
      </c>
      <c r="H430" s="1"/>
      <c r="I430" s="4" t="str">
        <f>IF(Bet_Log[[#This Row],[Result ]]="", "", IF(Bet_Log[[#This Row],[Result ]]="Win", Bet_Log[[#This Row],[Stake]]*Bet_Log[[#This Row],[Decimal]]-Bet_Log[[#This Row],[Stake]], IF(Bet_Log[[#This Row],[Result ]]="Loss", -Bet_Log[[#This Row],[Stake]], IF(Bet_Log[[#This Row],[Result ]]="Push", 0, ""))))</f>
        <v/>
      </c>
      <c r="J430" s="2" t="str">
        <f>IF(Bet_Log[[#This Row],[Return]]="", "", J429 + Bet_Log[[#This Row],[Return]])</f>
        <v/>
      </c>
      <c r="K430" s="9"/>
    </row>
    <row r="431" spans="1:11" x14ac:dyDescent="0.2">
      <c r="A431" s="27"/>
      <c r="B431" s="1"/>
      <c r="C431" s="6"/>
      <c r="D431" s="1"/>
      <c r="E431" s="7"/>
      <c r="F431" s="8"/>
      <c r="G431" s="3" t="str" cm="1">
        <f t="array" ref="G431">IF(ISBLANK(F431), "", IFERROR(_xlfn.IFS(LEFT(F431,1)="+", (VALUE(MID(F431,2,LEN(F431)))+100)/100, VALUE(F431)&gt;0, (F431+100)/100, VALUE(F431)&lt;0, (ABS(F431)+100)/ABS(F431), F431=0, 0), ""))</f>
        <v/>
      </c>
      <c r="H431" s="1"/>
      <c r="I431" s="4" t="str">
        <f>IF(Bet_Log[[#This Row],[Result ]]="", "", IF(Bet_Log[[#This Row],[Result ]]="Win", Bet_Log[[#This Row],[Stake]]*Bet_Log[[#This Row],[Decimal]]-Bet_Log[[#This Row],[Stake]], IF(Bet_Log[[#This Row],[Result ]]="Loss", -Bet_Log[[#This Row],[Stake]], IF(Bet_Log[[#This Row],[Result ]]="Push", 0, ""))))</f>
        <v/>
      </c>
      <c r="J431" s="2" t="str">
        <f>IF(Bet_Log[[#This Row],[Return]]="", "", J430 + Bet_Log[[#This Row],[Return]])</f>
        <v/>
      </c>
      <c r="K431" s="9"/>
    </row>
    <row r="432" spans="1:11" x14ac:dyDescent="0.2">
      <c r="A432" s="27"/>
      <c r="B432" s="1"/>
      <c r="C432" s="6"/>
      <c r="D432" s="1"/>
      <c r="E432" s="7"/>
      <c r="F432" s="8"/>
      <c r="G432" s="3" t="str" cm="1">
        <f t="array" ref="G432">IF(ISBLANK(F432), "", IFERROR(_xlfn.IFS(LEFT(F432,1)="+", (VALUE(MID(F432,2,LEN(F432)))+100)/100, VALUE(F432)&gt;0, (F432+100)/100, VALUE(F432)&lt;0, (ABS(F432)+100)/ABS(F432), F432=0, 0), ""))</f>
        <v/>
      </c>
      <c r="H432" s="1"/>
      <c r="I432" s="4" t="str">
        <f>IF(Bet_Log[[#This Row],[Result ]]="", "", IF(Bet_Log[[#This Row],[Result ]]="Win", Bet_Log[[#This Row],[Stake]]*Bet_Log[[#This Row],[Decimal]]-Bet_Log[[#This Row],[Stake]], IF(Bet_Log[[#This Row],[Result ]]="Loss", -Bet_Log[[#This Row],[Stake]], IF(Bet_Log[[#This Row],[Result ]]="Push", 0, ""))))</f>
        <v/>
      </c>
      <c r="J432" s="2" t="str">
        <f>IF(Bet_Log[[#This Row],[Return]]="", "", J431 + Bet_Log[[#This Row],[Return]])</f>
        <v/>
      </c>
      <c r="K432" s="9"/>
    </row>
    <row r="433" spans="1:11" x14ac:dyDescent="0.2">
      <c r="A433" s="27"/>
      <c r="B433" s="1"/>
      <c r="C433" s="6"/>
      <c r="D433" s="1"/>
      <c r="E433" s="7"/>
      <c r="F433" s="8"/>
      <c r="G433" s="3" t="str" cm="1">
        <f t="array" ref="G433">IF(ISBLANK(F433), "", IFERROR(_xlfn.IFS(LEFT(F433,1)="+", (VALUE(MID(F433,2,LEN(F433)))+100)/100, VALUE(F433)&gt;0, (F433+100)/100, VALUE(F433)&lt;0, (ABS(F433)+100)/ABS(F433), F433=0, 0), ""))</f>
        <v/>
      </c>
      <c r="H433" s="1"/>
      <c r="I433" s="4" t="str">
        <f>IF(Bet_Log[[#This Row],[Result ]]="", "", IF(Bet_Log[[#This Row],[Result ]]="Win", Bet_Log[[#This Row],[Stake]]*Bet_Log[[#This Row],[Decimal]]-Bet_Log[[#This Row],[Stake]], IF(Bet_Log[[#This Row],[Result ]]="Loss", -Bet_Log[[#This Row],[Stake]], IF(Bet_Log[[#This Row],[Result ]]="Push", 0, ""))))</f>
        <v/>
      </c>
      <c r="J433" s="2" t="str">
        <f>IF(Bet_Log[[#This Row],[Return]]="", "", J432 + Bet_Log[[#This Row],[Return]])</f>
        <v/>
      </c>
      <c r="K433" s="9"/>
    </row>
    <row r="434" spans="1:11" x14ac:dyDescent="0.2">
      <c r="A434" s="27"/>
      <c r="B434" s="1"/>
      <c r="C434" s="6"/>
      <c r="D434" s="1"/>
      <c r="E434" s="7"/>
      <c r="F434" s="8"/>
      <c r="G434" s="3" t="str" cm="1">
        <f t="array" ref="G434">IF(ISBLANK(F434), "", IFERROR(_xlfn.IFS(LEFT(F434,1)="+", (VALUE(MID(F434,2,LEN(F434)))+100)/100, VALUE(F434)&gt;0, (F434+100)/100, VALUE(F434)&lt;0, (ABS(F434)+100)/ABS(F434), F434=0, 0), ""))</f>
        <v/>
      </c>
      <c r="H434" s="1"/>
      <c r="I434" s="4" t="str">
        <f>IF(Bet_Log[[#This Row],[Result ]]="", "", IF(Bet_Log[[#This Row],[Result ]]="Win", Bet_Log[[#This Row],[Stake]]*Bet_Log[[#This Row],[Decimal]]-Bet_Log[[#This Row],[Stake]], IF(Bet_Log[[#This Row],[Result ]]="Loss", -Bet_Log[[#This Row],[Stake]], IF(Bet_Log[[#This Row],[Result ]]="Push", 0, ""))))</f>
        <v/>
      </c>
      <c r="J434" s="2" t="str">
        <f>IF(Bet_Log[[#This Row],[Return]]="", "", J433 + Bet_Log[[#This Row],[Return]])</f>
        <v/>
      </c>
      <c r="K434" s="9"/>
    </row>
    <row r="435" spans="1:11" x14ac:dyDescent="0.2">
      <c r="A435" s="27"/>
      <c r="B435" s="1"/>
      <c r="C435" s="6"/>
      <c r="D435" s="1"/>
      <c r="E435" s="7"/>
      <c r="F435" s="8"/>
      <c r="G435" s="3" t="str" cm="1">
        <f t="array" ref="G435">IF(ISBLANK(F435), "", IFERROR(_xlfn.IFS(LEFT(F435,1)="+", (VALUE(MID(F435,2,LEN(F435)))+100)/100, VALUE(F435)&gt;0, (F435+100)/100, VALUE(F435)&lt;0, (ABS(F435)+100)/ABS(F435), F435=0, 0), ""))</f>
        <v/>
      </c>
      <c r="H435" s="1"/>
      <c r="I435" s="4" t="str">
        <f>IF(Bet_Log[[#This Row],[Result ]]="", "", IF(Bet_Log[[#This Row],[Result ]]="Win", Bet_Log[[#This Row],[Stake]]*Bet_Log[[#This Row],[Decimal]]-Bet_Log[[#This Row],[Stake]], IF(Bet_Log[[#This Row],[Result ]]="Loss", -Bet_Log[[#This Row],[Stake]], IF(Bet_Log[[#This Row],[Result ]]="Push", 0, ""))))</f>
        <v/>
      </c>
      <c r="J435" s="2" t="str">
        <f>IF(Bet_Log[[#This Row],[Return]]="", "", J434 + Bet_Log[[#This Row],[Return]])</f>
        <v/>
      </c>
      <c r="K435" s="9"/>
    </row>
    <row r="436" spans="1:11" x14ac:dyDescent="0.2">
      <c r="A436" s="27"/>
      <c r="B436" s="1"/>
      <c r="C436" s="6"/>
      <c r="D436" s="1"/>
      <c r="E436" s="7"/>
      <c r="F436" s="8"/>
      <c r="G436" s="3" t="str" cm="1">
        <f t="array" ref="G436">IF(ISBLANK(F436), "", IFERROR(_xlfn.IFS(LEFT(F436,1)="+", (VALUE(MID(F436,2,LEN(F436)))+100)/100, VALUE(F436)&gt;0, (F436+100)/100, VALUE(F436)&lt;0, (ABS(F436)+100)/ABS(F436), F436=0, 0), ""))</f>
        <v/>
      </c>
      <c r="H436" s="1"/>
      <c r="I436" s="4" t="str">
        <f>IF(Bet_Log[[#This Row],[Result ]]="", "", IF(Bet_Log[[#This Row],[Result ]]="Win", Bet_Log[[#This Row],[Stake]]*Bet_Log[[#This Row],[Decimal]]-Bet_Log[[#This Row],[Stake]], IF(Bet_Log[[#This Row],[Result ]]="Loss", -Bet_Log[[#This Row],[Stake]], IF(Bet_Log[[#This Row],[Result ]]="Push", 0, ""))))</f>
        <v/>
      </c>
      <c r="J436" s="2" t="str">
        <f>IF(Bet_Log[[#This Row],[Return]]="", "", J435 + Bet_Log[[#This Row],[Return]])</f>
        <v/>
      </c>
      <c r="K436" s="9"/>
    </row>
    <row r="437" spans="1:11" x14ac:dyDescent="0.2">
      <c r="A437" s="27"/>
      <c r="B437" s="1"/>
      <c r="C437" s="6"/>
      <c r="D437" s="1"/>
      <c r="E437" s="7"/>
      <c r="F437" s="8"/>
      <c r="G437" s="3" t="str" cm="1">
        <f t="array" ref="G437">IF(ISBLANK(F437), "", IFERROR(_xlfn.IFS(LEFT(F437,1)="+", (VALUE(MID(F437,2,LEN(F437)))+100)/100, VALUE(F437)&gt;0, (F437+100)/100, VALUE(F437)&lt;0, (ABS(F437)+100)/ABS(F437), F437=0, 0), ""))</f>
        <v/>
      </c>
      <c r="H437" s="1"/>
      <c r="I437" s="4" t="str">
        <f>IF(Bet_Log[[#This Row],[Result ]]="", "", IF(Bet_Log[[#This Row],[Result ]]="Win", Bet_Log[[#This Row],[Stake]]*Bet_Log[[#This Row],[Decimal]]-Bet_Log[[#This Row],[Stake]], IF(Bet_Log[[#This Row],[Result ]]="Loss", -Bet_Log[[#This Row],[Stake]], IF(Bet_Log[[#This Row],[Result ]]="Push", 0, ""))))</f>
        <v/>
      </c>
      <c r="J437" s="2" t="str">
        <f>IF(Bet_Log[[#This Row],[Return]]="", "", J436 + Bet_Log[[#This Row],[Return]])</f>
        <v/>
      </c>
      <c r="K437" s="9"/>
    </row>
    <row r="438" spans="1:11" x14ac:dyDescent="0.2">
      <c r="A438" s="27"/>
      <c r="B438" s="1"/>
      <c r="C438" s="6"/>
      <c r="D438" s="1"/>
      <c r="E438" s="7"/>
      <c r="F438" s="8"/>
      <c r="G438" s="3" t="str" cm="1">
        <f t="array" ref="G438">IF(ISBLANK(F438), "", IFERROR(_xlfn.IFS(LEFT(F438,1)="+", (VALUE(MID(F438,2,LEN(F438)))+100)/100, VALUE(F438)&gt;0, (F438+100)/100, VALUE(F438)&lt;0, (ABS(F438)+100)/ABS(F438), F438=0, 0), ""))</f>
        <v/>
      </c>
      <c r="H438" s="1"/>
      <c r="I438" s="4" t="str">
        <f>IF(Bet_Log[[#This Row],[Result ]]="", "", IF(Bet_Log[[#This Row],[Result ]]="Win", Bet_Log[[#This Row],[Stake]]*Bet_Log[[#This Row],[Decimal]]-Bet_Log[[#This Row],[Stake]], IF(Bet_Log[[#This Row],[Result ]]="Loss", -Bet_Log[[#This Row],[Stake]], IF(Bet_Log[[#This Row],[Result ]]="Push", 0, ""))))</f>
        <v/>
      </c>
      <c r="J438" s="2" t="str">
        <f>IF(Bet_Log[[#This Row],[Return]]="", "", J437 + Bet_Log[[#This Row],[Return]])</f>
        <v/>
      </c>
      <c r="K438" s="9"/>
    </row>
    <row r="439" spans="1:11" x14ac:dyDescent="0.2">
      <c r="A439" s="27"/>
      <c r="B439" s="1"/>
      <c r="C439" s="6"/>
      <c r="D439" s="1"/>
      <c r="E439" s="7"/>
      <c r="F439" s="8"/>
      <c r="G439" s="3" t="str" cm="1">
        <f t="array" ref="G439">IF(ISBLANK(F439), "", IFERROR(_xlfn.IFS(LEFT(F439,1)="+", (VALUE(MID(F439,2,LEN(F439)))+100)/100, VALUE(F439)&gt;0, (F439+100)/100, VALUE(F439)&lt;0, (ABS(F439)+100)/ABS(F439), F439=0, 0), ""))</f>
        <v/>
      </c>
      <c r="H439" s="1"/>
      <c r="I439" s="4" t="str">
        <f>IF(Bet_Log[[#This Row],[Result ]]="", "", IF(Bet_Log[[#This Row],[Result ]]="Win", Bet_Log[[#This Row],[Stake]]*Bet_Log[[#This Row],[Decimal]]-Bet_Log[[#This Row],[Stake]], IF(Bet_Log[[#This Row],[Result ]]="Loss", -Bet_Log[[#This Row],[Stake]], IF(Bet_Log[[#This Row],[Result ]]="Push", 0, ""))))</f>
        <v/>
      </c>
      <c r="J439" s="2" t="str">
        <f>IF(Bet_Log[[#This Row],[Return]]="", "", J438 + Bet_Log[[#This Row],[Return]])</f>
        <v/>
      </c>
      <c r="K439" s="9"/>
    </row>
    <row r="440" spans="1:11" x14ac:dyDescent="0.2">
      <c r="A440" s="27"/>
      <c r="B440" s="1"/>
      <c r="C440" s="6"/>
      <c r="D440" s="1"/>
      <c r="E440" s="7"/>
      <c r="F440" s="8"/>
      <c r="G440" s="3" t="str" cm="1">
        <f t="array" ref="G440">IF(ISBLANK(F440), "", IFERROR(_xlfn.IFS(LEFT(F440,1)="+", (VALUE(MID(F440,2,LEN(F440)))+100)/100, VALUE(F440)&gt;0, (F440+100)/100, VALUE(F440)&lt;0, (ABS(F440)+100)/ABS(F440), F440=0, 0), ""))</f>
        <v/>
      </c>
      <c r="H440" s="1"/>
      <c r="I440" s="4" t="str">
        <f>IF(Bet_Log[[#This Row],[Result ]]="", "", IF(Bet_Log[[#This Row],[Result ]]="Win", Bet_Log[[#This Row],[Stake]]*Bet_Log[[#This Row],[Decimal]]-Bet_Log[[#This Row],[Stake]], IF(Bet_Log[[#This Row],[Result ]]="Loss", -Bet_Log[[#This Row],[Stake]], IF(Bet_Log[[#This Row],[Result ]]="Push", 0, ""))))</f>
        <v/>
      </c>
      <c r="J440" s="2" t="str">
        <f>IF(Bet_Log[[#This Row],[Return]]="", "", J439 + Bet_Log[[#This Row],[Return]])</f>
        <v/>
      </c>
      <c r="K440" s="9"/>
    </row>
    <row r="441" spans="1:11" x14ac:dyDescent="0.2">
      <c r="A441" s="27"/>
      <c r="B441" s="1"/>
      <c r="C441" s="6"/>
      <c r="D441" s="1"/>
      <c r="E441" s="7"/>
      <c r="F441" s="8"/>
      <c r="G441" s="3" t="str" cm="1">
        <f t="array" ref="G441">IF(ISBLANK(F441), "", IFERROR(_xlfn.IFS(LEFT(F441,1)="+", (VALUE(MID(F441,2,LEN(F441)))+100)/100, VALUE(F441)&gt;0, (F441+100)/100, VALUE(F441)&lt;0, (ABS(F441)+100)/ABS(F441), F441=0, 0), ""))</f>
        <v/>
      </c>
      <c r="H441" s="1"/>
      <c r="I441" s="4" t="str">
        <f>IF(Bet_Log[[#This Row],[Result ]]="", "", IF(Bet_Log[[#This Row],[Result ]]="Win", Bet_Log[[#This Row],[Stake]]*Bet_Log[[#This Row],[Decimal]]-Bet_Log[[#This Row],[Stake]], IF(Bet_Log[[#This Row],[Result ]]="Loss", -Bet_Log[[#This Row],[Stake]], IF(Bet_Log[[#This Row],[Result ]]="Push", 0, ""))))</f>
        <v/>
      </c>
      <c r="J441" s="2" t="str">
        <f>IF(Bet_Log[[#This Row],[Return]]="", "", J440 + Bet_Log[[#This Row],[Return]])</f>
        <v/>
      </c>
      <c r="K441" s="9"/>
    </row>
    <row r="442" spans="1:11" x14ac:dyDescent="0.2">
      <c r="A442" s="27"/>
      <c r="B442" s="1"/>
      <c r="C442" s="6"/>
      <c r="D442" s="1"/>
      <c r="E442" s="7"/>
      <c r="F442" s="8"/>
      <c r="G442" s="3" t="str" cm="1">
        <f t="array" ref="G442">IF(ISBLANK(F442), "", IFERROR(_xlfn.IFS(LEFT(F442,1)="+", (VALUE(MID(F442,2,LEN(F442)))+100)/100, VALUE(F442)&gt;0, (F442+100)/100, VALUE(F442)&lt;0, (ABS(F442)+100)/ABS(F442), F442=0, 0), ""))</f>
        <v/>
      </c>
      <c r="H442" s="1"/>
      <c r="I442" s="4" t="str">
        <f>IF(Bet_Log[[#This Row],[Result ]]="", "", IF(Bet_Log[[#This Row],[Result ]]="Win", Bet_Log[[#This Row],[Stake]]*Bet_Log[[#This Row],[Decimal]]-Bet_Log[[#This Row],[Stake]], IF(Bet_Log[[#This Row],[Result ]]="Loss", -Bet_Log[[#This Row],[Stake]], IF(Bet_Log[[#This Row],[Result ]]="Push", 0, ""))))</f>
        <v/>
      </c>
      <c r="J442" s="2" t="str">
        <f>IF(Bet_Log[[#This Row],[Return]]="", "", J441 + Bet_Log[[#This Row],[Return]])</f>
        <v/>
      </c>
      <c r="K442" s="9"/>
    </row>
    <row r="443" spans="1:11" x14ac:dyDescent="0.2">
      <c r="A443" s="27"/>
      <c r="B443" s="1"/>
      <c r="C443" s="6"/>
      <c r="D443" s="1"/>
      <c r="E443" s="7"/>
      <c r="F443" s="8"/>
      <c r="G443" s="3" t="str" cm="1">
        <f t="array" ref="G443">IF(ISBLANK(F443), "", IFERROR(_xlfn.IFS(LEFT(F443,1)="+", (VALUE(MID(F443,2,LEN(F443)))+100)/100, VALUE(F443)&gt;0, (F443+100)/100, VALUE(F443)&lt;0, (ABS(F443)+100)/ABS(F443), F443=0, 0), ""))</f>
        <v/>
      </c>
      <c r="H443" s="1"/>
      <c r="I443" s="4" t="str">
        <f>IF(Bet_Log[[#This Row],[Result ]]="", "", IF(Bet_Log[[#This Row],[Result ]]="Win", Bet_Log[[#This Row],[Stake]]*Bet_Log[[#This Row],[Decimal]]-Bet_Log[[#This Row],[Stake]], IF(Bet_Log[[#This Row],[Result ]]="Loss", -Bet_Log[[#This Row],[Stake]], IF(Bet_Log[[#This Row],[Result ]]="Push", 0, ""))))</f>
        <v/>
      </c>
      <c r="J443" s="2" t="str">
        <f>IF(Bet_Log[[#This Row],[Return]]="", "", J442 + Bet_Log[[#This Row],[Return]])</f>
        <v/>
      </c>
      <c r="K443" s="9"/>
    </row>
    <row r="444" spans="1:11" x14ac:dyDescent="0.2">
      <c r="A444" s="27"/>
      <c r="B444" s="1"/>
      <c r="C444" s="6"/>
      <c r="D444" s="1"/>
      <c r="E444" s="7"/>
      <c r="F444" s="8"/>
      <c r="G444" s="3" t="str" cm="1">
        <f t="array" ref="G444">IF(ISBLANK(F444), "", IFERROR(_xlfn.IFS(LEFT(F444,1)="+", (VALUE(MID(F444,2,LEN(F444)))+100)/100, VALUE(F444)&gt;0, (F444+100)/100, VALUE(F444)&lt;0, (ABS(F444)+100)/ABS(F444), F444=0, 0), ""))</f>
        <v/>
      </c>
      <c r="H444" s="1"/>
      <c r="I444" s="4" t="str">
        <f>IF(Bet_Log[[#This Row],[Result ]]="", "", IF(Bet_Log[[#This Row],[Result ]]="Win", Bet_Log[[#This Row],[Stake]]*Bet_Log[[#This Row],[Decimal]]-Bet_Log[[#This Row],[Stake]], IF(Bet_Log[[#This Row],[Result ]]="Loss", -Bet_Log[[#This Row],[Stake]], IF(Bet_Log[[#This Row],[Result ]]="Push", 0, ""))))</f>
        <v/>
      </c>
      <c r="J444" s="2" t="str">
        <f>IF(Bet_Log[[#This Row],[Return]]="", "", J443 + Bet_Log[[#This Row],[Return]])</f>
        <v/>
      </c>
      <c r="K444" s="9"/>
    </row>
    <row r="445" spans="1:11" x14ac:dyDescent="0.2">
      <c r="A445" s="27"/>
      <c r="B445" s="1"/>
      <c r="C445" s="6"/>
      <c r="D445" s="1"/>
      <c r="E445" s="7"/>
      <c r="F445" s="8"/>
      <c r="G445" s="3" t="str" cm="1">
        <f t="array" ref="G445">IF(ISBLANK(F445), "", IFERROR(_xlfn.IFS(LEFT(F445,1)="+", (VALUE(MID(F445,2,LEN(F445)))+100)/100, VALUE(F445)&gt;0, (F445+100)/100, VALUE(F445)&lt;0, (ABS(F445)+100)/ABS(F445), F445=0, 0), ""))</f>
        <v/>
      </c>
      <c r="H445" s="1"/>
      <c r="I445" s="4" t="str">
        <f>IF(Bet_Log[[#This Row],[Result ]]="", "", IF(Bet_Log[[#This Row],[Result ]]="Win", Bet_Log[[#This Row],[Stake]]*Bet_Log[[#This Row],[Decimal]]-Bet_Log[[#This Row],[Stake]], IF(Bet_Log[[#This Row],[Result ]]="Loss", -Bet_Log[[#This Row],[Stake]], IF(Bet_Log[[#This Row],[Result ]]="Push", 0, ""))))</f>
        <v/>
      </c>
      <c r="J445" s="2" t="str">
        <f>IF(Bet_Log[[#This Row],[Return]]="", "", J444 + Bet_Log[[#This Row],[Return]])</f>
        <v/>
      </c>
      <c r="K445" s="9"/>
    </row>
    <row r="446" spans="1:11" x14ac:dyDescent="0.2">
      <c r="A446" s="27"/>
      <c r="B446" s="1"/>
      <c r="C446" s="6"/>
      <c r="D446" s="1"/>
      <c r="E446" s="7"/>
      <c r="F446" s="8"/>
      <c r="G446" s="3" t="str" cm="1">
        <f t="array" ref="G446">IF(ISBLANK(F446), "", IFERROR(_xlfn.IFS(LEFT(F446,1)="+", (VALUE(MID(F446,2,LEN(F446)))+100)/100, VALUE(F446)&gt;0, (F446+100)/100, VALUE(F446)&lt;0, (ABS(F446)+100)/ABS(F446), F446=0, 0), ""))</f>
        <v/>
      </c>
      <c r="H446" s="1"/>
      <c r="I446" s="4" t="str">
        <f>IF(Bet_Log[[#This Row],[Result ]]="", "", IF(Bet_Log[[#This Row],[Result ]]="Win", Bet_Log[[#This Row],[Stake]]*Bet_Log[[#This Row],[Decimal]]-Bet_Log[[#This Row],[Stake]], IF(Bet_Log[[#This Row],[Result ]]="Loss", -Bet_Log[[#This Row],[Stake]], IF(Bet_Log[[#This Row],[Result ]]="Push", 0, ""))))</f>
        <v/>
      </c>
      <c r="J446" s="2" t="str">
        <f>IF(Bet_Log[[#This Row],[Return]]="", "", J445 + Bet_Log[[#This Row],[Return]])</f>
        <v/>
      </c>
      <c r="K446" s="9"/>
    </row>
    <row r="447" spans="1:11" x14ac:dyDescent="0.2">
      <c r="A447" s="27"/>
      <c r="B447" s="1"/>
      <c r="C447" s="6"/>
      <c r="D447" s="1"/>
      <c r="E447" s="7"/>
      <c r="F447" s="8"/>
      <c r="G447" s="3" t="str" cm="1">
        <f t="array" ref="G447">IF(ISBLANK(F447), "", IFERROR(_xlfn.IFS(LEFT(F447,1)="+", (VALUE(MID(F447,2,LEN(F447)))+100)/100, VALUE(F447)&gt;0, (F447+100)/100, VALUE(F447)&lt;0, (ABS(F447)+100)/ABS(F447), F447=0, 0), ""))</f>
        <v/>
      </c>
      <c r="H447" s="1"/>
      <c r="I447" s="4" t="str">
        <f>IF(Bet_Log[[#This Row],[Result ]]="", "", IF(Bet_Log[[#This Row],[Result ]]="Win", Bet_Log[[#This Row],[Stake]]*Bet_Log[[#This Row],[Decimal]]-Bet_Log[[#This Row],[Stake]], IF(Bet_Log[[#This Row],[Result ]]="Loss", -Bet_Log[[#This Row],[Stake]], IF(Bet_Log[[#This Row],[Result ]]="Push", 0, ""))))</f>
        <v/>
      </c>
      <c r="J447" s="2" t="str">
        <f>IF(Bet_Log[[#This Row],[Return]]="", "", J446 + Bet_Log[[#This Row],[Return]])</f>
        <v/>
      </c>
      <c r="K447" s="9"/>
    </row>
    <row r="448" spans="1:11" x14ac:dyDescent="0.2">
      <c r="A448" s="27"/>
      <c r="B448" s="1"/>
      <c r="C448" s="6"/>
      <c r="D448" s="1"/>
      <c r="E448" s="7"/>
      <c r="F448" s="8"/>
      <c r="G448" s="3" t="str" cm="1">
        <f t="array" ref="G448">IF(ISBLANK(F448), "", IFERROR(_xlfn.IFS(LEFT(F448,1)="+", (VALUE(MID(F448,2,LEN(F448)))+100)/100, VALUE(F448)&gt;0, (F448+100)/100, VALUE(F448)&lt;0, (ABS(F448)+100)/ABS(F448), F448=0, 0), ""))</f>
        <v/>
      </c>
      <c r="H448" s="1"/>
      <c r="I448" s="4" t="str">
        <f>IF(Bet_Log[[#This Row],[Result ]]="", "", IF(Bet_Log[[#This Row],[Result ]]="Win", Bet_Log[[#This Row],[Stake]]*Bet_Log[[#This Row],[Decimal]]-Bet_Log[[#This Row],[Stake]], IF(Bet_Log[[#This Row],[Result ]]="Loss", -Bet_Log[[#This Row],[Stake]], IF(Bet_Log[[#This Row],[Result ]]="Push", 0, ""))))</f>
        <v/>
      </c>
      <c r="J448" s="2" t="str">
        <f>IF(Bet_Log[[#This Row],[Return]]="", "", J447 + Bet_Log[[#This Row],[Return]])</f>
        <v/>
      </c>
      <c r="K448" s="9"/>
    </row>
    <row r="449" spans="1:11" x14ac:dyDescent="0.2">
      <c r="A449" s="27"/>
      <c r="B449" s="1"/>
      <c r="C449" s="6"/>
      <c r="D449" s="1"/>
      <c r="E449" s="7"/>
      <c r="F449" s="8"/>
      <c r="G449" s="3" t="str" cm="1">
        <f t="array" ref="G449">IF(ISBLANK(F449), "", IFERROR(_xlfn.IFS(LEFT(F449,1)="+", (VALUE(MID(F449,2,LEN(F449)))+100)/100, VALUE(F449)&gt;0, (F449+100)/100, VALUE(F449)&lt;0, (ABS(F449)+100)/ABS(F449), F449=0, 0), ""))</f>
        <v/>
      </c>
      <c r="H449" s="1"/>
      <c r="I449" s="4" t="str">
        <f>IF(Bet_Log[[#This Row],[Result ]]="", "", IF(Bet_Log[[#This Row],[Result ]]="Win", Bet_Log[[#This Row],[Stake]]*Bet_Log[[#This Row],[Decimal]]-Bet_Log[[#This Row],[Stake]], IF(Bet_Log[[#This Row],[Result ]]="Loss", -Bet_Log[[#This Row],[Stake]], IF(Bet_Log[[#This Row],[Result ]]="Push", 0, ""))))</f>
        <v/>
      </c>
      <c r="J449" s="2" t="str">
        <f>IF(Bet_Log[[#This Row],[Return]]="", "", J448 + Bet_Log[[#This Row],[Return]])</f>
        <v/>
      </c>
      <c r="K449" s="9"/>
    </row>
    <row r="450" spans="1:11" x14ac:dyDescent="0.2">
      <c r="A450" s="27"/>
      <c r="B450" s="1"/>
      <c r="C450" s="6"/>
      <c r="D450" s="1"/>
      <c r="E450" s="7"/>
      <c r="F450" s="8"/>
      <c r="G450" s="3" t="str" cm="1">
        <f t="array" ref="G450">IF(ISBLANK(F450), "", IFERROR(_xlfn.IFS(LEFT(F450,1)="+", (VALUE(MID(F450,2,LEN(F450)))+100)/100, VALUE(F450)&gt;0, (F450+100)/100, VALUE(F450)&lt;0, (ABS(F450)+100)/ABS(F450), F450=0, 0), ""))</f>
        <v/>
      </c>
      <c r="H450" s="1"/>
      <c r="I450" s="4" t="str">
        <f>IF(Bet_Log[[#This Row],[Result ]]="", "", IF(Bet_Log[[#This Row],[Result ]]="Win", Bet_Log[[#This Row],[Stake]]*Bet_Log[[#This Row],[Decimal]]-Bet_Log[[#This Row],[Stake]], IF(Bet_Log[[#This Row],[Result ]]="Loss", -Bet_Log[[#This Row],[Stake]], IF(Bet_Log[[#This Row],[Result ]]="Push", 0, ""))))</f>
        <v/>
      </c>
      <c r="J450" s="2" t="str">
        <f>IF(Bet_Log[[#This Row],[Return]]="", "", J449 + Bet_Log[[#This Row],[Return]])</f>
        <v/>
      </c>
      <c r="K450" s="9"/>
    </row>
    <row r="451" spans="1:11" x14ac:dyDescent="0.2">
      <c r="A451" s="27"/>
      <c r="B451" s="1"/>
      <c r="C451" s="6"/>
      <c r="D451" s="1"/>
      <c r="E451" s="7"/>
      <c r="F451" s="8"/>
      <c r="G451" s="3" t="str" cm="1">
        <f t="array" ref="G451">IF(ISBLANK(F451), "", IFERROR(_xlfn.IFS(LEFT(F451,1)="+", (VALUE(MID(F451,2,LEN(F451)))+100)/100, VALUE(F451)&gt;0, (F451+100)/100, VALUE(F451)&lt;0, (ABS(F451)+100)/ABS(F451), F451=0, 0), ""))</f>
        <v/>
      </c>
      <c r="H451" s="1"/>
      <c r="I451" s="4" t="str">
        <f>IF(Bet_Log[[#This Row],[Result ]]="", "", IF(Bet_Log[[#This Row],[Result ]]="Win", Bet_Log[[#This Row],[Stake]]*Bet_Log[[#This Row],[Decimal]]-Bet_Log[[#This Row],[Stake]], IF(Bet_Log[[#This Row],[Result ]]="Loss", -Bet_Log[[#This Row],[Stake]], IF(Bet_Log[[#This Row],[Result ]]="Push", 0, ""))))</f>
        <v/>
      </c>
      <c r="J451" s="2" t="str">
        <f>IF(Bet_Log[[#This Row],[Return]]="", "", J450 + Bet_Log[[#This Row],[Return]])</f>
        <v/>
      </c>
      <c r="K451" s="9"/>
    </row>
    <row r="452" spans="1:11" x14ac:dyDescent="0.2">
      <c r="A452" s="27"/>
      <c r="B452" s="1"/>
      <c r="C452" s="6"/>
      <c r="D452" s="1"/>
      <c r="E452" s="7"/>
      <c r="F452" s="8"/>
      <c r="G452" s="3" t="str" cm="1">
        <f t="array" ref="G452">IF(ISBLANK(F452), "", IFERROR(_xlfn.IFS(LEFT(F452,1)="+", (VALUE(MID(F452,2,LEN(F452)))+100)/100, VALUE(F452)&gt;0, (F452+100)/100, VALUE(F452)&lt;0, (ABS(F452)+100)/ABS(F452), F452=0, 0), ""))</f>
        <v/>
      </c>
      <c r="H452" s="1"/>
      <c r="I452" s="4" t="str">
        <f>IF(Bet_Log[[#This Row],[Result ]]="", "", IF(Bet_Log[[#This Row],[Result ]]="Win", Bet_Log[[#This Row],[Stake]]*Bet_Log[[#This Row],[Decimal]]-Bet_Log[[#This Row],[Stake]], IF(Bet_Log[[#This Row],[Result ]]="Loss", -Bet_Log[[#This Row],[Stake]], IF(Bet_Log[[#This Row],[Result ]]="Push", 0, ""))))</f>
        <v/>
      </c>
      <c r="J452" s="2" t="str">
        <f>IF(Bet_Log[[#This Row],[Return]]="", "", J451 + Bet_Log[[#This Row],[Return]])</f>
        <v/>
      </c>
      <c r="K452" s="9"/>
    </row>
    <row r="453" spans="1:11" x14ac:dyDescent="0.2">
      <c r="A453" s="27"/>
      <c r="B453" s="1"/>
      <c r="C453" s="6"/>
      <c r="D453" s="1"/>
      <c r="E453" s="7"/>
      <c r="F453" s="8"/>
      <c r="G453" s="3" t="str" cm="1">
        <f t="array" ref="G453">IF(ISBLANK(F453), "", IFERROR(_xlfn.IFS(LEFT(F453,1)="+", (VALUE(MID(F453,2,LEN(F453)))+100)/100, VALUE(F453)&gt;0, (F453+100)/100, VALUE(F453)&lt;0, (ABS(F453)+100)/ABS(F453), F453=0, 0), ""))</f>
        <v/>
      </c>
      <c r="H453" s="1"/>
      <c r="I453" s="4" t="str">
        <f>IF(Bet_Log[[#This Row],[Result ]]="", "", IF(Bet_Log[[#This Row],[Result ]]="Win", Bet_Log[[#This Row],[Stake]]*Bet_Log[[#This Row],[Decimal]]-Bet_Log[[#This Row],[Stake]], IF(Bet_Log[[#This Row],[Result ]]="Loss", -Bet_Log[[#This Row],[Stake]], IF(Bet_Log[[#This Row],[Result ]]="Push", 0, ""))))</f>
        <v/>
      </c>
      <c r="J453" s="2" t="str">
        <f>IF(Bet_Log[[#This Row],[Return]]="", "", J452 + Bet_Log[[#This Row],[Return]])</f>
        <v/>
      </c>
      <c r="K453" s="9"/>
    </row>
    <row r="454" spans="1:11" x14ac:dyDescent="0.2">
      <c r="A454" s="27"/>
      <c r="B454" s="1"/>
      <c r="C454" s="6"/>
      <c r="D454" s="1"/>
      <c r="E454" s="7"/>
      <c r="F454" s="8"/>
      <c r="G454" s="3" t="str" cm="1">
        <f t="array" ref="G454">IF(ISBLANK(F454), "", IFERROR(_xlfn.IFS(LEFT(F454,1)="+", (VALUE(MID(F454,2,LEN(F454)))+100)/100, VALUE(F454)&gt;0, (F454+100)/100, VALUE(F454)&lt;0, (ABS(F454)+100)/ABS(F454), F454=0, 0), ""))</f>
        <v/>
      </c>
      <c r="H454" s="1"/>
      <c r="I454" s="4" t="str">
        <f>IF(Bet_Log[[#This Row],[Result ]]="", "", IF(Bet_Log[[#This Row],[Result ]]="Win", Bet_Log[[#This Row],[Stake]]*Bet_Log[[#This Row],[Decimal]]-Bet_Log[[#This Row],[Stake]], IF(Bet_Log[[#This Row],[Result ]]="Loss", -Bet_Log[[#This Row],[Stake]], IF(Bet_Log[[#This Row],[Result ]]="Push", 0, ""))))</f>
        <v/>
      </c>
      <c r="J454" s="2" t="str">
        <f>IF(Bet_Log[[#This Row],[Return]]="", "", J453 + Bet_Log[[#This Row],[Return]])</f>
        <v/>
      </c>
      <c r="K454" s="9"/>
    </row>
    <row r="455" spans="1:11" x14ac:dyDescent="0.2">
      <c r="A455" s="27"/>
      <c r="B455" s="1"/>
      <c r="C455" s="6"/>
      <c r="D455" s="1"/>
      <c r="E455" s="7"/>
      <c r="F455" s="8"/>
      <c r="G455" s="3" t="str" cm="1">
        <f t="array" ref="G455">IF(ISBLANK(F455), "", IFERROR(_xlfn.IFS(LEFT(F455,1)="+", (VALUE(MID(F455,2,LEN(F455)))+100)/100, VALUE(F455)&gt;0, (F455+100)/100, VALUE(F455)&lt;0, (ABS(F455)+100)/ABS(F455), F455=0, 0), ""))</f>
        <v/>
      </c>
      <c r="H455" s="1"/>
      <c r="I455" s="4" t="str">
        <f>IF(Bet_Log[[#This Row],[Result ]]="", "", IF(Bet_Log[[#This Row],[Result ]]="Win", Bet_Log[[#This Row],[Stake]]*Bet_Log[[#This Row],[Decimal]]-Bet_Log[[#This Row],[Stake]], IF(Bet_Log[[#This Row],[Result ]]="Loss", -Bet_Log[[#This Row],[Stake]], IF(Bet_Log[[#This Row],[Result ]]="Push", 0, ""))))</f>
        <v/>
      </c>
      <c r="J455" s="2" t="str">
        <f>IF(Bet_Log[[#This Row],[Return]]="", "", J454 + Bet_Log[[#This Row],[Return]])</f>
        <v/>
      </c>
      <c r="K455" s="9"/>
    </row>
    <row r="456" spans="1:11" x14ac:dyDescent="0.2">
      <c r="A456" s="27"/>
      <c r="B456" s="1"/>
      <c r="C456" s="6"/>
      <c r="D456" s="1"/>
      <c r="E456" s="7"/>
      <c r="F456" s="8"/>
      <c r="G456" s="3" t="str" cm="1">
        <f t="array" ref="G456">IF(ISBLANK(F456), "", IFERROR(_xlfn.IFS(LEFT(F456,1)="+", (VALUE(MID(F456,2,LEN(F456)))+100)/100, VALUE(F456)&gt;0, (F456+100)/100, VALUE(F456)&lt;0, (ABS(F456)+100)/ABS(F456), F456=0, 0), ""))</f>
        <v/>
      </c>
      <c r="H456" s="1"/>
      <c r="I456" s="4" t="str">
        <f>IF(Bet_Log[[#This Row],[Result ]]="", "", IF(Bet_Log[[#This Row],[Result ]]="Win", Bet_Log[[#This Row],[Stake]]*Bet_Log[[#This Row],[Decimal]]-Bet_Log[[#This Row],[Stake]], IF(Bet_Log[[#This Row],[Result ]]="Loss", -Bet_Log[[#This Row],[Stake]], IF(Bet_Log[[#This Row],[Result ]]="Push", 0, ""))))</f>
        <v/>
      </c>
      <c r="J456" s="2" t="str">
        <f>IF(Bet_Log[[#This Row],[Return]]="", "", J455 + Bet_Log[[#This Row],[Return]])</f>
        <v/>
      </c>
      <c r="K456" s="9"/>
    </row>
    <row r="457" spans="1:11" x14ac:dyDescent="0.2">
      <c r="A457" s="27"/>
      <c r="B457" s="1"/>
      <c r="C457" s="6"/>
      <c r="D457" s="1"/>
      <c r="E457" s="7"/>
      <c r="F457" s="8"/>
      <c r="G457" s="3" t="str" cm="1">
        <f t="array" ref="G457">IF(ISBLANK(F457), "", IFERROR(_xlfn.IFS(LEFT(F457,1)="+", (VALUE(MID(F457,2,LEN(F457)))+100)/100, VALUE(F457)&gt;0, (F457+100)/100, VALUE(F457)&lt;0, (ABS(F457)+100)/ABS(F457), F457=0, 0), ""))</f>
        <v/>
      </c>
      <c r="H457" s="1"/>
      <c r="I457" s="4" t="str">
        <f>IF(Bet_Log[[#This Row],[Result ]]="", "", IF(Bet_Log[[#This Row],[Result ]]="Win", Bet_Log[[#This Row],[Stake]]*Bet_Log[[#This Row],[Decimal]]-Bet_Log[[#This Row],[Stake]], IF(Bet_Log[[#This Row],[Result ]]="Loss", -Bet_Log[[#This Row],[Stake]], IF(Bet_Log[[#This Row],[Result ]]="Push", 0, ""))))</f>
        <v/>
      </c>
      <c r="J457" s="2" t="str">
        <f>IF(Bet_Log[[#This Row],[Return]]="", "", J456 + Bet_Log[[#This Row],[Return]])</f>
        <v/>
      </c>
      <c r="K457" s="9"/>
    </row>
    <row r="458" spans="1:11" x14ac:dyDescent="0.2">
      <c r="A458" s="27"/>
      <c r="B458" s="1"/>
      <c r="C458" s="6"/>
      <c r="D458" s="1"/>
      <c r="E458" s="7"/>
      <c r="F458" s="8"/>
      <c r="G458" s="3" t="str" cm="1">
        <f t="array" ref="G458">IF(ISBLANK(F458), "", IFERROR(_xlfn.IFS(LEFT(F458,1)="+", (VALUE(MID(F458,2,LEN(F458)))+100)/100, VALUE(F458)&gt;0, (F458+100)/100, VALUE(F458)&lt;0, (ABS(F458)+100)/ABS(F458), F458=0, 0), ""))</f>
        <v/>
      </c>
      <c r="H458" s="1"/>
      <c r="I458" s="4" t="str">
        <f>IF(Bet_Log[[#This Row],[Result ]]="", "", IF(Bet_Log[[#This Row],[Result ]]="Win", Bet_Log[[#This Row],[Stake]]*Bet_Log[[#This Row],[Decimal]]-Bet_Log[[#This Row],[Stake]], IF(Bet_Log[[#This Row],[Result ]]="Loss", -Bet_Log[[#This Row],[Stake]], IF(Bet_Log[[#This Row],[Result ]]="Push", 0, ""))))</f>
        <v/>
      </c>
      <c r="J458" s="2" t="str">
        <f>IF(Bet_Log[[#This Row],[Return]]="", "", J457 + Bet_Log[[#This Row],[Return]])</f>
        <v/>
      </c>
      <c r="K458" s="9"/>
    </row>
    <row r="459" spans="1:11" x14ac:dyDescent="0.2">
      <c r="A459" s="27"/>
      <c r="B459" s="1"/>
      <c r="C459" s="6"/>
      <c r="D459" s="1"/>
      <c r="E459" s="7"/>
      <c r="F459" s="8"/>
      <c r="G459" s="3" t="str" cm="1">
        <f t="array" ref="G459">IF(ISBLANK(F459), "", IFERROR(_xlfn.IFS(LEFT(F459,1)="+", (VALUE(MID(F459,2,LEN(F459)))+100)/100, VALUE(F459)&gt;0, (F459+100)/100, VALUE(F459)&lt;0, (ABS(F459)+100)/ABS(F459), F459=0, 0), ""))</f>
        <v/>
      </c>
      <c r="H459" s="1"/>
      <c r="I459" s="4" t="str">
        <f>IF(Bet_Log[[#This Row],[Result ]]="", "", IF(Bet_Log[[#This Row],[Result ]]="Win", Bet_Log[[#This Row],[Stake]]*Bet_Log[[#This Row],[Decimal]]-Bet_Log[[#This Row],[Stake]], IF(Bet_Log[[#This Row],[Result ]]="Loss", -Bet_Log[[#This Row],[Stake]], IF(Bet_Log[[#This Row],[Result ]]="Push", 0, ""))))</f>
        <v/>
      </c>
      <c r="J459" s="2" t="str">
        <f>IF(Bet_Log[[#This Row],[Return]]="", "", J458 + Bet_Log[[#This Row],[Return]])</f>
        <v/>
      </c>
      <c r="K459" s="9"/>
    </row>
    <row r="460" spans="1:11" x14ac:dyDescent="0.2">
      <c r="A460" s="27"/>
      <c r="B460" s="1"/>
      <c r="C460" s="6"/>
      <c r="D460" s="1"/>
      <c r="E460" s="7"/>
      <c r="F460" s="8"/>
      <c r="G460" s="3" t="str" cm="1">
        <f t="array" ref="G460">IF(ISBLANK(F460), "", IFERROR(_xlfn.IFS(LEFT(F460,1)="+", (VALUE(MID(F460,2,LEN(F460)))+100)/100, VALUE(F460)&gt;0, (F460+100)/100, VALUE(F460)&lt;0, (ABS(F460)+100)/ABS(F460), F460=0, 0), ""))</f>
        <v/>
      </c>
      <c r="H460" s="1"/>
      <c r="I460" s="4" t="str">
        <f>IF(Bet_Log[[#This Row],[Result ]]="", "", IF(Bet_Log[[#This Row],[Result ]]="Win", Bet_Log[[#This Row],[Stake]]*Bet_Log[[#This Row],[Decimal]]-Bet_Log[[#This Row],[Stake]], IF(Bet_Log[[#This Row],[Result ]]="Loss", -Bet_Log[[#This Row],[Stake]], IF(Bet_Log[[#This Row],[Result ]]="Push", 0, ""))))</f>
        <v/>
      </c>
      <c r="J460" s="2" t="str">
        <f>IF(Bet_Log[[#This Row],[Return]]="", "", J459 + Bet_Log[[#This Row],[Return]])</f>
        <v/>
      </c>
      <c r="K460" s="9"/>
    </row>
    <row r="461" spans="1:11" x14ac:dyDescent="0.2">
      <c r="A461" s="27"/>
      <c r="B461" s="1"/>
      <c r="C461" s="6"/>
      <c r="D461" s="1"/>
      <c r="E461" s="7"/>
      <c r="F461" s="8"/>
      <c r="G461" s="3" t="str" cm="1">
        <f t="array" ref="G461">IF(ISBLANK(F461), "", IFERROR(_xlfn.IFS(LEFT(F461,1)="+", (VALUE(MID(F461,2,LEN(F461)))+100)/100, VALUE(F461)&gt;0, (F461+100)/100, VALUE(F461)&lt;0, (ABS(F461)+100)/ABS(F461), F461=0, 0), ""))</f>
        <v/>
      </c>
      <c r="H461" s="1"/>
      <c r="I461" s="4" t="str">
        <f>IF(Bet_Log[[#This Row],[Result ]]="", "", IF(Bet_Log[[#This Row],[Result ]]="Win", Bet_Log[[#This Row],[Stake]]*Bet_Log[[#This Row],[Decimal]]-Bet_Log[[#This Row],[Stake]], IF(Bet_Log[[#This Row],[Result ]]="Loss", -Bet_Log[[#This Row],[Stake]], IF(Bet_Log[[#This Row],[Result ]]="Push", 0, ""))))</f>
        <v/>
      </c>
      <c r="J461" s="2" t="str">
        <f>IF(Bet_Log[[#This Row],[Return]]="", "", J460 + Bet_Log[[#This Row],[Return]])</f>
        <v/>
      </c>
      <c r="K461" s="9"/>
    </row>
    <row r="462" spans="1:11" x14ac:dyDescent="0.2">
      <c r="A462" s="27"/>
      <c r="B462" s="1"/>
      <c r="C462" s="6"/>
      <c r="D462" s="1"/>
      <c r="E462" s="7"/>
      <c r="F462" s="8"/>
      <c r="G462" s="3" t="str" cm="1">
        <f t="array" ref="G462">IF(ISBLANK(F462), "", IFERROR(_xlfn.IFS(LEFT(F462,1)="+", (VALUE(MID(F462,2,LEN(F462)))+100)/100, VALUE(F462)&gt;0, (F462+100)/100, VALUE(F462)&lt;0, (ABS(F462)+100)/ABS(F462), F462=0, 0), ""))</f>
        <v/>
      </c>
      <c r="H462" s="1"/>
      <c r="I462" s="4" t="str">
        <f>IF(Bet_Log[[#This Row],[Result ]]="", "", IF(Bet_Log[[#This Row],[Result ]]="Win", Bet_Log[[#This Row],[Stake]]*Bet_Log[[#This Row],[Decimal]]-Bet_Log[[#This Row],[Stake]], IF(Bet_Log[[#This Row],[Result ]]="Loss", -Bet_Log[[#This Row],[Stake]], IF(Bet_Log[[#This Row],[Result ]]="Push", 0, ""))))</f>
        <v/>
      </c>
      <c r="J462" s="2" t="str">
        <f>IF(Bet_Log[[#This Row],[Return]]="", "", J461 + Bet_Log[[#This Row],[Return]])</f>
        <v/>
      </c>
      <c r="K462" s="9"/>
    </row>
    <row r="463" spans="1:11" x14ac:dyDescent="0.2">
      <c r="A463" s="27"/>
      <c r="B463" s="1"/>
      <c r="C463" s="6"/>
      <c r="D463" s="1"/>
      <c r="E463" s="7"/>
      <c r="F463" s="8"/>
      <c r="G463" s="3" t="str" cm="1">
        <f t="array" ref="G463">IF(ISBLANK(F463), "", IFERROR(_xlfn.IFS(LEFT(F463,1)="+", (VALUE(MID(F463,2,LEN(F463)))+100)/100, VALUE(F463)&gt;0, (F463+100)/100, VALUE(F463)&lt;0, (ABS(F463)+100)/ABS(F463), F463=0, 0), ""))</f>
        <v/>
      </c>
      <c r="H463" s="1"/>
      <c r="I463" s="4" t="str">
        <f>IF(Bet_Log[[#This Row],[Result ]]="", "", IF(Bet_Log[[#This Row],[Result ]]="Win", Bet_Log[[#This Row],[Stake]]*Bet_Log[[#This Row],[Decimal]]-Bet_Log[[#This Row],[Stake]], IF(Bet_Log[[#This Row],[Result ]]="Loss", -Bet_Log[[#This Row],[Stake]], IF(Bet_Log[[#This Row],[Result ]]="Push", 0, ""))))</f>
        <v/>
      </c>
      <c r="J463" s="2" t="str">
        <f>IF(Bet_Log[[#This Row],[Return]]="", "", J462 + Bet_Log[[#This Row],[Return]])</f>
        <v/>
      </c>
      <c r="K463" s="9"/>
    </row>
    <row r="464" spans="1:11" x14ac:dyDescent="0.2">
      <c r="A464" s="27"/>
      <c r="B464" s="1"/>
      <c r="C464" s="6"/>
      <c r="D464" s="1"/>
      <c r="E464" s="7"/>
      <c r="F464" s="8"/>
      <c r="G464" s="3" t="str" cm="1">
        <f t="array" ref="G464">IF(ISBLANK(F464), "", IFERROR(_xlfn.IFS(LEFT(F464,1)="+", (VALUE(MID(F464,2,LEN(F464)))+100)/100, VALUE(F464)&gt;0, (F464+100)/100, VALUE(F464)&lt;0, (ABS(F464)+100)/ABS(F464), F464=0, 0), ""))</f>
        <v/>
      </c>
      <c r="H464" s="1"/>
      <c r="I464" s="4" t="str">
        <f>IF(Bet_Log[[#This Row],[Result ]]="", "", IF(Bet_Log[[#This Row],[Result ]]="Win", Bet_Log[[#This Row],[Stake]]*Bet_Log[[#This Row],[Decimal]]-Bet_Log[[#This Row],[Stake]], IF(Bet_Log[[#This Row],[Result ]]="Loss", -Bet_Log[[#This Row],[Stake]], IF(Bet_Log[[#This Row],[Result ]]="Push", 0, ""))))</f>
        <v/>
      </c>
      <c r="J464" s="2" t="str">
        <f>IF(Bet_Log[[#This Row],[Return]]="", "", J463 + Bet_Log[[#This Row],[Return]])</f>
        <v/>
      </c>
      <c r="K464" s="9"/>
    </row>
    <row r="465" spans="1:11" x14ac:dyDescent="0.2">
      <c r="A465" s="27"/>
      <c r="B465" s="1"/>
      <c r="C465" s="6"/>
      <c r="D465" s="1"/>
      <c r="E465" s="7"/>
      <c r="F465" s="8"/>
      <c r="G465" s="3" t="str" cm="1">
        <f t="array" ref="G465">IF(ISBLANK(F465), "", IFERROR(_xlfn.IFS(LEFT(F465,1)="+", (VALUE(MID(F465,2,LEN(F465)))+100)/100, VALUE(F465)&gt;0, (F465+100)/100, VALUE(F465)&lt;0, (ABS(F465)+100)/ABS(F465), F465=0, 0), ""))</f>
        <v/>
      </c>
      <c r="H465" s="1"/>
      <c r="I465" s="4" t="str">
        <f>IF(Bet_Log[[#This Row],[Result ]]="", "", IF(Bet_Log[[#This Row],[Result ]]="Win", Bet_Log[[#This Row],[Stake]]*Bet_Log[[#This Row],[Decimal]]-Bet_Log[[#This Row],[Stake]], IF(Bet_Log[[#This Row],[Result ]]="Loss", -Bet_Log[[#This Row],[Stake]], IF(Bet_Log[[#This Row],[Result ]]="Push", 0, ""))))</f>
        <v/>
      </c>
      <c r="J465" s="2" t="str">
        <f>IF(Bet_Log[[#This Row],[Return]]="", "", J464 + Bet_Log[[#This Row],[Return]])</f>
        <v/>
      </c>
      <c r="K465" s="9"/>
    </row>
    <row r="466" spans="1:11" x14ac:dyDescent="0.2">
      <c r="A466" s="27"/>
      <c r="B466" s="1"/>
      <c r="C466" s="6"/>
      <c r="D466" s="1"/>
      <c r="E466" s="7"/>
      <c r="F466" s="8"/>
      <c r="G466" s="3" t="str" cm="1">
        <f t="array" ref="G466">IF(ISBLANK(F466), "", IFERROR(_xlfn.IFS(LEFT(F466,1)="+", (VALUE(MID(F466,2,LEN(F466)))+100)/100, VALUE(F466)&gt;0, (F466+100)/100, VALUE(F466)&lt;0, (ABS(F466)+100)/ABS(F466), F466=0, 0), ""))</f>
        <v/>
      </c>
      <c r="H466" s="1"/>
      <c r="I466" s="4" t="str">
        <f>IF(Bet_Log[[#This Row],[Result ]]="", "", IF(Bet_Log[[#This Row],[Result ]]="Win", Bet_Log[[#This Row],[Stake]]*Bet_Log[[#This Row],[Decimal]]-Bet_Log[[#This Row],[Stake]], IF(Bet_Log[[#This Row],[Result ]]="Loss", -Bet_Log[[#This Row],[Stake]], IF(Bet_Log[[#This Row],[Result ]]="Push", 0, ""))))</f>
        <v/>
      </c>
      <c r="J466" s="2" t="str">
        <f>IF(Bet_Log[[#This Row],[Return]]="", "", J465 + Bet_Log[[#This Row],[Return]])</f>
        <v/>
      </c>
      <c r="K466" s="9"/>
    </row>
    <row r="467" spans="1:11" x14ac:dyDescent="0.2">
      <c r="A467" s="27"/>
      <c r="B467" s="1"/>
      <c r="C467" s="6"/>
      <c r="D467" s="1"/>
      <c r="E467" s="7"/>
      <c r="F467" s="8"/>
      <c r="G467" s="3" t="str" cm="1">
        <f t="array" ref="G467">IF(ISBLANK(F467), "", IFERROR(_xlfn.IFS(LEFT(F467,1)="+", (VALUE(MID(F467,2,LEN(F467)))+100)/100, VALUE(F467)&gt;0, (F467+100)/100, VALUE(F467)&lt;0, (ABS(F467)+100)/ABS(F467), F467=0, 0), ""))</f>
        <v/>
      </c>
      <c r="H467" s="1"/>
      <c r="I467" s="4" t="str">
        <f>IF(Bet_Log[[#This Row],[Result ]]="", "", IF(Bet_Log[[#This Row],[Result ]]="Win", Bet_Log[[#This Row],[Stake]]*Bet_Log[[#This Row],[Decimal]]-Bet_Log[[#This Row],[Stake]], IF(Bet_Log[[#This Row],[Result ]]="Loss", -Bet_Log[[#This Row],[Stake]], IF(Bet_Log[[#This Row],[Result ]]="Push", 0, ""))))</f>
        <v/>
      </c>
      <c r="J467" s="2" t="str">
        <f>IF(Bet_Log[[#This Row],[Return]]="", "", J466 + Bet_Log[[#This Row],[Return]])</f>
        <v/>
      </c>
      <c r="K467" s="9"/>
    </row>
    <row r="468" spans="1:11" x14ac:dyDescent="0.2">
      <c r="A468" s="27"/>
      <c r="B468" s="1"/>
      <c r="C468" s="6"/>
      <c r="D468" s="1"/>
      <c r="E468" s="7"/>
      <c r="F468" s="8"/>
      <c r="G468" s="3" t="str" cm="1">
        <f t="array" ref="G468">IF(ISBLANK(F468), "", IFERROR(_xlfn.IFS(LEFT(F468,1)="+", (VALUE(MID(F468,2,LEN(F468)))+100)/100, VALUE(F468)&gt;0, (F468+100)/100, VALUE(F468)&lt;0, (ABS(F468)+100)/ABS(F468), F468=0, 0), ""))</f>
        <v/>
      </c>
      <c r="H468" s="1"/>
      <c r="I468" s="4" t="str">
        <f>IF(Bet_Log[[#This Row],[Result ]]="", "", IF(Bet_Log[[#This Row],[Result ]]="Win", Bet_Log[[#This Row],[Stake]]*Bet_Log[[#This Row],[Decimal]]-Bet_Log[[#This Row],[Stake]], IF(Bet_Log[[#This Row],[Result ]]="Loss", -Bet_Log[[#This Row],[Stake]], IF(Bet_Log[[#This Row],[Result ]]="Push", 0, ""))))</f>
        <v/>
      </c>
      <c r="J468" s="2" t="str">
        <f>IF(Bet_Log[[#This Row],[Return]]="", "", J467 + Bet_Log[[#This Row],[Return]])</f>
        <v/>
      </c>
      <c r="K468" s="9"/>
    </row>
    <row r="469" spans="1:11" x14ac:dyDescent="0.2">
      <c r="A469" s="27"/>
      <c r="B469" s="1"/>
      <c r="C469" s="6"/>
      <c r="D469" s="1"/>
      <c r="E469" s="7"/>
      <c r="F469" s="8"/>
      <c r="G469" s="3" t="str" cm="1">
        <f t="array" ref="G469">IF(ISBLANK(F469), "", IFERROR(_xlfn.IFS(LEFT(F469,1)="+", (VALUE(MID(F469,2,LEN(F469)))+100)/100, VALUE(F469)&gt;0, (F469+100)/100, VALUE(F469)&lt;0, (ABS(F469)+100)/ABS(F469), F469=0, 0), ""))</f>
        <v/>
      </c>
      <c r="H469" s="1"/>
      <c r="I469" s="4" t="str">
        <f>IF(Bet_Log[[#This Row],[Result ]]="", "", IF(Bet_Log[[#This Row],[Result ]]="Win", Bet_Log[[#This Row],[Stake]]*Bet_Log[[#This Row],[Decimal]]-Bet_Log[[#This Row],[Stake]], IF(Bet_Log[[#This Row],[Result ]]="Loss", -Bet_Log[[#This Row],[Stake]], IF(Bet_Log[[#This Row],[Result ]]="Push", 0, ""))))</f>
        <v/>
      </c>
      <c r="J469" s="2" t="str">
        <f>IF(Bet_Log[[#This Row],[Return]]="", "", J468 + Bet_Log[[#This Row],[Return]])</f>
        <v/>
      </c>
      <c r="K469" s="9"/>
    </row>
    <row r="470" spans="1:11" x14ac:dyDescent="0.2">
      <c r="A470" s="27"/>
      <c r="B470" s="1"/>
      <c r="C470" s="6"/>
      <c r="D470" s="1"/>
      <c r="E470" s="7"/>
      <c r="F470" s="8"/>
      <c r="G470" s="3" t="str" cm="1">
        <f t="array" ref="G470">IF(ISBLANK(F470), "", IFERROR(_xlfn.IFS(LEFT(F470,1)="+", (VALUE(MID(F470,2,LEN(F470)))+100)/100, VALUE(F470)&gt;0, (F470+100)/100, VALUE(F470)&lt;0, (ABS(F470)+100)/ABS(F470), F470=0, 0), ""))</f>
        <v/>
      </c>
      <c r="H470" s="1"/>
      <c r="I470" s="4" t="str">
        <f>IF(Bet_Log[[#This Row],[Result ]]="", "", IF(Bet_Log[[#This Row],[Result ]]="Win", Bet_Log[[#This Row],[Stake]]*Bet_Log[[#This Row],[Decimal]]-Bet_Log[[#This Row],[Stake]], IF(Bet_Log[[#This Row],[Result ]]="Loss", -Bet_Log[[#This Row],[Stake]], IF(Bet_Log[[#This Row],[Result ]]="Push", 0, ""))))</f>
        <v/>
      </c>
      <c r="J470" s="2" t="str">
        <f>IF(Bet_Log[[#This Row],[Return]]="", "", J469 + Bet_Log[[#This Row],[Return]])</f>
        <v/>
      </c>
      <c r="K470" s="9"/>
    </row>
    <row r="471" spans="1:11" x14ac:dyDescent="0.2">
      <c r="A471" s="27"/>
      <c r="B471" s="1"/>
      <c r="C471" s="6"/>
      <c r="D471" s="1"/>
      <c r="E471" s="7"/>
      <c r="F471" s="8"/>
      <c r="G471" s="3" t="str" cm="1">
        <f t="array" ref="G471">IF(ISBLANK(F471), "", IFERROR(_xlfn.IFS(LEFT(F471,1)="+", (VALUE(MID(F471,2,LEN(F471)))+100)/100, VALUE(F471)&gt;0, (F471+100)/100, VALUE(F471)&lt;0, (ABS(F471)+100)/ABS(F471), F471=0, 0), ""))</f>
        <v/>
      </c>
      <c r="H471" s="1"/>
      <c r="I471" s="4" t="str">
        <f>IF(Bet_Log[[#This Row],[Result ]]="", "", IF(Bet_Log[[#This Row],[Result ]]="Win", Bet_Log[[#This Row],[Stake]]*Bet_Log[[#This Row],[Decimal]]-Bet_Log[[#This Row],[Stake]], IF(Bet_Log[[#This Row],[Result ]]="Loss", -Bet_Log[[#This Row],[Stake]], IF(Bet_Log[[#This Row],[Result ]]="Push", 0, ""))))</f>
        <v/>
      </c>
      <c r="J471" s="2" t="str">
        <f>IF(Bet_Log[[#This Row],[Return]]="", "", J470 + Bet_Log[[#This Row],[Return]])</f>
        <v/>
      </c>
      <c r="K471" s="9"/>
    </row>
    <row r="472" spans="1:11" x14ac:dyDescent="0.2">
      <c r="A472" s="27"/>
      <c r="B472" s="1"/>
      <c r="C472" s="6"/>
      <c r="D472" s="1"/>
      <c r="E472" s="7"/>
      <c r="F472" s="8"/>
      <c r="G472" s="3" t="str" cm="1">
        <f t="array" ref="G472">IF(ISBLANK(F472), "", IFERROR(_xlfn.IFS(LEFT(F472,1)="+", (VALUE(MID(F472,2,LEN(F472)))+100)/100, VALUE(F472)&gt;0, (F472+100)/100, VALUE(F472)&lt;0, (ABS(F472)+100)/ABS(F472), F472=0, 0), ""))</f>
        <v/>
      </c>
      <c r="H472" s="1"/>
      <c r="I472" s="4" t="str">
        <f>IF(Bet_Log[[#This Row],[Result ]]="", "", IF(Bet_Log[[#This Row],[Result ]]="Win", Bet_Log[[#This Row],[Stake]]*Bet_Log[[#This Row],[Decimal]]-Bet_Log[[#This Row],[Stake]], IF(Bet_Log[[#This Row],[Result ]]="Loss", -Bet_Log[[#This Row],[Stake]], IF(Bet_Log[[#This Row],[Result ]]="Push", 0, ""))))</f>
        <v/>
      </c>
      <c r="J472" s="2" t="str">
        <f>IF(Bet_Log[[#This Row],[Return]]="", "", J471 + Bet_Log[[#This Row],[Return]])</f>
        <v/>
      </c>
      <c r="K472" s="9"/>
    </row>
    <row r="473" spans="1:11" x14ac:dyDescent="0.2">
      <c r="A473" s="27"/>
      <c r="B473" s="1"/>
      <c r="C473" s="6"/>
      <c r="D473" s="1"/>
      <c r="E473" s="7"/>
      <c r="F473" s="8"/>
      <c r="G473" s="3" t="str" cm="1">
        <f t="array" ref="G473">IF(ISBLANK(F473), "", IFERROR(_xlfn.IFS(LEFT(F473,1)="+", (VALUE(MID(F473,2,LEN(F473)))+100)/100, VALUE(F473)&gt;0, (F473+100)/100, VALUE(F473)&lt;0, (ABS(F473)+100)/ABS(F473), F473=0, 0), ""))</f>
        <v/>
      </c>
      <c r="H473" s="1"/>
      <c r="I473" s="4" t="str">
        <f>IF(Bet_Log[[#This Row],[Result ]]="", "", IF(Bet_Log[[#This Row],[Result ]]="Win", Bet_Log[[#This Row],[Stake]]*Bet_Log[[#This Row],[Decimal]]-Bet_Log[[#This Row],[Stake]], IF(Bet_Log[[#This Row],[Result ]]="Loss", -Bet_Log[[#This Row],[Stake]], IF(Bet_Log[[#This Row],[Result ]]="Push", 0, ""))))</f>
        <v/>
      </c>
      <c r="J473" s="2" t="str">
        <f>IF(Bet_Log[[#This Row],[Return]]="", "", J472 + Bet_Log[[#This Row],[Return]])</f>
        <v/>
      </c>
      <c r="K473" s="9"/>
    </row>
    <row r="474" spans="1:11" x14ac:dyDescent="0.2">
      <c r="A474" s="27"/>
      <c r="B474" s="1"/>
      <c r="C474" s="6"/>
      <c r="D474" s="1"/>
      <c r="E474" s="7"/>
      <c r="F474" s="8"/>
      <c r="G474" s="3" t="str" cm="1">
        <f t="array" ref="G474">IF(ISBLANK(F474), "", IFERROR(_xlfn.IFS(LEFT(F474,1)="+", (VALUE(MID(F474,2,LEN(F474)))+100)/100, VALUE(F474)&gt;0, (F474+100)/100, VALUE(F474)&lt;0, (ABS(F474)+100)/ABS(F474), F474=0, 0), ""))</f>
        <v/>
      </c>
      <c r="H474" s="1"/>
      <c r="I474" s="4" t="str">
        <f>IF(Bet_Log[[#This Row],[Result ]]="", "", IF(Bet_Log[[#This Row],[Result ]]="Win", Bet_Log[[#This Row],[Stake]]*Bet_Log[[#This Row],[Decimal]]-Bet_Log[[#This Row],[Stake]], IF(Bet_Log[[#This Row],[Result ]]="Loss", -Bet_Log[[#This Row],[Stake]], IF(Bet_Log[[#This Row],[Result ]]="Push", 0, ""))))</f>
        <v/>
      </c>
      <c r="J474" s="2" t="str">
        <f>IF(Bet_Log[[#This Row],[Return]]="", "", J473 + Bet_Log[[#This Row],[Return]])</f>
        <v/>
      </c>
      <c r="K474" s="9"/>
    </row>
    <row r="475" spans="1:11" x14ac:dyDescent="0.2">
      <c r="A475" s="27"/>
      <c r="B475" s="1"/>
      <c r="C475" s="6"/>
      <c r="D475" s="1"/>
      <c r="E475" s="7"/>
      <c r="F475" s="8"/>
      <c r="G475" s="3" t="str" cm="1">
        <f t="array" ref="G475">IF(ISBLANK(F475), "", IFERROR(_xlfn.IFS(LEFT(F475,1)="+", (VALUE(MID(F475,2,LEN(F475)))+100)/100, VALUE(F475)&gt;0, (F475+100)/100, VALUE(F475)&lt;0, (ABS(F475)+100)/ABS(F475), F475=0, 0), ""))</f>
        <v/>
      </c>
      <c r="H475" s="1"/>
      <c r="I475" s="4" t="str">
        <f>IF(Bet_Log[[#This Row],[Result ]]="", "", IF(Bet_Log[[#This Row],[Result ]]="Win", Bet_Log[[#This Row],[Stake]]*Bet_Log[[#This Row],[Decimal]]-Bet_Log[[#This Row],[Stake]], IF(Bet_Log[[#This Row],[Result ]]="Loss", -Bet_Log[[#This Row],[Stake]], IF(Bet_Log[[#This Row],[Result ]]="Push", 0, ""))))</f>
        <v/>
      </c>
      <c r="J475" s="2" t="str">
        <f>IF(Bet_Log[[#This Row],[Return]]="", "", J474 + Bet_Log[[#This Row],[Return]])</f>
        <v/>
      </c>
      <c r="K475" s="9"/>
    </row>
    <row r="476" spans="1:11" x14ac:dyDescent="0.2">
      <c r="A476" s="27"/>
      <c r="B476" s="1"/>
      <c r="C476" s="6"/>
      <c r="D476" s="1"/>
      <c r="E476" s="7"/>
      <c r="F476" s="8"/>
      <c r="G476" s="3" t="str" cm="1">
        <f t="array" ref="G476">IF(ISBLANK(F476), "", IFERROR(_xlfn.IFS(LEFT(F476,1)="+", (VALUE(MID(F476,2,LEN(F476)))+100)/100, VALUE(F476)&gt;0, (F476+100)/100, VALUE(F476)&lt;0, (ABS(F476)+100)/ABS(F476), F476=0, 0), ""))</f>
        <v/>
      </c>
      <c r="H476" s="1"/>
      <c r="I476" s="4" t="str">
        <f>IF(Bet_Log[[#This Row],[Result ]]="", "", IF(Bet_Log[[#This Row],[Result ]]="Win", Bet_Log[[#This Row],[Stake]]*Bet_Log[[#This Row],[Decimal]]-Bet_Log[[#This Row],[Stake]], IF(Bet_Log[[#This Row],[Result ]]="Loss", -Bet_Log[[#This Row],[Stake]], IF(Bet_Log[[#This Row],[Result ]]="Push", 0, ""))))</f>
        <v/>
      </c>
      <c r="J476" s="2" t="str">
        <f>IF(Bet_Log[[#This Row],[Return]]="", "", J475 + Bet_Log[[#This Row],[Return]])</f>
        <v/>
      </c>
      <c r="K476" s="9"/>
    </row>
    <row r="477" spans="1:11" x14ac:dyDescent="0.2">
      <c r="A477" s="27"/>
      <c r="B477" s="1"/>
      <c r="C477" s="6"/>
      <c r="D477" s="1"/>
      <c r="E477" s="7"/>
      <c r="F477" s="8"/>
      <c r="G477" s="3" t="str" cm="1">
        <f t="array" ref="G477">IF(ISBLANK(F477), "", IFERROR(_xlfn.IFS(LEFT(F477,1)="+", (VALUE(MID(F477,2,LEN(F477)))+100)/100, VALUE(F477)&gt;0, (F477+100)/100, VALUE(F477)&lt;0, (ABS(F477)+100)/ABS(F477), F477=0, 0), ""))</f>
        <v/>
      </c>
      <c r="H477" s="1"/>
      <c r="I477" s="4" t="str">
        <f>IF(Bet_Log[[#This Row],[Result ]]="", "", IF(Bet_Log[[#This Row],[Result ]]="Win", Bet_Log[[#This Row],[Stake]]*Bet_Log[[#This Row],[Decimal]]-Bet_Log[[#This Row],[Stake]], IF(Bet_Log[[#This Row],[Result ]]="Loss", -Bet_Log[[#This Row],[Stake]], IF(Bet_Log[[#This Row],[Result ]]="Push", 0, ""))))</f>
        <v/>
      </c>
      <c r="J477" s="2" t="str">
        <f>IF(Bet_Log[[#This Row],[Return]]="", "", J476 + Bet_Log[[#This Row],[Return]])</f>
        <v/>
      </c>
      <c r="K477" s="9"/>
    </row>
    <row r="478" spans="1:11" x14ac:dyDescent="0.2">
      <c r="A478" s="27"/>
      <c r="B478" s="1"/>
      <c r="C478" s="6"/>
      <c r="D478" s="1"/>
      <c r="E478" s="7"/>
      <c r="F478" s="8"/>
      <c r="G478" s="3" t="str" cm="1">
        <f t="array" ref="G478">IF(ISBLANK(F478), "", IFERROR(_xlfn.IFS(LEFT(F478,1)="+", (VALUE(MID(F478,2,LEN(F478)))+100)/100, VALUE(F478)&gt;0, (F478+100)/100, VALUE(F478)&lt;0, (ABS(F478)+100)/ABS(F478), F478=0, 0), ""))</f>
        <v/>
      </c>
      <c r="H478" s="1"/>
      <c r="I478" s="4" t="str">
        <f>IF(Bet_Log[[#This Row],[Result ]]="", "", IF(Bet_Log[[#This Row],[Result ]]="Win", Bet_Log[[#This Row],[Stake]]*Bet_Log[[#This Row],[Decimal]]-Bet_Log[[#This Row],[Stake]], IF(Bet_Log[[#This Row],[Result ]]="Loss", -Bet_Log[[#This Row],[Stake]], IF(Bet_Log[[#This Row],[Result ]]="Push", 0, ""))))</f>
        <v/>
      </c>
      <c r="J478" s="2" t="str">
        <f>IF(Bet_Log[[#This Row],[Return]]="", "", J477 + Bet_Log[[#This Row],[Return]])</f>
        <v/>
      </c>
      <c r="K478" s="9"/>
    </row>
    <row r="479" spans="1:11" x14ac:dyDescent="0.2">
      <c r="A479" s="27"/>
      <c r="B479" s="1"/>
      <c r="C479" s="6"/>
      <c r="D479" s="1"/>
      <c r="E479" s="7"/>
      <c r="F479" s="8"/>
      <c r="G479" s="3" t="str" cm="1">
        <f t="array" ref="G479">IF(ISBLANK(F479), "", IFERROR(_xlfn.IFS(LEFT(F479,1)="+", (VALUE(MID(F479,2,LEN(F479)))+100)/100, VALUE(F479)&gt;0, (F479+100)/100, VALUE(F479)&lt;0, (ABS(F479)+100)/ABS(F479), F479=0, 0), ""))</f>
        <v/>
      </c>
      <c r="H479" s="1"/>
      <c r="I479" s="4" t="str">
        <f>IF(Bet_Log[[#This Row],[Result ]]="", "", IF(Bet_Log[[#This Row],[Result ]]="Win", Bet_Log[[#This Row],[Stake]]*Bet_Log[[#This Row],[Decimal]]-Bet_Log[[#This Row],[Stake]], IF(Bet_Log[[#This Row],[Result ]]="Loss", -Bet_Log[[#This Row],[Stake]], IF(Bet_Log[[#This Row],[Result ]]="Push", 0, ""))))</f>
        <v/>
      </c>
      <c r="J479" s="2" t="str">
        <f>IF(Bet_Log[[#This Row],[Return]]="", "", J478 + Bet_Log[[#This Row],[Return]])</f>
        <v/>
      </c>
      <c r="K479" s="9"/>
    </row>
    <row r="480" spans="1:11" x14ac:dyDescent="0.2">
      <c r="A480" s="27"/>
      <c r="B480" s="1"/>
      <c r="C480" s="6"/>
      <c r="D480" s="1"/>
      <c r="E480" s="7"/>
      <c r="F480" s="8"/>
      <c r="G480" s="3" t="str" cm="1">
        <f t="array" ref="G480">IF(ISBLANK(F480), "", IFERROR(_xlfn.IFS(LEFT(F480,1)="+", (VALUE(MID(F480,2,LEN(F480)))+100)/100, VALUE(F480)&gt;0, (F480+100)/100, VALUE(F480)&lt;0, (ABS(F480)+100)/ABS(F480), F480=0, 0), ""))</f>
        <v/>
      </c>
      <c r="H480" s="1"/>
      <c r="I480" s="4" t="str">
        <f>IF(Bet_Log[[#This Row],[Result ]]="", "", IF(Bet_Log[[#This Row],[Result ]]="Win", Bet_Log[[#This Row],[Stake]]*Bet_Log[[#This Row],[Decimal]]-Bet_Log[[#This Row],[Stake]], IF(Bet_Log[[#This Row],[Result ]]="Loss", -Bet_Log[[#This Row],[Stake]], IF(Bet_Log[[#This Row],[Result ]]="Push", 0, ""))))</f>
        <v/>
      </c>
      <c r="J480" s="2" t="str">
        <f>IF(Bet_Log[[#This Row],[Return]]="", "", J479 + Bet_Log[[#This Row],[Return]])</f>
        <v/>
      </c>
      <c r="K480" s="9"/>
    </row>
    <row r="481" spans="1:11" x14ac:dyDescent="0.2">
      <c r="A481" s="27"/>
      <c r="B481" s="1"/>
      <c r="C481" s="6"/>
      <c r="D481" s="1"/>
      <c r="E481" s="7"/>
      <c r="F481" s="8"/>
      <c r="G481" s="3" t="str" cm="1">
        <f t="array" ref="G481">IF(ISBLANK(F481), "", IFERROR(_xlfn.IFS(LEFT(F481,1)="+", (VALUE(MID(F481,2,LEN(F481)))+100)/100, VALUE(F481)&gt;0, (F481+100)/100, VALUE(F481)&lt;0, (ABS(F481)+100)/ABS(F481), F481=0, 0), ""))</f>
        <v/>
      </c>
      <c r="H481" s="1"/>
      <c r="I481" s="4" t="str">
        <f>IF(Bet_Log[[#This Row],[Result ]]="", "", IF(Bet_Log[[#This Row],[Result ]]="Win", Bet_Log[[#This Row],[Stake]]*Bet_Log[[#This Row],[Decimal]]-Bet_Log[[#This Row],[Stake]], IF(Bet_Log[[#This Row],[Result ]]="Loss", -Bet_Log[[#This Row],[Stake]], IF(Bet_Log[[#This Row],[Result ]]="Push", 0, ""))))</f>
        <v/>
      </c>
      <c r="J481" s="2" t="str">
        <f>IF(Bet_Log[[#This Row],[Return]]="", "", J480 + Bet_Log[[#This Row],[Return]])</f>
        <v/>
      </c>
      <c r="K481" s="9"/>
    </row>
    <row r="482" spans="1:11" x14ac:dyDescent="0.2">
      <c r="A482" s="27"/>
      <c r="B482" s="1"/>
      <c r="C482" s="6"/>
      <c r="D482" s="1"/>
      <c r="E482" s="7"/>
      <c r="F482" s="8"/>
      <c r="G482" s="3" t="str" cm="1">
        <f t="array" ref="G482">IF(ISBLANK(F482), "", IFERROR(_xlfn.IFS(LEFT(F482,1)="+", (VALUE(MID(F482,2,LEN(F482)))+100)/100, VALUE(F482)&gt;0, (F482+100)/100, VALUE(F482)&lt;0, (ABS(F482)+100)/ABS(F482), F482=0, 0), ""))</f>
        <v/>
      </c>
      <c r="H482" s="1"/>
      <c r="I482" s="4" t="str">
        <f>IF(Bet_Log[[#This Row],[Result ]]="", "", IF(Bet_Log[[#This Row],[Result ]]="Win", Bet_Log[[#This Row],[Stake]]*Bet_Log[[#This Row],[Decimal]]-Bet_Log[[#This Row],[Stake]], IF(Bet_Log[[#This Row],[Result ]]="Loss", -Bet_Log[[#This Row],[Stake]], IF(Bet_Log[[#This Row],[Result ]]="Push", 0, ""))))</f>
        <v/>
      </c>
      <c r="J482" s="2" t="str">
        <f>IF(Bet_Log[[#This Row],[Return]]="", "", J481 + Bet_Log[[#This Row],[Return]])</f>
        <v/>
      </c>
      <c r="K482" s="9"/>
    </row>
    <row r="483" spans="1:11" x14ac:dyDescent="0.2">
      <c r="A483" s="27"/>
      <c r="B483" s="1"/>
      <c r="C483" s="6"/>
      <c r="D483" s="1"/>
      <c r="E483" s="7"/>
      <c r="F483" s="8"/>
      <c r="G483" s="3" t="str" cm="1">
        <f t="array" ref="G483">IF(ISBLANK(F483), "", IFERROR(_xlfn.IFS(LEFT(F483,1)="+", (VALUE(MID(F483,2,LEN(F483)))+100)/100, VALUE(F483)&gt;0, (F483+100)/100, VALUE(F483)&lt;0, (ABS(F483)+100)/ABS(F483), F483=0, 0), ""))</f>
        <v/>
      </c>
      <c r="H483" s="1"/>
      <c r="I483" s="4" t="str">
        <f>IF(Bet_Log[[#This Row],[Result ]]="", "", IF(Bet_Log[[#This Row],[Result ]]="Win", Bet_Log[[#This Row],[Stake]]*Bet_Log[[#This Row],[Decimal]]-Bet_Log[[#This Row],[Stake]], IF(Bet_Log[[#This Row],[Result ]]="Loss", -Bet_Log[[#This Row],[Stake]], IF(Bet_Log[[#This Row],[Result ]]="Push", 0, ""))))</f>
        <v/>
      </c>
      <c r="J483" s="2" t="str">
        <f>IF(Bet_Log[[#This Row],[Return]]="", "", J482 + Bet_Log[[#This Row],[Return]])</f>
        <v/>
      </c>
      <c r="K483" s="9"/>
    </row>
    <row r="484" spans="1:11" x14ac:dyDescent="0.2">
      <c r="A484" s="27"/>
      <c r="B484" s="1"/>
      <c r="C484" s="6"/>
      <c r="D484" s="1"/>
      <c r="E484" s="7"/>
      <c r="F484" s="8"/>
      <c r="G484" s="3" t="str" cm="1">
        <f t="array" ref="G484">IF(ISBLANK(F484), "", IFERROR(_xlfn.IFS(LEFT(F484,1)="+", (VALUE(MID(F484,2,LEN(F484)))+100)/100, VALUE(F484)&gt;0, (F484+100)/100, VALUE(F484)&lt;0, (ABS(F484)+100)/ABS(F484), F484=0, 0), ""))</f>
        <v/>
      </c>
      <c r="H484" s="1"/>
      <c r="I484" s="4" t="str">
        <f>IF(Bet_Log[[#This Row],[Result ]]="", "", IF(Bet_Log[[#This Row],[Result ]]="Win", Bet_Log[[#This Row],[Stake]]*Bet_Log[[#This Row],[Decimal]]-Bet_Log[[#This Row],[Stake]], IF(Bet_Log[[#This Row],[Result ]]="Loss", -Bet_Log[[#This Row],[Stake]], IF(Bet_Log[[#This Row],[Result ]]="Push", 0, ""))))</f>
        <v/>
      </c>
      <c r="J484" s="2" t="str">
        <f>IF(Bet_Log[[#This Row],[Return]]="", "", J483 + Bet_Log[[#This Row],[Return]])</f>
        <v/>
      </c>
      <c r="K484" s="9"/>
    </row>
    <row r="485" spans="1:11" x14ac:dyDescent="0.2">
      <c r="A485" s="27"/>
      <c r="B485" s="1"/>
      <c r="C485" s="6"/>
      <c r="D485" s="1"/>
      <c r="E485" s="7"/>
      <c r="F485" s="8"/>
      <c r="G485" s="3" t="str" cm="1">
        <f t="array" ref="G485">IF(ISBLANK(F485), "", IFERROR(_xlfn.IFS(LEFT(F485,1)="+", (VALUE(MID(F485,2,LEN(F485)))+100)/100, VALUE(F485)&gt;0, (F485+100)/100, VALUE(F485)&lt;0, (ABS(F485)+100)/ABS(F485), F485=0, 0), ""))</f>
        <v/>
      </c>
      <c r="H485" s="1"/>
      <c r="I485" s="4" t="str">
        <f>IF(Bet_Log[[#This Row],[Result ]]="", "", IF(Bet_Log[[#This Row],[Result ]]="Win", Bet_Log[[#This Row],[Stake]]*Bet_Log[[#This Row],[Decimal]]-Bet_Log[[#This Row],[Stake]], IF(Bet_Log[[#This Row],[Result ]]="Loss", -Bet_Log[[#This Row],[Stake]], IF(Bet_Log[[#This Row],[Result ]]="Push", 0, ""))))</f>
        <v/>
      </c>
      <c r="J485" s="2" t="str">
        <f>IF(Bet_Log[[#This Row],[Return]]="", "", J484 + Bet_Log[[#This Row],[Return]])</f>
        <v/>
      </c>
      <c r="K485" s="9"/>
    </row>
    <row r="486" spans="1:11" x14ac:dyDescent="0.2">
      <c r="A486" s="27"/>
      <c r="B486" s="1"/>
      <c r="C486" s="6"/>
      <c r="D486" s="1"/>
      <c r="E486" s="7"/>
      <c r="F486" s="8"/>
      <c r="G486" s="3" t="str" cm="1">
        <f t="array" ref="G486">IF(ISBLANK(F486), "", IFERROR(_xlfn.IFS(LEFT(F486,1)="+", (VALUE(MID(F486,2,LEN(F486)))+100)/100, VALUE(F486)&gt;0, (F486+100)/100, VALUE(F486)&lt;0, (ABS(F486)+100)/ABS(F486), F486=0, 0), ""))</f>
        <v/>
      </c>
      <c r="H486" s="1"/>
      <c r="I486" s="4" t="str">
        <f>IF(Bet_Log[[#This Row],[Result ]]="", "", IF(Bet_Log[[#This Row],[Result ]]="Win", Bet_Log[[#This Row],[Stake]]*Bet_Log[[#This Row],[Decimal]]-Bet_Log[[#This Row],[Stake]], IF(Bet_Log[[#This Row],[Result ]]="Loss", -Bet_Log[[#This Row],[Stake]], IF(Bet_Log[[#This Row],[Result ]]="Push", 0, ""))))</f>
        <v/>
      </c>
      <c r="J486" s="2" t="str">
        <f>IF(Bet_Log[[#This Row],[Return]]="", "", J485 + Bet_Log[[#This Row],[Return]])</f>
        <v/>
      </c>
      <c r="K486" s="9"/>
    </row>
    <row r="487" spans="1:11" x14ac:dyDescent="0.2">
      <c r="A487" s="27"/>
      <c r="B487" s="1"/>
      <c r="C487" s="6"/>
      <c r="D487" s="1"/>
      <c r="E487" s="7"/>
      <c r="F487" s="8"/>
      <c r="G487" s="3" t="str" cm="1">
        <f t="array" ref="G487">IF(ISBLANK(F487), "", IFERROR(_xlfn.IFS(LEFT(F487,1)="+", (VALUE(MID(F487,2,LEN(F487)))+100)/100, VALUE(F487)&gt;0, (F487+100)/100, VALUE(F487)&lt;0, (ABS(F487)+100)/ABS(F487), F487=0, 0), ""))</f>
        <v/>
      </c>
      <c r="H487" s="1"/>
      <c r="I487" s="4" t="str">
        <f>IF(Bet_Log[[#This Row],[Result ]]="", "", IF(Bet_Log[[#This Row],[Result ]]="Win", Bet_Log[[#This Row],[Stake]]*Bet_Log[[#This Row],[Decimal]]-Bet_Log[[#This Row],[Stake]], IF(Bet_Log[[#This Row],[Result ]]="Loss", -Bet_Log[[#This Row],[Stake]], IF(Bet_Log[[#This Row],[Result ]]="Push", 0, ""))))</f>
        <v/>
      </c>
      <c r="J487" s="2" t="str">
        <f>IF(Bet_Log[[#This Row],[Return]]="", "", J486 + Bet_Log[[#This Row],[Return]])</f>
        <v/>
      </c>
      <c r="K487" s="9"/>
    </row>
    <row r="488" spans="1:11" x14ac:dyDescent="0.2">
      <c r="A488" s="27"/>
      <c r="B488" s="1"/>
      <c r="C488" s="6"/>
      <c r="D488" s="1"/>
      <c r="E488" s="7"/>
      <c r="F488" s="8"/>
      <c r="G488" s="3" t="str" cm="1">
        <f t="array" ref="G488">IF(ISBLANK(F488), "", IFERROR(_xlfn.IFS(LEFT(F488,1)="+", (VALUE(MID(F488,2,LEN(F488)))+100)/100, VALUE(F488)&gt;0, (F488+100)/100, VALUE(F488)&lt;0, (ABS(F488)+100)/ABS(F488), F488=0, 0), ""))</f>
        <v/>
      </c>
      <c r="H488" s="1"/>
      <c r="I488" s="4" t="str">
        <f>IF(Bet_Log[[#This Row],[Result ]]="", "", IF(Bet_Log[[#This Row],[Result ]]="Win", Bet_Log[[#This Row],[Stake]]*Bet_Log[[#This Row],[Decimal]]-Bet_Log[[#This Row],[Stake]], IF(Bet_Log[[#This Row],[Result ]]="Loss", -Bet_Log[[#This Row],[Stake]], IF(Bet_Log[[#This Row],[Result ]]="Push", 0, ""))))</f>
        <v/>
      </c>
      <c r="J488" s="2" t="str">
        <f>IF(Bet_Log[[#This Row],[Return]]="", "", J487 + Bet_Log[[#This Row],[Return]])</f>
        <v/>
      </c>
      <c r="K488" s="9"/>
    </row>
    <row r="489" spans="1:11" x14ac:dyDescent="0.2">
      <c r="A489" s="27"/>
      <c r="B489" s="1"/>
      <c r="C489" s="6"/>
      <c r="D489" s="1"/>
      <c r="E489" s="7"/>
      <c r="F489" s="8"/>
      <c r="G489" s="3" t="str" cm="1">
        <f t="array" ref="G489">IF(ISBLANK(F489), "", IFERROR(_xlfn.IFS(LEFT(F489,1)="+", (VALUE(MID(F489,2,LEN(F489)))+100)/100, VALUE(F489)&gt;0, (F489+100)/100, VALUE(F489)&lt;0, (ABS(F489)+100)/ABS(F489), F489=0, 0), ""))</f>
        <v/>
      </c>
      <c r="H489" s="1"/>
      <c r="I489" s="4" t="str">
        <f>IF(Bet_Log[[#This Row],[Result ]]="", "", IF(Bet_Log[[#This Row],[Result ]]="Win", Bet_Log[[#This Row],[Stake]]*Bet_Log[[#This Row],[Decimal]]-Bet_Log[[#This Row],[Stake]], IF(Bet_Log[[#This Row],[Result ]]="Loss", -Bet_Log[[#This Row],[Stake]], IF(Bet_Log[[#This Row],[Result ]]="Push", 0, ""))))</f>
        <v/>
      </c>
      <c r="J489" s="2" t="str">
        <f>IF(Bet_Log[[#This Row],[Return]]="", "", J488 + Bet_Log[[#This Row],[Return]])</f>
        <v/>
      </c>
      <c r="K489" s="9"/>
    </row>
    <row r="490" spans="1:11" x14ac:dyDescent="0.2">
      <c r="A490" s="27"/>
      <c r="B490" s="1"/>
      <c r="C490" s="6"/>
      <c r="D490" s="1"/>
      <c r="E490" s="7"/>
      <c r="F490" s="8"/>
      <c r="G490" s="3" t="str" cm="1">
        <f t="array" ref="G490">IF(ISBLANK(F490), "", IFERROR(_xlfn.IFS(LEFT(F490,1)="+", (VALUE(MID(F490,2,LEN(F490)))+100)/100, VALUE(F490)&gt;0, (F490+100)/100, VALUE(F490)&lt;0, (ABS(F490)+100)/ABS(F490), F490=0, 0), ""))</f>
        <v/>
      </c>
      <c r="H490" s="1"/>
      <c r="I490" s="4" t="str">
        <f>IF(Bet_Log[[#This Row],[Result ]]="", "", IF(Bet_Log[[#This Row],[Result ]]="Win", Bet_Log[[#This Row],[Stake]]*Bet_Log[[#This Row],[Decimal]]-Bet_Log[[#This Row],[Stake]], IF(Bet_Log[[#This Row],[Result ]]="Loss", -Bet_Log[[#This Row],[Stake]], IF(Bet_Log[[#This Row],[Result ]]="Push", 0, ""))))</f>
        <v/>
      </c>
      <c r="J490" s="2" t="str">
        <f>IF(Bet_Log[[#This Row],[Return]]="", "", J489 + Bet_Log[[#This Row],[Return]])</f>
        <v/>
      </c>
      <c r="K490" s="9"/>
    </row>
    <row r="491" spans="1:11" x14ac:dyDescent="0.2">
      <c r="A491" s="27"/>
      <c r="B491" s="1"/>
      <c r="C491" s="6"/>
      <c r="D491" s="1"/>
      <c r="E491" s="7"/>
      <c r="F491" s="8"/>
      <c r="G491" s="3" t="str" cm="1">
        <f t="array" ref="G491">IF(ISBLANK(F491), "", IFERROR(_xlfn.IFS(LEFT(F491,1)="+", (VALUE(MID(F491,2,LEN(F491)))+100)/100, VALUE(F491)&gt;0, (F491+100)/100, VALUE(F491)&lt;0, (ABS(F491)+100)/ABS(F491), F491=0, 0), ""))</f>
        <v/>
      </c>
      <c r="H491" s="1"/>
      <c r="I491" s="4" t="str">
        <f>IF(Bet_Log[[#This Row],[Result ]]="", "", IF(Bet_Log[[#This Row],[Result ]]="Win", Bet_Log[[#This Row],[Stake]]*Bet_Log[[#This Row],[Decimal]]-Bet_Log[[#This Row],[Stake]], IF(Bet_Log[[#This Row],[Result ]]="Loss", -Bet_Log[[#This Row],[Stake]], IF(Bet_Log[[#This Row],[Result ]]="Push", 0, ""))))</f>
        <v/>
      </c>
      <c r="J491" s="2" t="str">
        <f>IF(Bet_Log[[#This Row],[Return]]="", "", J490 + Bet_Log[[#This Row],[Return]])</f>
        <v/>
      </c>
      <c r="K491" s="9"/>
    </row>
    <row r="492" spans="1:11" x14ac:dyDescent="0.2">
      <c r="A492" s="27"/>
      <c r="B492" s="1"/>
      <c r="C492" s="6"/>
      <c r="D492" s="1"/>
      <c r="E492" s="7"/>
      <c r="F492" s="8"/>
      <c r="G492" s="3" t="str" cm="1">
        <f t="array" ref="G492">IF(ISBLANK(F492), "", IFERROR(_xlfn.IFS(LEFT(F492,1)="+", (VALUE(MID(F492,2,LEN(F492)))+100)/100, VALUE(F492)&gt;0, (F492+100)/100, VALUE(F492)&lt;0, (ABS(F492)+100)/ABS(F492), F492=0, 0), ""))</f>
        <v/>
      </c>
      <c r="H492" s="1"/>
      <c r="I492" s="4" t="str">
        <f>IF(Bet_Log[[#This Row],[Result ]]="", "", IF(Bet_Log[[#This Row],[Result ]]="Win", Bet_Log[[#This Row],[Stake]]*Bet_Log[[#This Row],[Decimal]]-Bet_Log[[#This Row],[Stake]], IF(Bet_Log[[#This Row],[Result ]]="Loss", -Bet_Log[[#This Row],[Stake]], IF(Bet_Log[[#This Row],[Result ]]="Push", 0, ""))))</f>
        <v/>
      </c>
      <c r="J492" s="2" t="str">
        <f>IF(Bet_Log[[#This Row],[Return]]="", "", J491 + Bet_Log[[#This Row],[Return]])</f>
        <v/>
      </c>
      <c r="K492" s="9"/>
    </row>
    <row r="493" spans="1:11" x14ac:dyDescent="0.2">
      <c r="A493" s="27"/>
      <c r="B493" s="1"/>
      <c r="C493" s="6"/>
      <c r="D493" s="1"/>
      <c r="E493" s="7"/>
      <c r="F493" s="8"/>
      <c r="G493" s="3" t="str" cm="1">
        <f t="array" ref="G493">IF(ISBLANK(F493), "", IFERROR(_xlfn.IFS(LEFT(F493,1)="+", (VALUE(MID(F493,2,LEN(F493)))+100)/100, VALUE(F493)&gt;0, (F493+100)/100, VALUE(F493)&lt;0, (ABS(F493)+100)/ABS(F493), F493=0, 0), ""))</f>
        <v/>
      </c>
      <c r="H493" s="1"/>
      <c r="I493" s="4" t="str">
        <f>IF(Bet_Log[[#This Row],[Result ]]="", "", IF(Bet_Log[[#This Row],[Result ]]="Win", Bet_Log[[#This Row],[Stake]]*Bet_Log[[#This Row],[Decimal]]-Bet_Log[[#This Row],[Stake]], IF(Bet_Log[[#This Row],[Result ]]="Loss", -Bet_Log[[#This Row],[Stake]], IF(Bet_Log[[#This Row],[Result ]]="Push", 0, ""))))</f>
        <v/>
      </c>
      <c r="J493" s="2" t="str">
        <f>IF(Bet_Log[[#This Row],[Return]]="", "", J492 + Bet_Log[[#This Row],[Return]])</f>
        <v/>
      </c>
      <c r="K493" s="9"/>
    </row>
    <row r="494" spans="1:11" x14ac:dyDescent="0.2">
      <c r="A494" s="27"/>
      <c r="B494" s="1"/>
      <c r="C494" s="6"/>
      <c r="D494" s="1"/>
      <c r="E494" s="7"/>
      <c r="F494" s="8"/>
      <c r="G494" s="3" t="str" cm="1">
        <f t="array" ref="G494">IF(ISBLANK(F494), "", IFERROR(_xlfn.IFS(LEFT(F494,1)="+", (VALUE(MID(F494,2,LEN(F494)))+100)/100, VALUE(F494)&gt;0, (F494+100)/100, VALUE(F494)&lt;0, (ABS(F494)+100)/ABS(F494), F494=0, 0), ""))</f>
        <v/>
      </c>
      <c r="H494" s="1"/>
      <c r="I494" s="4" t="str">
        <f>IF(Bet_Log[[#This Row],[Result ]]="", "", IF(Bet_Log[[#This Row],[Result ]]="Win", Bet_Log[[#This Row],[Stake]]*Bet_Log[[#This Row],[Decimal]]-Bet_Log[[#This Row],[Stake]], IF(Bet_Log[[#This Row],[Result ]]="Loss", -Bet_Log[[#This Row],[Stake]], IF(Bet_Log[[#This Row],[Result ]]="Push", 0, ""))))</f>
        <v/>
      </c>
      <c r="J494" s="2" t="str">
        <f>IF(Bet_Log[[#This Row],[Return]]="", "", J493 + Bet_Log[[#This Row],[Return]])</f>
        <v/>
      </c>
      <c r="K494" s="9"/>
    </row>
    <row r="495" spans="1:11" x14ac:dyDescent="0.2">
      <c r="A495" s="27"/>
      <c r="B495" s="1"/>
      <c r="C495" s="6"/>
      <c r="D495" s="1"/>
      <c r="E495" s="7"/>
      <c r="F495" s="8"/>
      <c r="G495" s="3" t="str" cm="1">
        <f t="array" ref="G495">IF(ISBLANK(F495), "", IFERROR(_xlfn.IFS(LEFT(F495,1)="+", (VALUE(MID(F495,2,LEN(F495)))+100)/100, VALUE(F495)&gt;0, (F495+100)/100, VALUE(F495)&lt;0, (ABS(F495)+100)/ABS(F495), F495=0, 0), ""))</f>
        <v/>
      </c>
      <c r="H495" s="1"/>
      <c r="I495" s="4" t="str">
        <f>IF(Bet_Log[[#This Row],[Result ]]="", "", IF(Bet_Log[[#This Row],[Result ]]="Win", Bet_Log[[#This Row],[Stake]]*Bet_Log[[#This Row],[Decimal]]-Bet_Log[[#This Row],[Stake]], IF(Bet_Log[[#This Row],[Result ]]="Loss", -Bet_Log[[#This Row],[Stake]], IF(Bet_Log[[#This Row],[Result ]]="Push", 0, ""))))</f>
        <v/>
      </c>
      <c r="J495" s="2" t="str">
        <f>IF(Bet_Log[[#This Row],[Return]]="", "", J494 + Bet_Log[[#This Row],[Return]])</f>
        <v/>
      </c>
      <c r="K495" s="9"/>
    </row>
    <row r="496" spans="1:11" x14ac:dyDescent="0.2">
      <c r="A496" s="27"/>
      <c r="B496" s="1"/>
      <c r="C496" s="6"/>
      <c r="D496" s="1"/>
      <c r="E496" s="7"/>
      <c r="F496" s="8"/>
      <c r="G496" s="3" t="str" cm="1">
        <f t="array" ref="G496">IF(ISBLANK(F496), "", IFERROR(_xlfn.IFS(LEFT(F496,1)="+", (VALUE(MID(F496,2,LEN(F496)))+100)/100, VALUE(F496)&gt;0, (F496+100)/100, VALUE(F496)&lt;0, (ABS(F496)+100)/ABS(F496), F496=0, 0), ""))</f>
        <v/>
      </c>
      <c r="H496" s="1"/>
      <c r="I496" s="4" t="str">
        <f>IF(Bet_Log[[#This Row],[Result ]]="", "", IF(Bet_Log[[#This Row],[Result ]]="Win", Bet_Log[[#This Row],[Stake]]*Bet_Log[[#This Row],[Decimal]]-Bet_Log[[#This Row],[Stake]], IF(Bet_Log[[#This Row],[Result ]]="Loss", -Bet_Log[[#This Row],[Stake]], IF(Bet_Log[[#This Row],[Result ]]="Push", 0, ""))))</f>
        <v/>
      </c>
      <c r="J496" s="2" t="str">
        <f>IF(Bet_Log[[#This Row],[Return]]="", "", J495 + Bet_Log[[#This Row],[Return]])</f>
        <v/>
      </c>
      <c r="K496" s="9"/>
    </row>
    <row r="497" spans="1:11" x14ac:dyDescent="0.2">
      <c r="A497" s="27"/>
      <c r="B497" s="1"/>
      <c r="C497" s="6"/>
      <c r="D497" s="1"/>
      <c r="E497" s="7"/>
      <c r="F497" s="8"/>
      <c r="G497" s="3" t="str" cm="1">
        <f t="array" ref="G497">IF(ISBLANK(F497), "", IFERROR(_xlfn.IFS(LEFT(F497,1)="+", (VALUE(MID(F497,2,LEN(F497)))+100)/100, VALUE(F497)&gt;0, (F497+100)/100, VALUE(F497)&lt;0, (ABS(F497)+100)/ABS(F497), F497=0, 0), ""))</f>
        <v/>
      </c>
      <c r="H497" s="1"/>
      <c r="I497" s="4" t="str">
        <f>IF(Bet_Log[[#This Row],[Result ]]="", "", IF(Bet_Log[[#This Row],[Result ]]="Win", Bet_Log[[#This Row],[Stake]]*Bet_Log[[#This Row],[Decimal]]-Bet_Log[[#This Row],[Stake]], IF(Bet_Log[[#This Row],[Result ]]="Loss", -Bet_Log[[#This Row],[Stake]], IF(Bet_Log[[#This Row],[Result ]]="Push", 0, ""))))</f>
        <v/>
      </c>
      <c r="J497" s="2" t="str">
        <f>IF(Bet_Log[[#This Row],[Return]]="", "", J496 + Bet_Log[[#This Row],[Return]])</f>
        <v/>
      </c>
      <c r="K497" s="9"/>
    </row>
    <row r="498" spans="1:11" x14ac:dyDescent="0.2">
      <c r="A498" s="27"/>
      <c r="B498" s="1"/>
      <c r="C498" s="6"/>
      <c r="D498" s="1"/>
      <c r="E498" s="7"/>
      <c r="F498" s="8"/>
      <c r="G498" s="3" t="str" cm="1">
        <f t="array" ref="G498">IF(ISBLANK(F498), "", IFERROR(_xlfn.IFS(LEFT(F498,1)="+", (VALUE(MID(F498,2,LEN(F498)))+100)/100, VALUE(F498)&gt;0, (F498+100)/100, VALUE(F498)&lt;0, (ABS(F498)+100)/ABS(F498), F498=0, 0), ""))</f>
        <v/>
      </c>
      <c r="H498" s="1"/>
      <c r="I498" s="4" t="str">
        <f>IF(Bet_Log[[#This Row],[Result ]]="", "", IF(Bet_Log[[#This Row],[Result ]]="Win", Bet_Log[[#This Row],[Stake]]*Bet_Log[[#This Row],[Decimal]]-Bet_Log[[#This Row],[Stake]], IF(Bet_Log[[#This Row],[Result ]]="Loss", -Bet_Log[[#This Row],[Stake]], IF(Bet_Log[[#This Row],[Result ]]="Push", 0, ""))))</f>
        <v/>
      </c>
      <c r="J498" s="2" t="str">
        <f>IF(Bet_Log[[#This Row],[Return]]="", "", J497 + Bet_Log[[#This Row],[Return]])</f>
        <v/>
      </c>
      <c r="K498" s="9"/>
    </row>
    <row r="499" spans="1:11" x14ac:dyDescent="0.2">
      <c r="A499" s="27"/>
      <c r="B499" s="1"/>
      <c r="C499" s="6"/>
      <c r="D499" s="1"/>
      <c r="E499" s="7"/>
      <c r="F499" s="8"/>
      <c r="G499" s="3" t="str" cm="1">
        <f t="array" ref="G499">IF(ISBLANK(F499), "", IFERROR(_xlfn.IFS(LEFT(F499,1)="+", (VALUE(MID(F499,2,LEN(F499)))+100)/100, VALUE(F499)&gt;0, (F499+100)/100, VALUE(F499)&lt;0, (ABS(F499)+100)/ABS(F499), F499=0, 0), ""))</f>
        <v/>
      </c>
      <c r="H499" s="1"/>
      <c r="I499" s="4" t="str">
        <f>IF(Bet_Log[[#This Row],[Result ]]="", "", IF(Bet_Log[[#This Row],[Result ]]="Win", Bet_Log[[#This Row],[Stake]]*Bet_Log[[#This Row],[Decimal]]-Bet_Log[[#This Row],[Stake]], IF(Bet_Log[[#This Row],[Result ]]="Loss", -Bet_Log[[#This Row],[Stake]], IF(Bet_Log[[#This Row],[Result ]]="Push", 0, ""))))</f>
        <v/>
      </c>
      <c r="J499" s="2" t="str">
        <f>IF(Bet_Log[[#This Row],[Return]]="", "", J498 + Bet_Log[[#This Row],[Return]])</f>
        <v/>
      </c>
      <c r="K499" s="9"/>
    </row>
    <row r="500" spans="1:11" x14ac:dyDescent="0.2">
      <c r="A500" s="27"/>
      <c r="B500" s="1"/>
      <c r="C500" s="6"/>
      <c r="D500" s="1"/>
      <c r="E500" s="7"/>
      <c r="F500" s="8"/>
      <c r="G500" s="3" t="str" cm="1">
        <f t="array" ref="G500">IF(ISBLANK(F500), "", IFERROR(_xlfn.IFS(LEFT(F500,1)="+", (VALUE(MID(F500,2,LEN(F500)))+100)/100, VALUE(F500)&gt;0, (F500+100)/100, VALUE(F500)&lt;0, (ABS(F500)+100)/ABS(F500), F500=0, 0), ""))</f>
        <v/>
      </c>
      <c r="H500" s="1"/>
      <c r="I500" s="4" t="str">
        <f>IF(Bet_Log[[#This Row],[Result ]]="", "", IF(Bet_Log[[#This Row],[Result ]]="Win", Bet_Log[[#This Row],[Stake]]*Bet_Log[[#This Row],[Decimal]]-Bet_Log[[#This Row],[Stake]], IF(Bet_Log[[#This Row],[Result ]]="Loss", -Bet_Log[[#This Row],[Stake]], IF(Bet_Log[[#This Row],[Result ]]="Push", 0, ""))))</f>
        <v/>
      </c>
      <c r="J500" s="2" t="str">
        <f>IF(Bet_Log[[#This Row],[Return]]="", "", J499 + Bet_Log[[#This Row],[Return]])</f>
        <v/>
      </c>
      <c r="K500" s="9"/>
    </row>
    <row r="501" spans="1:11" x14ac:dyDescent="0.2">
      <c r="A501" s="27"/>
      <c r="B501" s="1"/>
      <c r="C501" s="6"/>
      <c r="D501" s="1"/>
      <c r="E501" s="7"/>
      <c r="F501" s="8"/>
      <c r="G501" s="3" t="str" cm="1">
        <f t="array" ref="G501">IF(ISBLANK(F501), "", IFERROR(_xlfn.IFS(LEFT(F501,1)="+", (VALUE(MID(F501,2,LEN(F501)))+100)/100, VALUE(F501)&gt;0, (F501+100)/100, VALUE(F501)&lt;0, (ABS(F501)+100)/ABS(F501), F501=0, 0), ""))</f>
        <v/>
      </c>
      <c r="H501" s="1"/>
      <c r="I501" s="4" t="str">
        <f>IF(Bet_Log[[#This Row],[Result ]]="", "", IF(Bet_Log[[#This Row],[Result ]]="Win", Bet_Log[[#This Row],[Stake]]*Bet_Log[[#This Row],[Decimal]]-Bet_Log[[#This Row],[Stake]], IF(Bet_Log[[#This Row],[Result ]]="Loss", -Bet_Log[[#This Row],[Stake]], IF(Bet_Log[[#This Row],[Result ]]="Push", 0, ""))))</f>
        <v/>
      </c>
      <c r="J501" s="2" t="str">
        <f>IF(Bet_Log[[#This Row],[Return]]="", "", J500 + Bet_Log[[#This Row],[Return]])</f>
        <v/>
      </c>
      <c r="K501" s="9"/>
    </row>
    <row r="502" spans="1:11" x14ac:dyDescent="0.2">
      <c r="A502" s="27"/>
      <c r="B502" s="1"/>
      <c r="C502" s="6"/>
      <c r="D502" s="1"/>
      <c r="E502" s="7"/>
      <c r="F502" s="8"/>
      <c r="G502" s="3" t="str" cm="1">
        <f t="array" ref="G502">IF(ISBLANK(F502), "", IFERROR(_xlfn.IFS(LEFT(F502,1)="+", (VALUE(MID(F502,2,LEN(F502)))+100)/100, VALUE(F502)&gt;0, (F502+100)/100, VALUE(F502)&lt;0, (ABS(F502)+100)/ABS(F502), F502=0, 0), ""))</f>
        <v/>
      </c>
      <c r="H502" s="1"/>
      <c r="I502" s="4" t="str">
        <f>IF(Bet_Log[[#This Row],[Result ]]="", "", IF(Bet_Log[[#This Row],[Result ]]="Win", Bet_Log[[#This Row],[Stake]]*Bet_Log[[#This Row],[Decimal]]-Bet_Log[[#This Row],[Stake]], IF(Bet_Log[[#This Row],[Result ]]="Loss", -Bet_Log[[#This Row],[Stake]], IF(Bet_Log[[#This Row],[Result ]]="Push", 0, ""))))</f>
        <v/>
      </c>
      <c r="J502" s="2" t="str">
        <f>IF(Bet_Log[[#This Row],[Return]]="", "", J501 + Bet_Log[[#This Row],[Return]])</f>
        <v/>
      </c>
      <c r="K502" s="9"/>
    </row>
    <row r="503" spans="1:11" x14ac:dyDescent="0.2">
      <c r="A503" s="27"/>
      <c r="B503" s="1"/>
      <c r="C503" s="6"/>
      <c r="D503" s="1"/>
      <c r="E503" s="7"/>
      <c r="F503" s="8"/>
      <c r="G503" s="3" t="str" cm="1">
        <f t="array" ref="G503">IF(ISBLANK(F503), "", IFERROR(_xlfn.IFS(LEFT(F503,1)="+", (VALUE(MID(F503,2,LEN(F503)))+100)/100, VALUE(F503)&gt;0, (F503+100)/100, VALUE(F503)&lt;0, (ABS(F503)+100)/ABS(F503), F503=0, 0), ""))</f>
        <v/>
      </c>
      <c r="H503" s="1"/>
      <c r="I503" s="4" t="str">
        <f>IF(Bet_Log[[#This Row],[Result ]]="", "", IF(Bet_Log[[#This Row],[Result ]]="Win", Bet_Log[[#This Row],[Stake]]*Bet_Log[[#This Row],[Decimal]]-Bet_Log[[#This Row],[Stake]], IF(Bet_Log[[#This Row],[Result ]]="Loss", -Bet_Log[[#This Row],[Stake]], IF(Bet_Log[[#This Row],[Result ]]="Push", 0, ""))))</f>
        <v/>
      </c>
      <c r="J503" s="2" t="str">
        <f>IF(Bet_Log[[#This Row],[Return]]="", "", J502 + Bet_Log[[#This Row],[Return]])</f>
        <v/>
      </c>
      <c r="K503" s="9"/>
    </row>
    <row r="504" spans="1:11" x14ac:dyDescent="0.2">
      <c r="A504" s="27"/>
      <c r="B504" s="1"/>
      <c r="C504" s="6"/>
      <c r="D504" s="1"/>
      <c r="E504" s="7"/>
      <c r="F504" s="8"/>
      <c r="G504" s="3" t="str" cm="1">
        <f t="array" ref="G504">IF(ISBLANK(F504), "", IFERROR(_xlfn.IFS(LEFT(F504,1)="+", (VALUE(MID(F504,2,LEN(F504)))+100)/100, VALUE(F504)&gt;0, (F504+100)/100, VALUE(F504)&lt;0, (ABS(F504)+100)/ABS(F504), F504=0, 0), ""))</f>
        <v/>
      </c>
      <c r="H504" s="1"/>
      <c r="I504" s="4" t="str">
        <f>IF(Bet_Log[[#This Row],[Result ]]="", "", IF(Bet_Log[[#This Row],[Result ]]="Win", Bet_Log[[#This Row],[Stake]]*Bet_Log[[#This Row],[Decimal]]-Bet_Log[[#This Row],[Stake]], IF(Bet_Log[[#This Row],[Result ]]="Loss", -Bet_Log[[#This Row],[Stake]], IF(Bet_Log[[#This Row],[Result ]]="Push", 0, ""))))</f>
        <v/>
      </c>
      <c r="J504" s="2" t="str">
        <f>IF(Bet_Log[[#This Row],[Return]]="", "", J503 + Bet_Log[[#This Row],[Return]])</f>
        <v/>
      </c>
      <c r="K504" s="9"/>
    </row>
    <row r="505" spans="1:11" x14ac:dyDescent="0.2">
      <c r="A505" s="27"/>
      <c r="B505" s="1"/>
      <c r="C505" s="6"/>
      <c r="D505" s="1"/>
      <c r="E505" s="7"/>
      <c r="F505" s="8"/>
      <c r="G505" s="3" t="str" cm="1">
        <f t="array" ref="G505">IF(ISBLANK(F505), "", IFERROR(_xlfn.IFS(LEFT(F505,1)="+", (VALUE(MID(F505,2,LEN(F505)))+100)/100, VALUE(F505)&gt;0, (F505+100)/100, VALUE(F505)&lt;0, (ABS(F505)+100)/ABS(F505), F505=0, 0), ""))</f>
        <v/>
      </c>
      <c r="H505" s="1"/>
      <c r="I505" s="4" t="str">
        <f>IF(Bet_Log[[#This Row],[Result ]]="", "", IF(Bet_Log[[#This Row],[Result ]]="Win", Bet_Log[[#This Row],[Stake]]*Bet_Log[[#This Row],[Decimal]]-Bet_Log[[#This Row],[Stake]], IF(Bet_Log[[#This Row],[Result ]]="Loss", -Bet_Log[[#This Row],[Stake]], IF(Bet_Log[[#This Row],[Result ]]="Push", 0, ""))))</f>
        <v/>
      </c>
      <c r="J505" s="2" t="str">
        <f>IF(Bet_Log[[#This Row],[Return]]="", "", J504 + Bet_Log[[#This Row],[Return]])</f>
        <v/>
      </c>
      <c r="K505" s="9"/>
    </row>
    <row r="506" spans="1:11" x14ac:dyDescent="0.2">
      <c r="A506" s="27"/>
      <c r="B506" s="1"/>
      <c r="C506" s="6"/>
      <c r="D506" s="1"/>
      <c r="E506" s="7"/>
      <c r="F506" s="8"/>
      <c r="G506" s="3" t="str" cm="1">
        <f t="array" ref="G506">IF(ISBLANK(F506), "", IFERROR(_xlfn.IFS(LEFT(F506,1)="+", (VALUE(MID(F506,2,LEN(F506)))+100)/100, VALUE(F506)&gt;0, (F506+100)/100, VALUE(F506)&lt;0, (ABS(F506)+100)/ABS(F506), F506=0, 0), ""))</f>
        <v/>
      </c>
      <c r="H506" s="1"/>
      <c r="I506" s="4" t="str">
        <f>IF(Bet_Log[[#This Row],[Result ]]="", "", IF(Bet_Log[[#This Row],[Result ]]="Win", Bet_Log[[#This Row],[Stake]]*Bet_Log[[#This Row],[Decimal]]-Bet_Log[[#This Row],[Stake]], IF(Bet_Log[[#This Row],[Result ]]="Loss", -Bet_Log[[#This Row],[Stake]], IF(Bet_Log[[#This Row],[Result ]]="Push", 0, ""))))</f>
        <v/>
      </c>
      <c r="J506" s="2" t="str">
        <f>IF(Bet_Log[[#This Row],[Return]]="", "", J505 + Bet_Log[[#This Row],[Return]])</f>
        <v/>
      </c>
      <c r="K506" s="9"/>
    </row>
    <row r="507" spans="1:11" x14ac:dyDescent="0.2">
      <c r="A507" s="27"/>
      <c r="B507" s="1"/>
      <c r="C507" s="6"/>
      <c r="D507" s="1"/>
      <c r="E507" s="7"/>
      <c r="F507" s="8"/>
      <c r="G507" s="3" t="str" cm="1">
        <f t="array" ref="G507">IF(ISBLANK(F507), "", IFERROR(_xlfn.IFS(LEFT(F507,1)="+", (VALUE(MID(F507,2,LEN(F507)))+100)/100, VALUE(F507)&gt;0, (F507+100)/100, VALUE(F507)&lt;0, (ABS(F507)+100)/ABS(F507), F507=0, 0), ""))</f>
        <v/>
      </c>
      <c r="H507" s="1"/>
      <c r="I507" s="4" t="str">
        <f>IF(Bet_Log[[#This Row],[Result ]]="", "", IF(Bet_Log[[#This Row],[Result ]]="Win", Bet_Log[[#This Row],[Stake]]*Bet_Log[[#This Row],[Decimal]]-Bet_Log[[#This Row],[Stake]], IF(Bet_Log[[#This Row],[Result ]]="Loss", -Bet_Log[[#This Row],[Stake]], IF(Bet_Log[[#This Row],[Result ]]="Push", 0, ""))))</f>
        <v/>
      </c>
      <c r="J507" s="2" t="str">
        <f>IF(Bet_Log[[#This Row],[Return]]="", "", J506 + Bet_Log[[#This Row],[Return]])</f>
        <v/>
      </c>
      <c r="K507" s="9"/>
    </row>
    <row r="508" spans="1:11" x14ac:dyDescent="0.2">
      <c r="A508" s="27"/>
      <c r="B508" s="1"/>
      <c r="C508" s="6"/>
      <c r="D508" s="1"/>
      <c r="E508" s="7"/>
      <c r="F508" s="8"/>
      <c r="G508" s="3" t="str" cm="1">
        <f t="array" ref="G508">IF(ISBLANK(F508), "", IFERROR(_xlfn.IFS(LEFT(F508,1)="+", (VALUE(MID(F508,2,LEN(F508)))+100)/100, VALUE(F508)&gt;0, (F508+100)/100, VALUE(F508)&lt;0, (ABS(F508)+100)/ABS(F508), F508=0, 0), ""))</f>
        <v/>
      </c>
      <c r="H508" s="1"/>
      <c r="I508" s="4" t="str">
        <f>IF(Bet_Log[[#This Row],[Result ]]="", "", IF(Bet_Log[[#This Row],[Result ]]="Win", Bet_Log[[#This Row],[Stake]]*Bet_Log[[#This Row],[Decimal]]-Bet_Log[[#This Row],[Stake]], IF(Bet_Log[[#This Row],[Result ]]="Loss", -Bet_Log[[#This Row],[Stake]], IF(Bet_Log[[#This Row],[Result ]]="Push", 0, ""))))</f>
        <v/>
      </c>
      <c r="J508" s="2" t="str">
        <f>IF(Bet_Log[[#This Row],[Return]]="", "", J507 + Bet_Log[[#This Row],[Return]])</f>
        <v/>
      </c>
      <c r="K508" s="9"/>
    </row>
    <row r="509" spans="1:11" x14ac:dyDescent="0.2">
      <c r="A509" s="27"/>
      <c r="B509" s="1"/>
      <c r="C509" s="6"/>
      <c r="D509" s="1"/>
      <c r="E509" s="7"/>
      <c r="F509" s="8"/>
      <c r="G509" s="3" t="str" cm="1">
        <f t="array" ref="G509">IF(ISBLANK(F509), "", IFERROR(_xlfn.IFS(LEFT(F509,1)="+", (VALUE(MID(F509,2,LEN(F509)))+100)/100, VALUE(F509)&gt;0, (F509+100)/100, VALUE(F509)&lt;0, (ABS(F509)+100)/ABS(F509), F509=0, 0), ""))</f>
        <v/>
      </c>
      <c r="H509" s="1"/>
      <c r="I509" s="4" t="str">
        <f>IF(Bet_Log[[#This Row],[Result ]]="", "", IF(Bet_Log[[#This Row],[Result ]]="Win", Bet_Log[[#This Row],[Stake]]*Bet_Log[[#This Row],[Decimal]]-Bet_Log[[#This Row],[Stake]], IF(Bet_Log[[#This Row],[Result ]]="Loss", -Bet_Log[[#This Row],[Stake]], IF(Bet_Log[[#This Row],[Result ]]="Push", 0, ""))))</f>
        <v/>
      </c>
      <c r="J509" s="2" t="str">
        <f>IF(Bet_Log[[#This Row],[Return]]="", "", J508 + Bet_Log[[#This Row],[Return]])</f>
        <v/>
      </c>
      <c r="K509" s="9"/>
    </row>
    <row r="510" spans="1:11" x14ac:dyDescent="0.2">
      <c r="A510" s="27"/>
      <c r="B510" s="1"/>
      <c r="C510" s="6"/>
      <c r="D510" s="1"/>
      <c r="E510" s="7"/>
      <c r="F510" s="8"/>
      <c r="G510" s="3" t="str" cm="1">
        <f t="array" ref="G510">IF(ISBLANK(F510), "", IFERROR(_xlfn.IFS(LEFT(F510,1)="+", (VALUE(MID(F510,2,LEN(F510)))+100)/100, VALUE(F510)&gt;0, (F510+100)/100, VALUE(F510)&lt;0, (ABS(F510)+100)/ABS(F510), F510=0, 0), ""))</f>
        <v/>
      </c>
      <c r="H510" s="1"/>
      <c r="I510" s="4" t="str">
        <f>IF(Bet_Log[[#This Row],[Result ]]="", "", IF(Bet_Log[[#This Row],[Result ]]="Win", Bet_Log[[#This Row],[Stake]]*Bet_Log[[#This Row],[Decimal]]-Bet_Log[[#This Row],[Stake]], IF(Bet_Log[[#This Row],[Result ]]="Loss", -Bet_Log[[#This Row],[Stake]], IF(Bet_Log[[#This Row],[Result ]]="Push", 0, ""))))</f>
        <v/>
      </c>
      <c r="J510" s="2" t="str">
        <f>IF(Bet_Log[[#This Row],[Return]]="", "", J509 + Bet_Log[[#This Row],[Return]])</f>
        <v/>
      </c>
      <c r="K510" s="9"/>
    </row>
    <row r="511" spans="1:11" x14ac:dyDescent="0.2">
      <c r="A511" s="27"/>
      <c r="B511" s="1"/>
      <c r="C511" s="6"/>
      <c r="D511" s="1"/>
      <c r="E511" s="7"/>
      <c r="F511" s="8"/>
      <c r="G511" s="3" t="str" cm="1">
        <f t="array" ref="G511">IF(ISBLANK(F511), "", IFERROR(_xlfn.IFS(LEFT(F511,1)="+", (VALUE(MID(F511,2,LEN(F511)))+100)/100, VALUE(F511)&gt;0, (F511+100)/100, VALUE(F511)&lt;0, (ABS(F511)+100)/ABS(F511), F511=0, 0), ""))</f>
        <v/>
      </c>
      <c r="H511" s="1"/>
      <c r="I511" s="4" t="str">
        <f>IF(Bet_Log[[#This Row],[Result ]]="", "", IF(Bet_Log[[#This Row],[Result ]]="Win", Bet_Log[[#This Row],[Stake]]*Bet_Log[[#This Row],[Decimal]]-Bet_Log[[#This Row],[Stake]], IF(Bet_Log[[#This Row],[Result ]]="Loss", -Bet_Log[[#This Row],[Stake]], IF(Bet_Log[[#This Row],[Result ]]="Push", 0, ""))))</f>
        <v/>
      </c>
      <c r="J511" s="2" t="str">
        <f>IF(Bet_Log[[#This Row],[Return]]="", "", J510 + Bet_Log[[#This Row],[Return]])</f>
        <v/>
      </c>
      <c r="K511" s="9"/>
    </row>
    <row r="512" spans="1:11" x14ac:dyDescent="0.2">
      <c r="A512" s="27"/>
      <c r="B512" s="1"/>
      <c r="C512" s="6"/>
      <c r="D512" s="1"/>
      <c r="E512" s="7"/>
      <c r="F512" s="8"/>
      <c r="G512" s="3" t="str" cm="1">
        <f t="array" ref="G512">IF(ISBLANK(F512), "", IFERROR(_xlfn.IFS(LEFT(F512,1)="+", (VALUE(MID(F512,2,LEN(F512)))+100)/100, VALUE(F512)&gt;0, (F512+100)/100, VALUE(F512)&lt;0, (ABS(F512)+100)/ABS(F512), F512=0, 0), ""))</f>
        <v/>
      </c>
      <c r="H512" s="1"/>
      <c r="I512" s="4" t="str">
        <f>IF(Bet_Log[[#This Row],[Result ]]="", "", IF(Bet_Log[[#This Row],[Result ]]="Win", Bet_Log[[#This Row],[Stake]]*Bet_Log[[#This Row],[Decimal]]-Bet_Log[[#This Row],[Stake]], IF(Bet_Log[[#This Row],[Result ]]="Loss", -Bet_Log[[#This Row],[Stake]], IF(Bet_Log[[#This Row],[Result ]]="Push", 0, ""))))</f>
        <v/>
      </c>
      <c r="J512" s="2" t="str">
        <f>IF(Bet_Log[[#This Row],[Return]]="", "", J511 + Bet_Log[[#This Row],[Return]])</f>
        <v/>
      </c>
      <c r="K512" s="9"/>
    </row>
    <row r="513" spans="1:11" x14ac:dyDescent="0.2">
      <c r="A513" s="27"/>
      <c r="B513" s="1"/>
      <c r="C513" s="6"/>
      <c r="D513" s="1"/>
      <c r="E513" s="7"/>
      <c r="F513" s="8"/>
      <c r="G513" s="3" t="str" cm="1">
        <f t="array" ref="G513">IF(ISBLANK(F513), "", IFERROR(_xlfn.IFS(LEFT(F513,1)="+", (VALUE(MID(F513,2,LEN(F513)))+100)/100, VALUE(F513)&gt;0, (F513+100)/100, VALUE(F513)&lt;0, (ABS(F513)+100)/ABS(F513), F513=0, 0), ""))</f>
        <v/>
      </c>
      <c r="H513" s="1"/>
      <c r="I513" s="4" t="str">
        <f>IF(Bet_Log[[#This Row],[Result ]]="", "", IF(Bet_Log[[#This Row],[Result ]]="Win", Bet_Log[[#This Row],[Stake]]*Bet_Log[[#This Row],[Decimal]]-Bet_Log[[#This Row],[Stake]], IF(Bet_Log[[#This Row],[Result ]]="Loss", -Bet_Log[[#This Row],[Stake]], IF(Bet_Log[[#This Row],[Result ]]="Push", 0, ""))))</f>
        <v/>
      </c>
      <c r="J513" s="2" t="str">
        <f>IF(Bet_Log[[#This Row],[Return]]="", "", J512 + Bet_Log[[#This Row],[Return]])</f>
        <v/>
      </c>
      <c r="K513" s="9"/>
    </row>
    <row r="514" spans="1:11" x14ac:dyDescent="0.2">
      <c r="A514" s="27"/>
      <c r="B514" s="1"/>
      <c r="C514" s="6"/>
      <c r="D514" s="1"/>
      <c r="E514" s="7"/>
      <c r="F514" s="8"/>
      <c r="G514" s="3" t="str" cm="1">
        <f t="array" ref="G514">IF(ISBLANK(F514), "", IFERROR(_xlfn.IFS(LEFT(F514,1)="+", (VALUE(MID(F514,2,LEN(F514)))+100)/100, VALUE(F514)&gt;0, (F514+100)/100, VALUE(F514)&lt;0, (ABS(F514)+100)/ABS(F514), F514=0, 0), ""))</f>
        <v/>
      </c>
      <c r="H514" s="1"/>
      <c r="I514" s="4" t="str">
        <f>IF(Bet_Log[[#This Row],[Result ]]="", "", IF(Bet_Log[[#This Row],[Result ]]="Win", Bet_Log[[#This Row],[Stake]]*Bet_Log[[#This Row],[Decimal]]-Bet_Log[[#This Row],[Stake]], IF(Bet_Log[[#This Row],[Result ]]="Loss", -Bet_Log[[#This Row],[Stake]], IF(Bet_Log[[#This Row],[Result ]]="Push", 0, ""))))</f>
        <v/>
      </c>
      <c r="J514" s="2" t="str">
        <f>IF(Bet_Log[[#This Row],[Return]]="", "", J513 + Bet_Log[[#This Row],[Return]])</f>
        <v/>
      </c>
      <c r="K514" s="9"/>
    </row>
    <row r="515" spans="1:11" x14ac:dyDescent="0.2">
      <c r="A515" s="27"/>
      <c r="B515" s="1"/>
      <c r="C515" s="6"/>
      <c r="D515" s="1"/>
      <c r="E515" s="7"/>
      <c r="F515" s="8"/>
      <c r="G515" s="3" t="str" cm="1">
        <f t="array" ref="G515">IF(ISBLANK(F515), "", IFERROR(_xlfn.IFS(LEFT(F515,1)="+", (VALUE(MID(F515,2,LEN(F515)))+100)/100, VALUE(F515)&gt;0, (F515+100)/100, VALUE(F515)&lt;0, (ABS(F515)+100)/ABS(F515), F515=0, 0), ""))</f>
        <v/>
      </c>
      <c r="H515" s="1"/>
      <c r="I515" s="4" t="str">
        <f>IF(Bet_Log[[#This Row],[Result ]]="", "", IF(Bet_Log[[#This Row],[Result ]]="Win", Bet_Log[[#This Row],[Stake]]*Bet_Log[[#This Row],[Decimal]]-Bet_Log[[#This Row],[Stake]], IF(Bet_Log[[#This Row],[Result ]]="Loss", -Bet_Log[[#This Row],[Stake]], IF(Bet_Log[[#This Row],[Result ]]="Push", 0, ""))))</f>
        <v/>
      </c>
      <c r="J515" s="2" t="str">
        <f>IF(Bet_Log[[#This Row],[Return]]="", "", J514 + Bet_Log[[#This Row],[Return]])</f>
        <v/>
      </c>
      <c r="K515" s="9"/>
    </row>
    <row r="516" spans="1:11" x14ac:dyDescent="0.2">
      <c r="A516" s="27"/>
      <c r="B516" s="1"/>
      <c r="C516" s="6"/>
      <c r="D516" s="1"/>
      <c r="E516" s="7"/>
      <c r="F516" s="8"/>
      <c r="G516" s="3" t="str" cm="1">
        <f t="array" ref="G516">IF(ISBLANK(F516), "", IFERROR(_xlfn.IFS(LEFT(F516,1)="+", (VALUE(MID(F516,2,LEN(F516)))+100)/100, VALUE(F516)&gt;0, (F516+100)/100, VALUE(F516)&lt;0, (ABS(F516)+100)/ABS(F516), F516=0, 0), ""))</f>
        <v/>
      </c>
      <c r="H516" s="1"/>
      <c r="I516" s="4" t="str">
        <f>IF(Bet_Log[[#This Row],[Result ]]="", "", IF(Bet_Log[[#This Row],[Result ]]="Win", Bet_Log[[#This Row],[Stake]]*Bet_Log[[#This Row],[Decimal]]-Bet_Log[[#This Row],[Stake]], IF(Bet_Log[[#This Row],[Result ]]="Loss", -Bet_Log[[#This Row],[Stake]], IF(Bet_Log[[#This Row],[Result ]]="Push", 0, ""))))</f>
        <v/>
      </c>
      <c r="J516" s="2" t="str">
        <f>IF(Bet_Log[[#This Row],[Return]]="", "", J515 + Bet_Log[[#This Row],[Return]])</f>
        <v/>
      </c>
      <c r="K516" s="9"/>
    </row>
    <row r="517" spans="1:11" x14ac:dyDescent="0.2">
      <c r="A517" s="27"/>
      <c r="B517" s="1"/>
      <c r="C517" s="6"/>
      <c r="D517" s="1"/>
      <c r="E517" s="7"/>
      <c r="F517" s="8"/>
      <c r="G517" s="3" t="str" cm="1">
        <f t="array" ref="G517">IF(ISBLANK(F517), "", IFERROR(_xlfn.IFS(LEFT(F517,1)="+", (VALUE(MID(F517,2,LEN(F517)))+100)/100, VALUE(F517)&gt;0, (F517+100)/100, VALUE(F517)&lt;0, (ABS(F517)+100)/ABS(F517), F517=0, 0), ""))</f>
        <v/>
      </c>
      <c r="H517" s="1"/>
      <c r="I517" s="4" t="str">
        <f>IF(Bet_Log[[#This Row],[Result ]]="", "", IF(Bet_Log[[#This Row],[Result ]]="Win", Bet_Log[[#This Row],[Stake]]*Bet_Log[[#This Row],[Decimal]]-Bet_Log[[#This Row],[Stake]], IF(Bet_Log[[#This Row],[Result ]]="Loss", -Bet_Log[[#This Row],[Stake]], IF(Bet_Log[[#This Row],[Result ]]="Push", 0, ""))))</f>
        <v/>
      </c>
      <c r="J517" s="2" t="str">
        <f>IF(Bet_Log[[#This Row],[Return]]="", "", J516 + Bet_Log[[#This Row],[Return]])</f>
        <v/>
      </c>
      <c r="K517" s="9"/>
    </row>
    <row r="518" spans="1:11" x14ac:dyDescent="0.2">
      <c r="A518" s="27"/>
      <c r="B518" s="1"/>
      <c r="C518" s="6"/>
      <c r="D518" s="1"/>
      <c r="E518" s="7"/>
      <c r="F518" s="8"/>
      <c r="G518" s="3" t="str" cm="1">
        <f t="array" ref="G518">IF(ISBLANK(F518), "", IFERROR(_xlfn.IFS(LEFT(F518,1)="+", (VALUE(MID(F518,2,LEN(F518)))+100)/100, VALUE(F518)&gt;0, (F518+100)/100, VALUE(F518)&lt;0, (ABS(F518)+100)/ABS(F518), F518=0, 0), ""))</f>
        <v/>
      </c>
      <c r="H518" s="1"/>
      <c r="I518" s="4" t="str">
        <f>IF(Bet_Log[[#This Row],[Result ]]="", "", IF(Bet_Log[[#This Row],[Result ]]="Win", Bet_Log[[#This Row],[Stake]]*Bet_Log[[#This Row],[Decimal]]-Bet_Log[[#This Row],[Stake]], IF(Bet_Log[[#This Row],[Result ]]="Loss", -Bet_Log[[#This Row],[Stake]], IF(Bet_Log[[#This Row],[Result ]]="Push", 0, ""))))</f>
        <v/>
      </c>
      <c r="J518" s="2" t="str">
        <f>IF(Bet_Log[[#This Row],[Return]]="", "", J517 + Bet_Log[[#This Row],[Return]])</f>
        <v/>
      </c>
      <c r="K518" s="9"/>
    </row>
    <row r="519" spans="1:11" x14ac:dyDescent="0.2">
      <c r="A519" s="27"/>
      <c r="B519" s="1"/>
      <c r="C519" s="6"/>
      <c r="D519" s="1"/>
      <c r="E519" s="7"/>
      <c r="F519" s="8"/>
      <c r="G519" s="3" t="str" cm="1">
        <f t="array" ref="G519">IF(ISBLANK(F519), "", IFERROR(_xlfn.IFS(LEFT(F519,1)="+", (VALUE(MID(F519,2,LEN(F519)))+100)/100, VALUE(F519)&gt;0, (F519+100)/100, VALUE(F519)&lt;0, (ABS(F519)+100)/ABS(F519), F519=0, 0), ""))</f>
        <v/>
      </c>
      <c r="H519" s="1"/>
      <c r="I519" s="4" t="str">
        <f>IF(Bet_Log[[#This Row],[Result ]]="", "", IF(Bet_Log[[#This Row],[Result ]]="Win", Bet_Log[[#This Row],[Stake]]*Bet_Log[[#This Row],[Decimal]]-Bet_Log[[#This Row],[Stake]], IF(Bet_Log[[#This Row],[Result ]]="Loss", -Bet_Log[[#This Row],[Stake]], IF(Bet_Log[[#This Row],[Result ]]="Push", 0, ""))))</f>
        <v/>
      </c>
      <c r="J519" s="2" t="str">
        <f>IF(Bet_Log[[#This Row],[Return]]="", "", J518 + Bet_Log[[#This Row],[Return]])</f>
        <v/>
      </c>
      <c r="K519" s="9"/>
    </row>
    <row r="520" spans="1:11" x14ac:dyDescent="0.2">
      <c r="A520" s="27"/>
      <c r="B520" s="1"/>
      <c r="C520" s="6"/>
      <c r="D520" s="1"/>
      <c r="E520" s="7"/>
      <c r="F520" s="8"/>
      <c r="G520" s="3" t="str" cm="1">
        <f t="array" ref="G520">IF(ISBLANK(F520), "", IFERROR(_xlfn.IFS(LEFT(F520,1)="+", (VALUE(MID(F520,2,LEN(F520)))+100)/100, VALUE(F520)&gt;0, (F520+100)/100, VALUE(F520)&lt;0, (ABS(F520)+100)/ABS(F520), F520=0, 0), ""))</f>
        <v/>
      </c>
      <c r="H520" s="1"/>
      <c r="I520" s="4" t="str">
        <f>IF(Bet_Log[[#This Row],[Result ]]="", "", IF(Bet_Log[[#This Row],[Result ]]="Win", Bet_Log[[#This Row],[Stake]]*Bet_Log[[#This Row],[Decimal]]-Bet_Log[[#This Row],[Stake]], IF(Bet_Log[[#This Row],[Result ]]="Loss", -Bet_Log[[#This Row],[Stake]], IF(Bet_Log[[#This Row],[Result ]]="Push", 0, ""))))</f>
        <v/>
      </c>
      <c r="J520" s="2" t="str">
        <f>IF(Bet_Log[[#This Row],[Return]]="", "", J519 + Bet_Log[[#This Row],[Return]])</f>
        <v/>
      </c>
      <c r="K520" s="9"/>
    </row>
    <row r="521" spans="1:11" x14ac:dyDescent="0.2">
      <c r="A521" s="27"/>
      <c r="B521" s="1"/>
      <c r="C521" s="6"/>
      <c r="D521" s="1"/>
      <c r="E521" s="7"/>
      <c r="F521" s="8"/>
      <c r="G521" s="3" t="str" cm="1">
        <f t="array" ref="G521">IF(ISBLANK(F521), "", IFERROR(_xlfn.IFS(LEFT(F521,1)="+", (VALUE(MID(F521,2,LEN(F521)))+100)/100, VALUE(F521)&gt;0, (F521+100)/100, VALUE(F521)&lt;0, (ABS(F521)+100)/ABS(F521), F521=0, 0), ""))</f>
        <v/>
      </c>
      <c r="H521" s="1"/>
      <c r="I521" s="4" t="str">
        <f>IF(Bet_Log[[#This Row],[Result ]]="", "", IF(Bet_Log[[#This Row],[Result ]]="Win", Bet_Log[[#This Row],[Stake]]*Bet_Log[[#This Row],[Decimal]]-Bet_Log[[#This Row],[Stake]], IF(Bet_Log[[#This Row],[Result ]]="Loss", -Bet_Log[[#This Row],[Stake]], IF(Bet_Log[[#This Row],[Result ]]="Push", 0, ""))))</f>
        <v/>
      </c>
      <c r="J521" s="2" t="str">
        <f>IF(Bet_Log[[#This Row],[Return]]="", "", J520 + Bet_Log[[#This Row],[Return]])</f>
        <v/>
      </c>
      <c r="K521" s="9"/>
    </row>
    <row r="522" spans="1:11" x14ac:dyDescent="0.2">
      <c r="A522" s="27"/>
      <c r="B522" s="1"/>
      <c r="C522" s="6"/>
      <c r="D522" s="1"/>
      <c r="E522" s="7"/>
      <c r="F522" s="8"/>
      <c r="G522" s="3" t="str" cm="1">
        <f t="array" ref="G522">IF(ISBLANK(F522), "", IFERROR(_xlfn.IFS(LEFT(F522,1)="+", (VALUE(MID(F522,2,LEN(F522)))+100)/100, VALUE(F522)&gt;0, (F522+100)/100, VALUE(F522)&lt;0, (ABS(F522)+100)/ABS(F522), F522=0, 0), ""))</f>
        <v/>
      </c>
      <c r="H522" s="1"/>
      <c r="I522" s="4" t="str">
        <f>IF(Bet_Log[[#This Row],[Result ]]="", "", IF(Bet_Log[[#This Row],[Result ]]="Win", Bet_Log[[#This Row],[Stake]]*Bet_Log[[#This Row],[Decimal]]-Bet_Log[[#This Row],[Stake]], IF(Bet_Log[[#This Row],[Result ]]="Loss", -Bet_Log[[#This Row],[Stake]], IF(Bet_Log[[#This Row],[Result ]]="Push", 0, ""))))</f>
        <v/>
      </c>
      <c r="J522" s="2" t="str">
        <f>IF(Bet_Log[[#This Row],[Return]]="", "", J521 + Bet_Log[[#This Row],[Return]])</f>
        <v/>
      </c>
      <c r="K522" s="9"/>
    </row>
    <row r="523" spans="1:11" x14ac:dyDescent="0.2">
      <c r="A523" s="27"/>
      <c r="B523" s="1"/>
      <c r="C523" s="6"/>
      <c r="D523" s="1"/>
      <c r="E523" s="7"/>
      <c r="F523" s="8"/>
      <c r="G523" s="3" t="str" cm="1">
        <f t="array" ref="G523">IF(ISBLANK(F523), "", IFERROR(_xlfn.IFS(LEFT(F523,1)="+", (VALUE(MID(F523,2,LEN(F523)))+100)/100, VALUE(F523)&gt;0, (F523+100)/100, VALUE(F523)&lt;0, (ABS(F523)+100)/ABS(F523), F523=0, 0), ""))</f>
        <v/>
      </c>
      <c r="H523" s="1"/>
      <c r="I523" s="4" t="str">
        <f>IF(Bet_Log[[#This Row],[Result ]]="", "", IF(Bet_Log[[#This Row],[Result ]]="Win", Bet_Log[[#This Row],[Stake]]*Bet_Log[[#This Row],[Decimal]]-Bet_Log[[#This Row],[Stake]], IF(Bet_Log[[#This Row],[Result ]]="Loss", -Bet_Log[[#This Row],[Stake]], IF(Bet_Log[[#This Row],[Result ]]="Push", 0, ""))))</f>
        <v/>
      </c>
      <c r="J523" s="2" t="str">
        <f>IF(Bet_Log[[#This Row],[Return]]="", "", J522 + Bet_Log[[#This Row],[Return]])</f>
        <v/>
      </c>
      <c r="K523" s="9"/>
    </row>
    <row r="524" spans="1:11" x14ac:dyDescent="0.2">
      <c r="A524" s="27"/>
      <c r="B524" s="1"/>
      <c r="C524" s="6"/>
      <c r="D524" s="1"/>
      <c r="E524" s="7"/>
      <c r="F524" s="8"/>
      <c r="G524" s="3" t="str" cm="1">
        <f t="array" ref="G524">IF(ISBLANK(F524), "", IFERROR(_xlfn.IFS(LEFT(F524,1)="+", (VALUE(MID(F524,2,LEN(F524)))+100)/100, VALUE(F524)&gt;0, (F524+100)/100, VALUE(F524)&lt;0, (ABS(F524)+100)/ABS(F524), F524=0, 0), ""))</f>
        <v/>
      </c>
      <c r="H524" s="1"/>
      <c r="I524" s="4" t="str">
        <f>IF(Bet_Log[[#This Row],[Result ]]="", "", IF(Bet_Log[[#This Row],[Result ]]="Win", Bet_Log[[#This Row],[Stake]]*Bet_Log[[#This Row],[Decimal]]-Bet_Log[[#This Row],[Stake]], IF(Bet_Log[[#This Row],[Result ]]="Loss", -Bet_Log[[#This Row],[Stake]], IF(Bet_Log[[#This Row],[Result ]]="Push", 0, ""))))</f>
        <v/>
      </c>
      <c r="J524" s="2" t="str">
        <f>IF(Bet_Log[[#This Row],[Return]]="", "", J523 + Bet_Log[[#This Row],[Return]])</f>
        <v/>
      </c>
      <c r="K524" s="9"/>
    </row>
    <row r="525" spans="1:11" x14ac:dyDescent="0.2">
      <c r="A525" s="27"/>
      <c r="B525" s="1"/>
      <c r="C525" s="6"/>
      <c r="D525" s="1"/>
      <c r="E525" s="7"/>
      <c r="F525" s="8"/>
      <c r="G525" s="3" t="str" cm="1">
        <f t="array" ref="G525">IF(ISBLANK(F525), "", IFERROR(_xlfn.IFS(LEFT(F525,1)="+", (VALUE(MID(F525,2,LEN(F525)))+100)/100, VALUE(F525)&gt;0, (F525+100)/100, VALUE(F525)&lt;0, (ABS(F525)+100)/ABS(F525), F525=0, 0), ""))</f>
        <v/>
      </c>
      <c r="H525" s="1"/>
      <c r="I525" s="4" t="str">
        <f>IF(Bet_Log[[#This Row],[Result ]]="", "", IF(Bet_Log[[#This Row],[Result ]]="Win", Bet_Log[[#This Row],[Stake]]*Bet_Log[[#This Row],[Decimal]]-Bet_Log[[#This Row],[Stake]], IF(Bet_Log[[#This Row],[Result ]]="Loss", -Bet_Log[[#This Row],[Stake]], IF(Bet_Log[[#This Row],[Result ]]="Push", 0, ""))))</f>
        <v/>
      </c>
      <c r="J525" s="2" t="str">
        <f>IF(Bet_Log[[#This Row],[Return]]="", "", J524 + Bet_Log[[#This Row],[Return]])</f>
        <v/>
      </c>
      <c r="K525" s="9"/>
    </row>
    <row r="526" spans="1:11" x14ac:dyDescent="0.2">
      <c r="A526" s="27"/>
      <c r="B526" s="1"/>
      <c r="C526" s="6"/>
      <c r="D526" s="1"/>
      <c r="E526" s="7"/>
      <c r="F526" s="8"/>
      <c r="G526" s="3" t="str" cm="1">
        <f t="array" ref="G526">IF(ISBLANK(F526), "", IFERROR(_xlfn.IFS(LEFT(F526,1)="+", (VALUE(MID(F526,2,LEN(F526)))+100)/100, VALUE(F526)&gt;0, (F526+100)/100, VALUE(F526)&lt;0, (ABS(F526)+100)/ABS(F526), F526=0, 0), ""))</f>
        <v/>
      </c>
      <c r="H526" s="1"/>
      <c r="I526" s="4" t="str">
        <f>IF(Bet_Log[[#This Row],[Result ]]="", "", IF(Bet_Log[[#This Row],[Result ]]="Win", Bet_Log[[#This Row],[Stake]]*Bet_Log[[#This Row],[Decimal]]-Bet_Log[[#This Row],[Stake]], IF(Bet_Log[[#This Row],[Result ]]="Loss", -Bet_Log[[#This Row],[Stake]], IF(Bet_Log[[#This Row],[Result ]]="Push", 0, ""))))</f>
        <v/>
      </c>
      <c r="J526" s="2" t="str">
        <f>IF(Bet_Log[[#This Row],[Return]]="", "", J525 + Bet_Log[[#This Row],[Return]])</f>
        <v/>
      </c>
      <c r="K526" s="9"/>
    </row>
    <row r="527" spans="1:11" x14ac:dyDescent="0.2">
      <c r="A527" s="27"/>
      <c r="B527" s="1"/>
      <c r="C527" s="6"/>
      <c r="D527" s="1"/>
      <c r="E527" s="7"/>
      <c r="F527" s="8"/>
      <c r="G527" s="3" t="str" cm="1">
        <f t="array" ref="G527">IF(ISBLANK(F527), "", IFERROR(_xlfn.IFS(LEFT(F527,1)="+", (VALUE(MID(F527,2,LEN(F527)))+100)/100, VALUE(F527)&gt;0, (F527+100)/100, VALUE(F527)&lt;0, (ABS(F527)+100)/ABS(F527), F527=0, 0), ""))</f>
        <v/>
      </c>
      <c r="H527" s="1"/>
      <c r="I527" s="4" t="str">
        <f>IF(Bet_Log[[#This Row],[Result ]]="", "", IF(Bet_Log[[#This Row],[Result ]]="Win", Bet_Log[[#This Row],[Stake]]*Bet_Log[[#This Row],[Decimal]]-Bet_Log[[#This Row],[Stake]], IF(Bet_Log[[#This Row],[Result ]]="Loss", -Bet_Log[[#This Row],[Stake]], IF(Bet_Log[[#This Row],[Result ]]="Push", 0, ""))))</f>
        <v/>
      </c>
      <c r="J527" s="2" t="str">
        <f>IF(Bet_Log[[#This Row],[Return]]="", "", J526 + Bet_Log[[#This Row],[Return]])</f>
        <v/>
      </c>
      <c r="K527" s="9"/>
    </row>
    <row r="528" spans="1:11" x14ac:dyDescent="0.2">
      <c r="A528" s="27"/>
      <c r="B528" s="1"/>
      <c r="C528" s="6"/>
      <c r="D528" s="1"/>
      <c r="E528" s="7"/>
      <c r="F528" s="8"/>
      <c r="G528" s="3" t="str" cm="1">
        <f t="array" ref="G528">IF(ISBLANK(F528), "", IFERROR(_xlfn.IFS(LEFT(F528,1)="+", (VALUE(MID(F528,2,LEN(F528)))+100)/100, VALUE(F528)&gt;0, (F528+100)/100, VALUE(F528)&lt;0, (ABS(F528)+100)/ABS(F528), F528=0, 0), ""))</f>
        <v/>
      </c>
      <c r="H528" s="1"/>
      <c r="I528" s="4" t="str">
        <f>IF(Bet_Log[[#This Row],[Result ]]="", "", IF(Bet_Log[[#This Row],[Result ]]="Win", Bet_Log[[#This Row],[Stake]]*Bet_Log[[#This Row],[Decimal]]-Bet_Log[[#This Row],[Stake]], IF(Bet_Log[[#This Row],[Result ]]="Loss", -Bet_Log[[#This Row],[Stake]], IF(Bet_Log[[#This Row],[Result ]]="Push", 0, ""))))</f>
        <v/>
      </c>
      <c r="J528" s="2" t="str">
        <f>IF(Bet_Log[[#This Row],[Return]]="", "", J527 + Bet_Log[[#This Row],[Return]])</f>
        <v/>
      </c>
      <c r="K528" s="9"/>
    </row>
    <row r="529" spans="1:11" x14ac:dyDescent="0.2">
      <c r="A529" s="27"/>
      <c r="B529" s="1"/>
      <c r="C529" s="6"/>
      <c r="D529" s="1"/>
      <c r="E529" s="7"/>
      <c r="F529" s="8"/>
      <c r="G529" s="3" t="str" cm="1">
        <f t="array" ref="G529">IF(ISBLANK(F529), "", IFERROR(_xlfn.IFS(LEFT(F529,1)="+", (VALUE(MID(F529,2,LEN(F529)))+100)/100, VALUE(F529)&gt;0, (F529+100)/100, VALUE(F529)&lt;0, (ABS(F529)+100)/ABS(F529), F529=0, 0), ""))</f>
        <v/>
      </c>
      <c r="H529" s="1"/>
      <c r="I529" s="4" t="str">
        <f>IF(Bet_Log[[#This Row],[Result ]]="", "", IF(Bet_Log[[#This Row],[Result ]]="Win", Bet_Log[[#This Row],[Stake]]*Bet_Log[[#This Row],[Decimal]]-Bet_Log[[#This Row],[Stake]], IF(Bet_Log[[#This Row],[Result ]]="Loss", -Bet_Log[[#This Row],[Stake]], IF(Bet_Log[[#This Row],[Result ]]="Push", 0, ""))))</f>
        <v/>
      </c>
      <c r="J529" s="2" t="str">
        <f>IF(Bet_Log[[#This Row],[Return]]="", "", J528 + Bet_Log[[#This Row],[Return]])</f>
        <v/>
      </c>
      <c r="K529" s="9"/>
    </row>
    <row r="530" spans="1:11" x14ac:dyDescent="0.2">
      <c r="A530" s="27"/>
      <c r="B530" s="1"/>
      <c r="C530" s="6"/>
      <c r="D530" s="1"/>
      <c r="E530" s="7"/>
      <c r="F530" s="8"/>
      <c r="G530" s="3" t="str" cm="1">
        <f t="array" ref="G530">IF(ISBLANK(F530), "", IFERROR(_xlfn.IFS(LEFT(F530,1)="+", (VALUE(MID(F530,2,LEN(F530)))+100)/100, VALUE(F530)&gt;0, (F530+100)/100, VALUE(F530)&lt;0, (ABS(F530)+100)/ABS(F530), F530=0, 0), ""))</f>
        <v/>
      </c>
      <c r="H530" s="1"/>
      <c r="I530" s="4" t="str">
        <f>IF(Bet_Log[[#This Row],[Result ]]="", "", IF(Bet_Log[[#This Row],[Result ]]="Win", Bet_Log[[#This Row],[Stake]]*Bet_Log[[#This Row],[Decimal]]-Bet_Log[[#This Row],[Stake]], IF(Bet_Log[[#This Row],[Result ]]="Loss", -Bet_Log[[#This Row],[Stake]], IF(Bet_Log[[#This Row],[Result ]]="Push", 0, ""))))</f>
        <v/>
      </c>
      <c r="J530" s="2" t="str">
        <f>IF(Bet_Log[[#This Row],[Return]]="", "", J529 + Bet_Log[[#This Row],[Return]])</f>
        <v/>
      </c>
      <c r="K530" s="9"/>
    </row>
    <row r="531" spans="1:11" x14ac:dyDescent="0.2">
      <c r="A531" s="27"/>
      <c r="B531" s="1"/>
      <c r="C531" s="6"/>
      <c r="D531" s="1"/>
      <c r="E531" s="7"/>
      <c r="F531" s="8"/>
      <c r="G531" s="3" t="str" cm="1">
        <f t="array" ref="G531">IF(ISBLANK(F531), "", IFERROR(_xlfn.IFS(LEFT(F531,1)="+", (VALUE(MID(F531,2,LEN(F531)))+100)/100, VALUE(F531)&gt;0, (F531+100)/100, VALUE(F531)&lt;0, (ABS(F531)+100)/ABS(F531), F531=0, 0), ""))</f>
        <v/>
      </c>
      <c r="H531" s="1"/>
      <c r="I531" s="4" t="str">
        <f>IF(Bet_Log[[#This Row],[Result ]]="", "", IF(Bet_Log[[#This Row],[Result ]]="Win", Bet_Log[[#This Row],[Stake]]*Bet_Log[[#This Row],[Decimal]]-Bet_Log[[#This Row],[Stake]], IF(Bet_Log[[#This Row],[Result ]]="Loss", -Bet_Log[[#This Row],[Stake]], IF(Bet_Log[[#This Row],[Result ]]="Push", 0, ""))))</f>
        <v/>
      </c>
      <c r="J531" s="2" t="str">
        <f>IF(Bet_Log[[#This Row],[Return]]="", "", J530 + Bet_Log[[#This Row],[Return]])</f>
        <v/>
      </c>
      <c r="K531" s="9"/>
    </row>
    <row r="532" spans="1:11" x14ac:dyDescent="0.2">
      <c r="A532" s="27"/>
      <c r="B532" s="1"/>
      <c r="C532" s="6"/>
      <c r="D532" s="1"/>
      <c r="E532" s="7"/>
      <c r="F532" s="8"/>
      <c r="G532" s="3" t="str" cm="1">
        <f t="array" ref="G532">IF(ISBLANK(F532), "", IFERROR(_xlfn.IFS(LEFT(F532,1)="+", (VALUE(MID(F532,2,LEN(F532)))+100)/100, VALUE(F532)&gt;0, (F532+100)/100, VALUE(F532)&lt;0, (ABS(F532)+100)/ABS(F532), F532=0, 0), ""))</f>
        <v/>
      </c>
      <c r="H532" s="1"/>
      <c r="I532" s="4" t="str">
        <f>IF(Bet_Log[[#This Row],[Result ]]="", "", IF(Bet_Log[[#This Row],[Result ]]="Win", Bet_Log[[#This Row],[Stake]]*Bet_Log[[#This Row],[Decimal]]-Bet_Log[[#This Row],[Stake]], IF(Bet_Log[[#This Row],[Result ]]="Loss", -Bet_Log[[#This Row],[Stake]], IF(Bet_Log[[#This Row],[Result ]]="Push", 0, ""))))</f>
        <v/>
      </c>
      <c r="J532" s="2" t="str">
        <f>IF(Bet_Log[[#This Row],[Return]]="", "", J531 + Bet_Log[[#This Row],[Return]])</f>
        <v/>
      </c>
      <c r="K532" s="9"/>
    </row>
    <row r="533" spans="1:11" x14ac:dyDescent="0.2">
      <c r="A533" s="27"/>
      <c r="B533" s="1"/>
      <c r="C533" s="6"/>
      <c r="D533" s="1"/>
      <c r="E533" s="7"/>
      <c r="F533" s="8"/>
      <c r="G533" s="3" t="str" cm="1">
        <f t="array" ref="G533">IF(ISBLANK(F533), "", IFERROR(_xlfn.IFS(LEFT(F533,1)="+", (VALUE(MID(F533,2,LEN(F533)))+100)/100, VALUE(F533)&gt;0, (F533+100)/100, VALUE(F533)&lt;0, (ABS(F533)+100)/ABS(F533), F533=0, 0), ""))</f>
        <v/>
      </c>
      <c r="H533" s="1"/>
      <c r="I533" s="4" t="str">
        <f>IF(Bet_Log[[#This Row],[Result ]]="", "", IF(Bet_Log[[#This Row],[Result ]]="Win", Bet_Log[[#This Row],[Stake]]*Bet_Log[[#This Row],[Decimal]]-Bet_Log[[#This Row],[Stake]], IF(Bet_Log[[#This Row],[Result ]]="Loss", -Bet_Log[[#This Row],[Stake]], IF(Bet_Log[[#This Row],[Result ]]="Push", 0, ""))))</f>
        <v/>
      </c>
      <c r="J533" s="2" t="str">
        <f>IF(Bet_Log[[#This Row],[Return]]="", "", J532 + Bet_Log[[#This Row],[Return]])</f>
        <v/>
      </c>
      <c r="K533" s="9"/>
    </row>
    <row r="534" spans="1:11" x14ac:dyDescent="0.2">
      <c r="A534" s="27"/>
      <c r="B534" s="1"/>
      <c r="C534" s="6"/>
      <c r="D534" s="1"/>
      <c r="E534" s="7"/>
      <c r="F534" s="8"/>
      <c r="G534" s="3" t="str" cm="1">
        <f t="array" ref="G534">IF(ISBLANK(F534), "", IFERROR(_xlfn.IFS(LEFT(F534,1)="+", (VALUE(MID(F534,2,LEN(F534)))+100)/100, VALUE(F534)&gt;0, (F534+100)/100, VALUE(F534)&lt;0, (ABS(F534)+100)/ABS(F534), F534=0, 0), ""))</f>
        <v/>
      </c>
      <c r="H534" s="1"/>
      <c r="I534" s="4" t="str">
        <f>IF(Bet_Log[[#This Row],[Result ]]="", "", IF(Bet_Log[[#This Row],[Result ]]="Win", Bet_Log[[#This Row],[Stake]]*Bet_Log[[#This Row],[Decimal]]-Bet_Log[[#This Row],[Stake]], IF(Bet_Log[[#This Row],[Result ]]="Loss", -Bet_Log[[#This Row],[Stake]], IF(Bet_Log[[#This Row],[Result ]]="Push", 0, ""))))</f>
        <v/>
      </c>
      <c r="J534" s="2" t="str">
        <f>IF(Bet_Log[[#This Row],[Return]]="", "", J533 + Bet_Log[[#This Row],[Return]])</f>
        <v/>
      </c>
      <c r="K534" s="9"/>
    </row>
    <row r="535" spans="1:11" x14ac:dyDescent="0.2">
      <c r="A535" s="27"/>
      <c r="B535" s="1"/>
      <c r="C535" s="6"/>
      <c r="D535" s="1"/>
      <c r="E535" s="7"/>
      <c r="F535" s="8"/>
      <c r="G535" s="3" t="str" cm="1">
        <f t="array" ref="G535">IF(ISBLANK(F535), "", IFERROR(_xlfn.IFS(LEFT(F535,1)="+", (VALUE(MID(F535,2,LEN(F535)))+100)/100, VALUE(F535)&gt;0, (F535+100)/100, VALUE(F535)&lt;0, (ABS(F535)+100)/ABS(F535), F535=0, 0), ""))</f>
        <v/>
      </c>
      <c r="H535" s="1"/>
      <c r="I535" s="4" t="str">
        <f>IF(Bet_Log[[#This Row],[Result ]]="", "", IF(Bet_Log[[#This Row],[Result ]]="Win", Bet_Log[[#This Row],[Stake]]*Bet_Log[[#This Row],[Decimal]]-Bet_Log[[#This Row],[Stake]], IF(Bet_Log[[#This Row],[Result ]]="Loss", -Bet_Log[[#This Row],[Stake]], IF(Bet_Log[[#This Row],[Result ]]="Push", 0, ""))))</f>
        <v/>
      </c>
      <c r="J535" s="2" t="str">
        <f>IF(Bet_Log[[#This Row],[Return]]="", "", J534 + Bet_Log[[#This Row],[Return]])</f>
        <v/>
      </c>
      <c r="K535" s="9"/>
    </row>
    <row r="536" spans="1:11" x14ac:dyDescent="0.2">
      <c r="A536" s="27"/>
      <c r="B536" s="1"/>
      <c r="C536" s="6"/>
      <c r="D536" s="1"/>
      <c r="E536" s="7"/>
      <c r="F536" s="8"/>
      <c r="G536" s="3" t="str" cm="1">
        <f t="array" ref="G536">IF(ISBLANK(F536), "", IFERROR(_xlfn.IFS(LEFT(F536,1)="+", (VALUE(MID(F536,2,LEN(F536)))+100)/100, VALUE(F536)&gt;0, (F536+100)/100, VALUE(F536)&lt;0, (ABS(F536)+100)/ABS(F536), F536=0, 0), ""))</f>
        <v/>
      </c>
      <c r="H536" s="1"/>
      <c r="I536" s="4" t="str">
        <f>IF(Bet_Log[[#This Row],[Result ]]="", "", IF(Bet_Log[[#This Row],[Result ]]="Win", Bet_Log[[#This Row],[Stake]]*Bet_Log[[#This Row],[Decimal]]-Bet_Log[[#This Row],[Stake]], IF(Bet_Log[[#This Row],[Result ]]="Loss", -Bet_Log[[#This Row],[Stake]], IF(Bet_Log[[#This Row],[Result ]]="Push", 0, ""))))</f>
        <v/>
      </c>
      <c r="J536" s="2" t="str">
        <f>IF(Bet_Log[[#This Row],[Return]]="", "", J535 + Bet_Log[[#This Row],[Return]])</f>
        <v/>
      </c>
      <c r="K536" s="9"/>
    </row>
    <row r="537" spans="1:11" x14ac:dyDescent="0.2">
      <c r="A537" s="27"/>
      <c r="B537" s="1"/>
      <c r="C537" s="6"/>
      <c r="D537" s="1"/>
      <c r="E537" s="7"/>
      <c r="F537" s="8"/>
      <c r="G537" s="3" t="str" cm="1">
        <f t="array" ref="G537">IF(ISBLANK(F537), "", IFERROR(_xlfn.IFS(LEFT(F537,1)="+", (VALUE(MID(F537,2,LEN(F537)))+100)/100, VALUE(F537)&gt;0, (F537+100)/100, VALUE(F537)&lt;0, (ABS(F537)+100)/ABS(F537), F537=0, 0), ""))</f>
        <v/>
      </c>
      <c r="H537" s="1"/>
      <c r="I537" s="4" t="str">
        <f>IF(Bet_Log[[#This Row],[Result ]]="", "", IF(Bet_Log[[#This Row],[Result ]]="Win", Bet_Log[[#This Row],[Stake]]*Bet_Log[[#This Row],[Decimal]]-Bet_Log[[#This Row],[Stake]], IF(Bet_Log[[#This Row],[Result ]]="Loss", -Bet_Log[[#This Row],[Stake]], IF(Bet_Log[[#This Row],[Result ]]="Push", 0, ""))))</f>
        <v/>
      </c>
      <c r="J537" s="2" t="str">
        <f>IF(Bet_Log[[#This Row],[Return]]="", "", J536 + Bet_Log[[#This Row],[Return]])</f>
        <v/>
      </c>
      <c r="K537" s="9"/>
    </row>
    <row r="538" spans="1:11" x14ac:dyDescent="0.2">
      <c r="A538" s="27"/>
      <c r="B538" s="1"/>
      <c r="C538" s="6"/>
      <c r="D538" s="1"/>
      <c r="E538" s="7"/>
      <c r="F538" s="8"/>
      <c r="G538" s="3" t="str" cm="1">
        <f t="array" ref="G538">IF(ISBLANK(F538), "", IFERROR(_xlfn.IFS(LEFT(F538,1)="+", (VALUE(MID(F538,2,LEN(F538)))+100)/100, VALUE(F538)&gt;0, (F538+100)/100, VALUE(F538)&lt;0, (ABS(F538)+100)/ABS(F538), F538=0, 0), ""))</f>
        <v/>
      </c>
      <c r="H538" s="1"/>
      <c r="I538" s="4" t="str">
        <f>IF(Bet_Log[[#This Row],[Result ]]="", "", IF(Bet_Log[[#This Row],[Result ]]="Win", Bet_Log[[#This Row],[Stake]]*Bet_Log[[#This Row],[Decimal]]-Bet_Log[[#This Row],[Stake]], IF(Bet_Log[[#This Row],[Result ]]="Loss", -Bet_Log[[#This Row],[Stake]], IF(Bet_Log[[#This Row],[Result ]]="Push", 0, ""))))</f>
        <v/>
      </c>
      <c r="J538" s="2" t="str">
        <f>IF(Bet_Log[[#This Row],[Return]]="", "", J537 + Bet_Log[[#This Row],[Return]])</f>
        <v/>
      </c>
      <c r="K538" s="9"/>
    </row>
    <row r="539" spans="1:11" x14ac:dyDescent="0.2">
      <c r="A539" s="27"/>
      <c r="B539" s="1"/>
      <c r="C539" s="6"/>
      <c r="D539" s="1"/>
      <c r="E539" s="7"/>
      <c r="F539" s="8"/>
      <c r="G539" s="3" t="str" cm="1">
        <f t="array" ref="G539">IF(ISBLANK(F539), "", IFERROR(_xlfn.IFS(LEFT(F539,1)="+", (VALUE(MID(F539,2,LEN(F539)))+100)/100, VALUE(F539)&gt;0, (F539+100)/100, VALUE(F539)&lt;0, (ABS(F539)+100)/ABS(F539), F539=0, 0), ""))</f>
        <v/>
      </c>
      <c r="H539" s="1"/>
      <c r="I539" s="4" t="str">
        <f>IF(Bet_Log[[#This Row],[Result ]]="", "", IF(Bet_Log[[#This Row],[Result ]]="Win", Bet_Log[[#This Row],[Stake]]*Bet_Log[[#This Row],[Decimal]]-Bet_Log[[#This Row],[Stake]], IF(Bet_Log[[#This Row],[Result ]]="Loss", -Bet_Log[[#This Row],[Stake]], IF(Bet_Log[[#This Row],[Result ]]="Push", 0, ""))))</f>
        <v/>
      </c>
      <c r="J539" s="2" t="str">
        <f>IF(Bet_Log[[#This Row],[Return]]="", "", J538 + Bet_Log[[#This Row],[Return]])</f>
        <v/>
      </c>
      <c r="K539" s="9"/>
    </row>
    <row r="540" spans="1:11" x14ac:dyDescent="0.2">
      <c r="A540" s="27"/>
      <c r="B540" s="1"/>
      <c r="C540" s="6"/>
      <c r="D540" s="1"/>
      <c r="E540" s="7"/>
      <c r="F540" s="8"/>
      <c r="G540" s="3" t="str" cm="1">
        <f t="array" ref="G540">IF(ISBLANK(F540), "", IFERROR(_xlfn.IFS(LEFT(F540,1)="+", (VALUE(MID(F540,2,LEN(F540)))+100)/100, VALUE(F540)&gt;0, (F540+100)/100, VALUE(F540)&lt;0, (ABS(F540)+100)/ABS(F540), F540=0, 0), ""))</f>
        <v/>
      </c>
      <c r="H540" s="1"/>
      <c r="I540" s="4" t="str">
        <f>IF(Bet_Log[[#This Row],[Result ]]="", "", IF(Bet_Log[[#This Row],[Result ]]="Win", Bet_Log[[#This Row],[Stake]]*Bet_Log[[#This Row],[Decimal]]-Bet_Log[[#This Row],[Stake]], IF(Bet_Log[[#This Row],[Result ]]="Loss", -Bet_Log[[#This Row],[Stake]], IF(Bet_Log[[#This Row],[Result ]]="Push", 0, ""))))</f>
        <v/>
      </c>
      <c r="J540" s="2" t="str">
        <f>IF(Bet_Log[[#This Row],[Return]]="", "", J539 + Bet_Log[[#This Row],[Return]])</f>
        <v/>
      </c>
      <c r="K540" s="9"/>
    </row>
    <row r="541" spans="1:11" x14ac:dyDescent="0.2">
      <c r="A541" s="27"/>
      <c r="B541" s="1"/>
      <c r="C541" s="6"/>
      <c r="D541" s="1"/>
      <c r="E541" s="7"/>
      <c r="F541" s="8"/>
      <c r="G541" s="3" t="str" cm="1">
        <f t="array" ref="G541">IF(ISBLANK(F541), "", IFERROR(_xlfn.IFS(LEFT(F541,1)="+", (VALUE(MID(F541,2,LEN(F541)))+100)/100, VALUE(F541)&gt;0, (F541+100)/100, VALUE(F541)&lt;0, (ABS(F541)+100)/ABS(F541), F541=0, 0), ""))</f>
        <v/>
      </c>
      <c r="H541" s="1"/>
      <c r="I541" s="4" t="str">
        <f>IF(Bet_Log[[#This Row],[Result ]]="", "", IF(Bet_Log[[#This Row],[Result ]]="Win", Bet_Log[[#This Row],[Stake]]*Bet_Log[[#This Row],[Decimal]]-Bet_Log[[#This Row],[Stake]], IF(Bet_Log[[#This Row],[Result ]]="Loss", -Bet_Log[[#This Row],[Stake]], IF(Bet_Log[[#This Row],[Result ]]="Push", 0, ""))))</f>
        <v/>
      </c>
      <c r="J541" s="2" t="str">
        <f>IF(Bet_Log[[#This Row],[Return]]="", "", J540 + Bet_Log[[#This Row],[Return]])</f>
        <v/>
      </c>
      <c r="K541" s="9"/>
    </row>
    <row r="542" spans="1:11" x14ac:dyDescent="0.2">
      <c r="A542" s="27"/>
      <c r="B542" s="1"/>
      <c r="C542" s="6"/>
      <c r="D542" s="1"/>
      <c r="E542" s="7"/>
      <c r="F542" s="8"/>
      <c r="G542" s="3" t="str" cm="1">
        <f t="array" ref="G542">IF(ISBLANK(F542), "", IFERROR(_xlfn.IFS(LEFT(F542,1)="+", (VALUE(MID(F542,2,LEN(F542)))+100)/100, VALUE(F542)&gt;0, (F542+100)/100, VALUE(F542)&lt;0, (ABS(F542)+100)/ABS(F542), F542=0, 0), ""))</f>
        <v/>
      </c>
      <c r="H542" s="1"/>
      <c r="I542" s="4" t="str">
        <f>IF(Bet_Log[[#This Row],[Result ]]="", "", IF(Bet_Log[[#This Row],[Result ]]="Win", Bet_Log[[#This Row],[Stake]]*Bet_Log[[#This Row],[Decimal]]-Bet_Log[[#This Row],[Stake]], IF(Bet_Log[[#This Row],[Result ]]="Loss", -Bet_Log[[#This Row],[Stake]], IF(Bet_Log[[#This Row],[Result ]]="Push", 0, ""))))</f>
        <v/>
      </c>
      <c r="J542" s="2" t="str">
        <f>IF(Bet_Log[[#This Row],[Return]]="", "", J541 + Bet_Log[[#This Row],[Return]])</f>
        <v/>
      </c>
      <c r="K542" s="9"/>
    </row>
    <row r="543" spans="1:11" x14ac:dyDescent="0.2">
      <c r="A543" s="27"/>
      <c r="B543" s="1"/>
      <c r="C543" s="6"/>
      <c r="D543" s="1"/>
      <c r="E543" s="7"/>
      <c r="F543" s="8"/>
      <c r="G543" s="3" t="str" cm="1">
        <f t="array" ref="G543">IF(ISBLANK(F543), "", IFERROR(_xlfn.IFS(LEFT(F543,1)="+", (VALUE(MID(F543,2,LEN(F543)))+100)/100, VALUE(F543)&gt;0, (F543+100)/100, VALUE(F543)&lt;0, (ABS(F543)+100)/ABS(F543), F543=0, 0), ""))</f>
        <v/>
      </c>
      <c r="H543" s="1"/>
      <c r="I543" s="4" t="str">
        <f>IF(Bet_Log[[#This Row],[Result ]]="", "", IF(Bet_Log[[#This Row],[Result ]]="Win", Bet_Log[[#This Row],[Stake]]*Bet_Log[[#This Row],[Decimal]]-Bet_Log[[#This Row],[Stake]], IF(Bet_Log[[#This Row],[Result ]]="Loss", -Bet_Log[[#This Row],[Stake]], IF(Bet_Log[[#This Row],[Result ]]="Push", 0, ""))))</f>
        <v/>
      </c>
      <c r="J543" s="2" t="str">
        <f>IF(Bet_Log[[#This Row],[Return]]="", "", J542 + Bet_Log[[#This Row],[Return]])</f>
        <v/>
      </c>
      <c r="K543" s="9"/>
    </row>
    <row r="544" spans="1:11" x14ac:dyDescent="0.2">
      <c r="A544" s="27"/>
      <c r="B544" s="1"/>
      <c r="C544" s="6"/>
      <c r="D544" s="1"/>
      <c r="E544" s="7"/>
      <c r="F544" s="8"/>
      <c r="G544" s="3" t="str" cm="1">
        <f t="array" ref="G544">IF(ISBLANK(F544), "", IFERROR(_xlfn.IFS(LEFT(F544,1)="+", (VALUE(MID(F544,2,LEN(F544)))+100)/100, VALUE(F544)&gt;0, (F544+100)/100, VALUE(F544)&lt;0, (ABS(F544)+100)/ABS(F544), F544=0, 0), ""))</f>
        <v/>
      </c>
      <c r="H544" s="1"/>
      <c r="I544" s="4" t="str">
        <f>IF(Bet_Log[[#This Row],[Result ]]="", "", IF(Bet_Log[[#This Row],[Result ]]="Win", Bet_Log[[#This Row],[Stake]]*Bet_Log[[#This Row],[Decimal]]-Bet_Log[[#This Row],[Stake]], IF(Bet_Log[[#This Row],[Result ]]="Loss", -Bet_Log[[#This Row],[Stake]], IF(Bet_Log[[#This Row],[Result ]]="Push", 0, ""))))</f>
        <v/>
      </c>
      <c r="J544" s="2" t="str">
        <f>IF(Bet_Log[[#This Row],[Return]]="", "", J543 + Bet_Log[[#This Row],[Return]])</f>
        <v/>
      </c>
      <c r="K544" s="9"/>
    </row>
    <row r="545" spans="1:11" x14ac:dyDescent="0.2">
      <c r="A545" s="27"/>
      <c r="B545" s="1"/>
      <c r="C545" s="6"/>
      <c r="D545" s="1"/>
      <c r="E545" s="7"/>
      <c r="F545" s="8"/>
      <c r="G545" s="3" t="str" cm="1">
        <f t="array" ref="G545">IF(ISBLANK(F545), "", IFERROR(_xlfn.IFS(LEFT(F545,1)="+", (VALUE(MID(F545,2,LEN(F545)))+100)/100, VALUE(F545)&gt;0, (F545+100)/100, VALUE(F545)&lt;0, (ABS(F545)+100)/ABS(F545), F545=0, 0), ""))</f>
        <v/>
      </c>
      <c r="H545" s="1"/>
      <c r="I545" s="4" t="str">
        <f>IF(Bet_Log[[#This Row],[Result ]]="", "", IF(Bet_Log[[#This Row],[Result ]]="Win", Bet_Log[[#This Row],[Stake]]*Bet_Log[[#This Row],[Decimal]]-Bet_Log[[#This Row],[Stake]], IF(Bet_Log[[#This Row],[Result ]]="Loss", -Bet_Log[[#This Row],[Stake]], IF(Bet_Log[[#This Row],[Result ]]="Push", 0, ""))))</f>
        <v/>
      </c>
      <c r="J545" s="2" t="str">
        <f>IF(Bet_Log[[#This Row],[Return]]="", "", J544 + Bet_Log[[#This Row],[Return]])</f>
        <v/>
      </c>
      <c r="K545" s="9"/>
    </row>
    <row r="546" spans="1:11" x14ac:dyDescent="0.2">
      <c r="A546" s="27"/>
      <c r="B546" s="1"/>
      <c r="C546" s="6"/>
      <c r="D546" s="1"/>
      <c r="E546" s="7"/>
      <c r="F546" s="8"/>
      <c r="G546" s="3" t="str" cm="1">
        <f t="array" ref="G546">IF(ISBLANK(F546), "", IFERROR(_xlfn.IFS(LEFT(F546,1)="+", (VALUE(MID(F546,2,LEN(F546)))+100)/100, VALUE(F546)&gt;0, (F546+100)/100, VALUE(F546)&lt;0, (ABS(F546)+100)/ABS(F546), F546=0, 0), ""))</f>
        <v/>
      </c>
      <c r="H546" s="1"/>
      <c r="I546" s="4" t="str">
        <f>IF(Bet_Log[[#This Row],[Result ]]="", "", IF(Bet_Log[[#This Row],[Result ]]="Win", Bet_Log[[#This Row],[Stake]]*Bet_Log[[#This Row],[Decimal]]-Bet_Log[[#This Row],[Stake]], IF(Bet_Log[[#This Row],[Result ]]="Loss", -Bet_Log[[#This Row],[Stake]], IF(Bet_Log[[#This Row],[Result ]]="Push", 0, ""))))</f>
        <v/>
      </c>
      <c r="J546" s="2" t="str">
        <f>IF(Bet_Log[[#This Row],[Return]]="", "", J545 + Bet_Log[[#This Row],[Return]])</f>
        <v/>
      </c>
      <c r="K546" s="9"/>
    </row>
    <row r="547" spans="1:11" x14ac:dyDescent="0.2">
      <c r="A547" s="27"/>
      <c r="B547" s="1"/>
      <c r="C547" s="6"/>
      <c r="D547" s="1"/>
      <c r="E547" s="7"/>
      <c r="F547" s="8"/>
      <c r="G547" s="3" t="str" cm="1">
        <f t="array" ref="G547">IF(ISBLANK(F547), "", IFERROR(_xlfn.IFS(LEFT(F547,1)="+", (VALUE(MID(F547,2,LEN(F547)))+100)/100, VALUE(F547)&gt;0, (F547+100)/100, VALUE(F547)&lt;0, (ABS(F547)+100)/ABS(F547), F547=0, 0), ""))</f>
        <v/>
      </c>
      <c r="H547" s="1"/>
      <c r="I547" s="4" t="str">
        <f>IF(Bet_Log[[#This Row],[Result ]]="", "", IF(Bet_Log[[#This Row],[Result ]]="Win", Bet_Log[[#This Row],[Stake]]*Bet_Log[[#This Row],[Decimal]]-Bet_Log[[#This Row],[Stake]], IF(Bet_Log[[#This Row],[Result ]]="Loss", -Bet_Log[[#This Row],[Stake]], IF(Bet_Log[[#This Row],[Result ]]="Push", 0, ""))))</f>
        <v/>
      </c>
      <c r="J547" s="2" t="str">
        <f>IF(Bet_Log[[#This Row],[Return]]="", "", J546 + Bet_Log[[#This Row],[Return]])</f>
        <v/>
      </c>
      <c r="K547" s="9"/>
    </row>
    <row r="548" spans="1:11" x14ac:dyDescent="0.2">
      <c r="A548" s="27"/>
      <c r="B548" s="1"/>
      <c r="C548" s="6"/>
      <c r="D548" s="1"/>
      <c r="E548" s="7"/>
      <c r="F548" s="8"/>
      <c r="G548" s="3" t="str" cm="1">
        <f t="array" ref="G548">IF(ISBLANK(F548), "", IFERROR(_xlfn.IFS(LEFT(F548,1)="+", (VALUE(MID(F548,2,LEN(F548)))+100)/100, VALUE(F548)&gt;0, (F548+100)/100, VALUE(F548)&lt;0, (ABS(F548)+100)/ABS(F548), F548=0, 0), ""))</f>
        <v/>
      </c>
      <c r="H548" s="1"/>
      <c r="I548" s="4" t="str">
        <f>IF(Bet_Log[[#This Row],[Result ]]="", "", IF(Bet_Log[[#This Row],[Result ]]="Win", Bet_Log[[#This Row],[Stake]]*Bet_Log[[#This Row],[Decimal]]-Bet_Log[[#This Row],[Stake]], IF(Bet_Log[[#This Row],[Result ]]="Loss", -Bet_Log[[#This Row],[Stake]], IF(Bet_Log[[#This Row],[Result ]]="Push", 0, ""))))</f>
        <v/>
      </c>
      <c r="J548" s="2" t="str">
        <f>IF(Bet_Log[[#This Row],[Return]]="", "", J547 + Bet_Log[[#This Row],[Return]])</f>
        <v/>
      </c>
      <c r="K548" s="9"/>
    </row>
    <row r="549" spans="1:11" x14ac:dyDescent="0.2">
      <c r="A549" s="27"/>
      <c r="B549" s="1"/>
      <c r="C549" s="6"/>
      <c r="D549" s="1"/>
      <c r="E549" s="7"/>
      <c r="F549" s="8"/>
      <c r="G549" s="3" t="str" cm="1">
        <f t="array" ref="G549">IF(ISBLANK(F549), "", IFERROR(_xlfn.IFS(LEFT(F549,1)="+", (VALUE(MID(F549,2,LEN(F549)))+100)/100, VALUE(F549)&gt;0, (F549+100)/100, VALUE(F549)&lt;0, (ABS(F549)+100)/ABS(F549), F549=0, 0), ""))</f>
        <v/>
      </c>
      <c r="H549" s="1"/>
      <c r="I549" s="4" t="str">
        <f>IF(Bet_Log[[#This Row],[Result ]]="", "", IF(Bet_Log[[#This Row],[Result ]]="Win", Bet_Log[[#This Row],[Stake]]*Bet_Log[[#This Row],[Decimal]]-Bet_Log[[#This Row],[Stake]], IF(Bet_Log[[#This Row],[Result ]]="Loss", -Bet_Log[[#This Row],[Stake]], IF(Bet_Log[[#This Row],[Result ]]="Push", 0, ""))))</f>
        <v/>
      </c>
      <c r="J549" s="2" t="str">
        <f>IF(Bet_Log[[#This Row],[Return]]="", "", J548 + Bet_Log[[#This Row],[Return]])</f>
        <v/>
      </c>
      <c r="K549" s="9"/>
    </row>
    <row r="550" spans="1:11" x14ac:dyDescent="0.2">
      <c r="A550" s="27"/>
      <c r="B550" s="1"/>
      <c r="C550" s="6"/>
      <c r="D550" s="1"/>
      <c r="E550" s="7"/>
      <c r="F550" s="8"/>
      <c r="G550" s="3" t="str" cm="1">
        <f t="array" ref="G550">IF(ISBLANK(F550), "", IFERROR(_xlfn.IFS(LEFT(F550,1)="+", (VALUE(MID(F550,2,LEN(F550)))+100)/100, VALUE(F550)&gt;0, (F550+100)/100, VALUE(F550)&lt;0, (ABS(F550)+100)/ABS(F550), F550=0, 0), ""))</f>
        <v/>
      </c>
      <c r="H550" s="1"/>
      <c r="I550" s="4" t="str">
        <f>IF(Bet_Log[[#This Row],[Result ]]="", "", IF(Bet_Log[[#This Row],[Result ]]="Win", Bet_Log[[#This Row],[Stake]]*Bet_Log[[#This Row],[Decimal]]-Bet_Log[[#This Row],[Stake]], IF(Bet_Log[[#This Row],[Result ]]="Loss", -Bet_Log[[#This Row],[Stake]], IF(Bet_Log[[#This Row],[Result ]]="Push", 0, ""))))</f>
        <v/>
      </c>
      <c r="J550" s="2" t="str">
        <f>IF(Bet_Log[[#This Row],[Return]]="", "", J549 + Bet_Log[[#This Row],[Return]])</f>
        <v/>
      </c>
      <c r="K550" s="9"/>
    </row>
    <row r="551" spans="1:11" x14ac:dyDescent="0.2">
      <c r="A551" s="27"/>
      <c r="B551" s="1"/>
      <c r="C551" s="6"/>
      <c r="D551" s="1"/>
      <c r="E551" s="7"/>
      <c r="F551" s="8"/>
      <c r="G551" s="3" t="str" cm="1">
        <f t="array" ref="G551">IF(ISBLANK(F551), "", IFERROR(_xlfn.IFS(LEFT(F551,1)="+", (VALUE(MID(F551,2,LEN(F551)))+100)/100, VALUE(F551)&gt;0, (F551+100)/100, VALUE(F551)&lt;0, (ABS(F551)+100)/ABS(F551), F551=0, 0), ""))</f>
        <v/>
      </c>
      <c r="H551" s="1"/>
      <c r="I551" s="4" t="str">
        <f>IF(Bet_Log[[#This Row],[Result ]]="", "", IF(Bet_Log[[#This Row],[Result ]]="Win", Bet_Log[[#This Row],[Stake]]*Bet_Log[[#This Row],[Decimal]]-Bet_Log[[#This Row],[Stake]], IF(Bet_Log[[#This Row],[Result ]]="Loss", -Bet_Log[[#This Row],[Stake]], IF(Bet_Log[[#This Row],[Result ]]="Push", 0, ""))))</f>
        <v/>
      </c>
      <c r="J551" s="2" t="str">
        <f>IF(Bet_Log[[#This Row],[Return]]="", "", J550 + Bet_Log[[#This Row],[Return]])</f>
        <v/>
      </c>
      <c r="K551" s="9"/>
    </row>
    <row r="552" spans="1:11" x14ac:dyDescent="0.2">
      <c r="A552" s="27"/>
      <c r="B552" s="1"/>
      <c r="C552" s="6"/>
      <c r="D552" s="1"/>
      <c r="E552" s="7"/>
      <c r="F552" s="8"/>
      <c r="G552" s="3" t="str" cm="1">
        <f t="array" ref="G552">IF(ISBLANK(F552), "", IFERROR(_xlfn.IFS(LEFT(F552,1)="+", (VALUE(MID(F552,2,LEN(F552)))+100)/100, VALUE(F552)&gt;0, (F552+100)/100, VALUE(F552)&lt;0, (ABS(F552)+100)/ABS(F552), F552=0, 0), ""))</f>
        <v/>
      </c>
      <c r="H552" s="1"/>
      <c r="I552" s="4" t="str">
        <f>IF(Bet_Log[[#This Row],[Result ]]="", "", IF(Bet_Log[[#This Row],[Result ]]="Win", Bet_Log[[#This Row],[Stake]]*Bet_Log[[#This Row],[Decimal]]-Bet_Log[[#This Row],[Stake]], IF(Bet_Log[[#This Row],[Result ]]="Loss", -Bet_Log[[#This Row],[Stake]], IF(Bet_Log[[#This Row],[Result ]]="Push", 0, ""))))</f>
        <v/>
      </c>
      <c r="J552" s="2" t="str">
        <f>IF(Bet_Log[[#This Row],[Return]]="", "", J551 + Bet_Log[[#This Row],[Return]])</f>
        <v/>
      </c>
      <c r="K552" s="9"/>
    </row>
    <row r="553" spans="1:11" x14ac:dyDescent="0.2">
      <c r="A553" s="27"/>
      <c r="B553" s="1"/>
      <c r="C553" s="6"/>
      <c r="D553" s="1"/>
      <c r="E553" s="7"/>
      <c r="F553" s="8"/>
      <c r="G553" s="3" t="str" cm="1">
        <f t="array" ref="G553">IF(ISBLANK(F553), "", IFERROR(_xlfn.IFS(LEFT(F553,1)="+", (VALUE(MID(F553,2,LEN(F553)))+100)/100, VALUE(F553)&gt;0, (F553+100)/100, VALUE(F553)&lt;0, (ABS(F553)+100)/ABS(F553), F553=0, 0), ""))</f>
        <v/>
      </c>
      <c r="H553" s="1"/>
      <c r="I553" s="4" t="str">
        <f>IF(Bet_Log[[#This Row],[Result ]]="", "", IF(Bet_Log[[#This Row],[Result ]]="Win", Bet_Log[[#This Row],[Stake]]*Bet_Log[[#This Row],[Decimal]]-Bet_Log[[#This Row],[Stake]], IF(Bet_Log[[#This Row],[Result ]]="Loss", -Bet_Log[[#This Row],[Stake]], IF(Bet_Log[[#This Row],[Result ]]="Push", 0, ""))))</f>
        <v/>
      </c>
      <c r="J553" s="2" t="str">
        <f>IF(Bet_Log[[#This Row],[Return]]="", "", J552 + Bet_Log[[#This Row],[Return]])</f>
        <v/>
      </c>
      <c r="K553" s="9"/>
    </row>
    <row r="554" spans="1:11" x14ac:dyDescent="0.2">
      <c r="A554" s="27"/>
      <c r="B554" s="1"/>
      <c r="C554" s="6"/>
      <c r="D554" s="1"/>
      <c r="E554" s="7"/>
      <c r="F554" s="8"/>
      <c r="G554" s="3" t="str" cm="1">
        <f t="array" ref="G554">IF(ISBLANK(F554), "", IFERROR(_xlfn.IFS(LEFT(F554,1)="+", (VALUE(MID(F554,2,LEN(F554)))+100)/100, VALUE(F554)&gt;0, (F554+100)/100, VALUE(F554)&lt;0, (ABS(F554)+100)/ABS(F554), F554=0, 0), ""))</f>
        <v/>
      </c>
      <c r="H554" s="1"/>
      <c r="I554" s="4" t="str">
        <f>IF(Bet_Log[[#This Row],[Result ]]="", "", IF(Bet_Log[[#This Row],[Result ]]="Win", Bet_Log[[#This Row],[Stake]]*Bet_Log[[#This Row],[Decimal]]-Bet_Log[[#This Row],[Stake]], IF(Bet_Log[[#This Row],[Result ]]="Loss", -Bet_Log[[#This Row],[Stake]], IF(Bet_Log[[#This Row],[Result ]]="Push", 0, ""))))</f>
        <v/>
      </c>
      <c r="J554" s="2" t="str">
        <f>IF(Bet_Log[[#This Row],[Return]]="", "", J553 + Bet_Log[[#This Row],[Return]])</f>
        <v/>
      </c>
      <c r="K554" s="9"/>
    </row>
    <row r="555" spans="1:11" x14ac:dyDescent="0.2">
      <c r="A555" s="27"/>
      <c r="B555" s="1"/>
      <c r="C555" s="6"/>
      <c r="D555" s="1"/>
      <c r="E555" s="7"/>
      <c r="F555" s="8"/>
      <c r="G555" s="3" t="str" cm="1">
        <f t="array" ref="G555">IF(ISBLANK(F555), "", IFERROR(_xlfn.IFS(LEFT(F555,1)="+", (VALUE(MID(F555,2,LEN(F555)))+100)/100, VALUE(F555)&gt;0, (F555+100)/100, VALUE(F555)&lt;0, (ABS(F555)+100)/ABS(F555), F555=0, 0), ""))</f>
        <v/>
      </c>
      <c r="H555" s="1"/>
      <c r="I555" s="4" t="str">
        <f>IF(Bet_Log[[#This Row],[Result ]]="", "", IF(Bet_Log[[#This Row],[Result ]]="Win", Bet_Log[[#This Row],[Stake]]*Bet_Log[[#This Row],[Decimal]]-Bet_Log[[#This Row],[Stake]], IF(Bet_Log[[#This Row],[Result ]]="Loss", -Bet_Log[[#This Row],[Stake]], IF(Bet_Log[[#This Row],[Result ]]="Push", 0, ""))))</f>
        <v/>
      </c>
      <c r="J555" s="2" t="str">
        <f>IF(Bet_Log[[#This Row],[Return]]="", "", J554 + Bet_Log[[#This Row],[Return]])</f>
        <v/>
      </c>
      <c r="K555" s="9"/>
    </row>
    <row r="556" spans="1:11" x14ac:dyDescent="0.2">
      <c r="A556" s="27"/>
      <c r="B556" s="1"/>
      <c r="C556" s="6"/>
      <c r="D556" s="1"/>
      <c r="E556" s="7"/>
      <c r="F556" s="8"/>
      <c r="G556" s="3" t="str" cm="1">
        <f t="array" ref="G556">IF(ISBLANK(F556), "", IFERROR(_xlfn.IFS(LEFT(F556,1)="+", (VALUE(MID(F556,2,LEN(F556)))+100)/100, VALUE(F556)&gt;0, (F556+100)/100, VALUE(F556)&lt;0, (ABS(F556)+100)/ABS(F556), F556=0, 0), ""))</f>
        <v/>
      </c>
      <c r="H556" s="1"/>
      <c r="I556" s="4" t="str">
        <f>IF(Bet_Log[[#This Row],[Result ]]="", "", IF(Bet_Log[[#This Row],[Result ]]="Win", Bet_Log[[#This Row],[Stake]]*Bet_Log[[#This Row],[Decimal]]-Bet_Log[[#This Row],[Stake]], IF(Bet_Log[[#This Row],[Result ]]="Loss", -Bet_Log[[#This Row],[Stake]], IF(Bet_Log[[#This Row],[Result ]]="Push", 0, ""))))</f>
        <v/>
      </c>
      <c r="J556" s="2" t="str">
        <f>IF(Bet_Log[[#This Row],[Return]]="", "", J555 + Bet_Log[[#This Row],[Return]])</f>
        <v/>
      </c>
      <c r="K556" s="9"/>
    </row>
    <row r="557" spans="1:11" x14ac:dyDescent="0.2">
      <c r="A557" s="27"/>
      <c r="B557" s="1"/>
      <c r="C557" s="6"/>
      <c r="D557" s="1"/>
      <c r="E557" s="7"/>
      <c r="F557" s="8"/>
      <c r="G557" s="3" t="str" cm="1">
        <f t="array" ref="G557">IF(ISBLANK(F557), "", IFERROR(_xlfn.IFS(LEFT(F557,1)="+", (VALUE(MID(F557,2,LEN(F557)))+100)/100, VALUE(F557)&gt;0, (F557+100)/100, VALUE(F557)&lt;0, (ABS(F557)+100)/ABS(F557), F557=0, 0), ""))</f>
        <v/>
      </c>
      <c r="H557" s="1"/>
      <c r="I557" s="4" t="str">
        <f>IF(Bet_Log[[#This Row],[Result ]]="", "", IF(Bet_Log[[#This Row],[Result ]]="Win", Bet_Log[[#This Row],[Stake]]*Bet_Log[[#This Row],[Decimal]]-Bet_Log[[#This Row],[Stake]], IF(Bet_Log[[#This Row],[Result ]]="Loss", -Bet_Log[[#This Row],[Stake]], IF(Bet_Log[[#This Row],[Result ]]="Push", 0, ""))))</f>
        <v/>
      </c>
      <c r="J557" s="2" t="str">
        <f>IF(Bet_Log[[#This Row],[Return]]="", "", J556 + Bet_Log[[#This Row],[Return]])</f>
        <v/>
      </c>
      <c r="K557" s="9"/>
    </row>
    <row r="558" spans="1:11" x14ac:dyDescent="0.2">
      <c r="A558" s="27"/>
      <c r="B558" s="1"/>
      <c r="C558" s="6"/>
      <c r="D558" s="1"/>
      <c r="E558" s="7"/>
      <c r="F558" s="8"/>
      <c r="G558" s="3" t="str" cm="1">
        <f t="array" ref="G558">IF(ISBLANK(F558), "", IFERROR(_xlfn.IFS(LEFT(F558,1)="+", (VALUE(MID(F558,2,LEN(F558)))+100)/100, VALUE(F558)&gt;0, (F558+100)/100, VALUE(F558)&lt;0, (ABS(F558)+100)/ABS(F558), F558=0, 0), ""))</f>
        <v/>
      </c>
      <c r="H558" s="1"/>
      <c r="I558" s="4" t="str">
        <f>IF(Bet_Log[[#This Row],[Result ]]="", "", IF(Bet_Log[[#This Row],[Result ]]="Win", Bet_Log[[#This Row],[Stake]]*Bet_Log[[#This Row],[Decimal]]-Bet_Log[[#This Row],[Stake]], IF(Bet_Log[[#This Row],[Result ]]="Loss", -Bet_Log[[#This Row],[Stake]], IF(Bet_Log[[#This Row],[Result ]]="Push", 0, ""))))</f>
        <v/>
      </c>
      <c r="J558" s="2" t="str">
        <f>IF(Bet_Log[[#This Row],[Return]]="", "", J557 + Bet_Log[[#This Row],[Return]])</f>
        <v/>
      </c>
      <c r="K558" s="9"/>
    </row>
    <row r="559" spans="1:11" x14ac:dyDescent="0.2">
      <c r="A559" s="27"/>
      <c r="B559" s="1"/>
      <c r="C559" s="6"/>
      <c r="D559" s="1"/>
      <c r="E559" s="7"/>
      <c r="F559" s="8"/>
      <c r="G559" s="3" t="str" cm="1">
        <f t="array" ref="G559">IF(ISBLANK(F559), "", IFERROR(_xlfn.IFS(LEFT(F559,1)="+", (VALUE(MID(F559,2,LEN(F559)))+100)/100, VALUE(F559)&gt;0, (F559+100)/100, VALUE(F559)&lt;0, (ABS(F559)+100)/ABS(F559), F559=0, 0), ""))</f>
        <v/>
      </c>
      <c r="H559" s="1"/>
      <c r="I559" s="4" t="str">
        <f>IF(Bet_Log[[#This Row],[Result ]]="", "", IF(Bet_Log[[#This Row],[Result ]]="Win", Bet_Log[[#This Row],[Stake]]*Bet_Log[[#This Row],[Decimal]]-Bet_Log[[#This Row],[Stake]], IF(Bet_Log[[#This Row],[Result ]]="Loss", -Bet_Log[[#This Row],[Stake]], IF(Bet_Log[[#This Row],[Result ]]="Push", 0, ""))))</f>
        <v/>
      </c>
      <c r="J559" s="2" t="str">
        <f>IF(Bet_Log[[#This Row],[Return]]="", "", J558 + Bet_Log[[#This Row],[Return]])</f>
        <v/>
      </c>
      <c r="K559" s="9"/>
    </row>
    <row r="560" spans="1:11" x14ac:dyDescent="0.2">
      <c r="A560" s="27"/>
      <c r="B560" s="1"/>
      <c r="C560" s="6"/>
      <c r="D560" s="1"/>
      <c r="E560" s="7"/>
      <c r="F560" s="8"/>
      <c r="G560" s="3" t="str" cm="1">
        <f t="array" ref="G560">IF(ISBLANK(F560), "", IFERROR(_xlfn.IFS(LEFT(F560,1)="+", (VALUE(MID(F560,2,LEN(F560)))+100)/100, VALUE(F560)&gt;0, (F560+100)/100, VALUE(F560)&lt;0, (ABS(F560)+100)/ABS(F560), F560=0, 0), ""))</f>
        <v/>
      </c>
      <c r="H560" s="1"/>
      <c r="I560" s="4" t="str">
        <f>IF(Bet_Log[[#This Row],[Result ]]="", "", IF(Bet_Log[[#This Row],[Result ]]="Win", Bet_Log[[#This Row],[Stake]]*Bet_Log[[#This Row],[Decimal]]-Bet_Log[[#This Row],[Stake]], IF(Bet_Log[[#This Row],[Result ]]="Loss", -Bet_Log[[#This Row],[Stake]], IF(Bet_Log[[#This Row],[Result ]]="Push", 0, ""))))</f>
        <v/>
      </c>
      <c r="J560" s="2" t="str">
        <f>IF(Bet_Log[[#This Row],[Return]]="", "", J559 + Bet_Log[[#This Row],[Return]])</f>
        <v/>
      </c>
      <c r="K560" s="9"/>
    </row>
    <row r="561" spans="1:11" x14ac:dyDescent="0.2">
      <c r="A561" s="27"/>
      <c r="B561" s="1"/>
      <c r="C561" s="6"/>
      <c r="D561" s="1"/>
      <c r="E561" s="7"/>
      <c r="F561" s="8"/>
      <c r="G561" s="3" t="str" cm="1">
        <f t="array" ref="G561">IF(ISBLANK(F561), "", IFERROR(_xlfn.IFS(LEFT(F561,1)="+", (VALUE(MID(F561,2,LEN(F561)))+100)/100, VALUE(F561)&gt;0, (F561+100)/100, VALUE(F561)&lt;0, (ABS(F561)+100)/ABS(F561), F561=0, 0), ""))</f>
        <v/>
      </c>
      <c r="H561" s="1"/>
      <c r="I561" s="4" t="str">
        <f>IF(Bet_Log[[#This Row],[Result ]]="", "", IF(Bet_Log[[#This Row],[Result ]]="Win", Bet_Log[[#This Row],[Stake]]*Bet_Log[[#This Row],[Decimal]]-Bet_Log[[#This Row],[Stake]], IF(Bet_Log[[#This Row],[Result ]]="Loss", -Bet_Log[[#This Row],[Stake]], IF(Bet_Log[[#This Row],[Result ]]="Push", 0, ""))))</f>
        <v/>
      </c>
      <c r="J561" s="2" t="str">
        <f>IF(Bet_Log[[#This Row],[Return]]="", "", J560 + Bet_Log[[#This Row],[Return]])</f>
        <v/>
      </c>
      <c r="K561" s="9"/>
    </row>
    <row r="562" spans="1:11" x14ac:dyDescent="0.2">
      <c r="A562" s="27"/>
      <c r="B562" s="1"/>
      <c r="C562" s="6"/>
      <c r="D562" s="1"/>
      <c r="E562" s="7"/>
      <c r="F562" s="8"/>
      <c r="G562" s="3" t="str" cm="1">
        <f t="array" ref="G562">IF(ISBLANK(F562), "", IFERROR(_xlfn.IFS(LEFT(F562,1)="+", (VALUE(MID(F562,2,LEN(F562)))+100)/100, VALUE(F562)&gt;0, (F562+100)/100, VALUE(F562)&lt;0, (ABS(F562)+100)/ABS(F562), F562=0, 0), ""))</f>
        <v/>
      </c>
      <c r="H562" s="1"/>
      <c r="I562" s="4" t="str">
        <f>IF(Bet_Log[[#This Row],[Result ]]="", "", IF(Bet_Log[[#This Row],[Result ]]="Win", Bet_Log[[#This Row],[Stake]]*Bet_Log[[#This Row],[Decimal]]-Bet_Log[[#This Row],[Stake]], IF(Bet_Log[[#This Row],[Result ]]="Loss", -Bet_Log[[#This Row],[Stake]], IF(Bet_Log[[#This Row],[Result ]]="Push", 0, ""))))</f>
        <v/>
      </c>
      <c r="J562" s="2" t="str">
        <f>IF(Bet_Log[[#This Row],[Return]]="", "", J561 + Bet_Log[[#This Row],[Return]])</f>
        <v/>
      </c>
      <c r="K562" s="9"/>
    </row>
    <row r="563" spans="1:11" x14ac:dyDescent="0.2">
      <c r="A563" s="27"/>
      <c r="B563" s="1"/>
      <c r="C563" s="6"/>
      <c r="D563" s="1"/>
      <c r="E563" s="7"/>
      <c r="F563" s="8"/>
      <c r="G563" s="3" t="str" cm="1">
        <f t="array" ref="G563">IF(ISBLANK(F563), "", IFERROR(_xlfn.IFS(LEFT(F563,1)="+", (VALUE(MID(F563,2,LEN(F563)))+100)/100, VALUE(F563)&gt;0, (F563+100)/100, VALUE(F563)&lt;0, (ABS(F563)+100)/ABS(F563), F563=0, 0), ""))</f>
        <v/>
      </c>
      <c r="H563" s="1"/>
      <c r="I563" s="4" t="str">
        <f>IF(Bet_Log[[#This Row],[Result ]]="", "", IF(Bet_Log[[#This Row],[Result ]]="Win", Bet_Log[[#This Row],[Stake]]*Bet_Log[[#This Row],[Decimal]]-Bet_Log[[#This Row],[Stake]], IF(Bet_Log[[#This Row],[Result ]]="Loss", -Bet_Log[[#This Row],[Stake]], IF(Bet_Log[[#This Row],[Result ]]="Push", 0, ""))))</f>
        <v/>
      </c>
      <c r="J563" s="2" t="str">
        <f>IF(Bet_Log[[#This Row],[Return]]="", "", J562 + Bet_Log[[#This Row],[Return]])</f>
        <v/>
      </c>
      <c r="K563" s="9"/>
    </row>
    <row r="564" spans="1:11" x14ac:dyDescent="0.2">
      <c r="A564" s="27"/>
      <c r="B564" s="1"/>
      <c r="C564" s="6"/>
      <c r="D564" s="1"/>
      <c r="E564" s="7"/>
      <c r="F564" s="8"/>
      <c r="G564" s="3" t="str" cm="1">
        <f t="array" ref="G564">IF(ISBLANK(F564), "", IFERROR(_xlfn.IFS(LEFT(F564,1)="+", (VALUE(MID(F564,2,LEN(F564)))+100)/100, VALUE(F564)&gt;0, (F564+100)/100, VALUE(F564)&lt;0, (ABS(F564)+100)/ABS(F564), F564=0, 0), ""))</f>
        <v/>
      </c>
      <c r="H564" s="1"/>
      <c r="I564" s="4" t="str">
        <f>IF(Bet_Log[[#This Row],[Result ]]="", "", IF(Bet_Log[[#This Row],[Result ]]="Win", Bet_Log[[#This Row],[Stake]]*Bet_Log[[#This Row],[Decimal]]-Bet_Log[[#This Row],[Stake]], IF(Bet_Log[[#This Row],[Result ]]="Loss", -Bet_Log[[#This Row],[Stake]], IF(Bet_Log[[#This Row],[Result ]]="Push", 0, ""))))</f>
        <v/>
      </c>
      <c r="J564" s="2" t="str">
        <f>IF(Bet_Log[[#This Row],[Return]]="", "", J563 + Bet_Log[[#This Row],[Return]])</f>
        <v/>
      </c>
      <c r="K564" s="9"/>
    </row>
    <row r="565" spans="1:11" x14ac:dyDescent="0.2">
      <c r="A565" s="27"/>
      <c r="B565" s="1"/>
      <c r="C565" s="6"/>
      <c r="D565" s="1"/>
      <c r="E565" s="7"/>
      <c r="F565" s="8"/>
      <c r="G565" s="3" t="str" cm="1">
        <f t="array" ref="G565">IF(ISBLANK(F565), "", IFERROR(_xlfn.IFS(LEFT(F565,1)="+", (VALUE(MID(F565,2,LEN(F565)))+100)/100, VALUE(F565)&gt;0, (F565+100)/100, VALUE(F565)&lt;0, (ABS(F565)+100)/ABS(F565), F565=0, 0), ""))</f>
        <v/>
      </c>
      <c r="H565" s="1"/>
      <c r="I565" s="4" t="str">
        <f>IF(Bet_Log[[#This Row],[Result ]]="", "", IF(Bet_Log[[#This Row],[Result ]]="Win", Bet_Log[[#This Row],[Stake]]*Bet_Log[[#This Row],[Decimal]]-Bet_Log[[#This Row],[Stake]], IF(Bet_Log[[#This Row],[Result ]]="Loss", -Bet_Log[[#This Row],[Stake]], IF(Bet_Log[[#This Row],[Result ]]="Push", 0, ""))))</f>
        <v/>
      </c>
      <c r="J565" s="2" t="str">
        <f>IF(Bet_Log[[#This Row],[Return]]="", "", J564 + Bet_Log[[#This Row],[Return]])</f>
        <v/>
      </c>
      <c r="K565" s="9"/>
    </row>
    <row r="566" spans="1:11" x14ac:dyDescent="0.2">
      <c r="A566" s="27"/>
      <c r="B566" s="1"/>
      <c r="C566" s="6"/>
      <c r="D566" s="1"/>
      <c r="E566" s="7"/>
      <c r="F566" s="8"/>
      <c r="G566" s="3" t="str" cm="1">
        <f t="array" ref="G566">IF(ISBLANK(F566), "", IFERROR(_xlfn.IFS(LEFT(F566,1)="+", (VALUE(MID(F566,2,LEN(F566)))+100)/100, VALUE(F566)&gt;0, (F566+100)/100, VALUE(F566)&lt;0, (ABS(F566)+100)/ABS(F566), F566=0, 0), ""))</f>
        <v/>
      </c>
      <c r="H566" s="1"/>
      <c r="I566" s="4" t="str">
        <f>IF(Bet_Log[[#This Row],[Result ]]="", "", IF(Bet_Log[[#This Row],[Result ]]="Win", Bet_Log[[#This Row],[Stake]]*Bet_Log[[#This Row],[Decimal]]-Bet_Log[[#This Row],[Stake]], IF(Bet_Log[[#This Row],[Result ]]="Loss", -Bet_Log[[#This Row],[Stake]], IF(Bet_Log[[#This Row],[Result ]]="Push", 0, ""))))</f>
        <v/>
      </c>
      <c r="J566" s="2" t="str">
        <f>IF(Bet_Log[[#This Row],[Return]]="", "", J565 + Bet_Log[[#This Row],[Return]])</f>
        <v/>
      </c>
      <c r="K566" s="9"/>
    </row>
    <row r="567" spans="1:11" x14ac:dyDescent="0.2">
      <c r="A567" s="27"/>
      <c r="B567" s="1"/>
      <c r="C567" s="6"/>
      <c r="D567" s="1"/>
      <c r="E567" s="7"/>
      <c r="F567" s="8"/>
      <c r="G567" s="3" t="str" cm="1">
        <f t="array" ref="G567">IF(ISBLANK(F567), "", IFERROR(_xlfn.IFS(LEFT(F567,1)="+", (VALUE(MID(F567,2,LEN(F567)))+100)/100, VALUE(F567)&gt;0, (F567+100)/100, VALUE(F567)&lt;0, (ABS(F567)+100)/ABS(F567), F567=0, 0), ""))</f>
        <v/>
      </c>
      <c r="H567" s="1"/>
      <c r="I567" s="4" t="str">
        <f>IF(Bet_Log[[#This Row],[Result ]]="", "", IF(Bet_Log[[#This Row],[Result ]]="Win", Bet_Log[[#This Row],[Stake]]*Bet_Log[[#This Row],[Decimal]]-Bet_Log[[#This Row],[Stake]], IF(Bet_Log[[#This Row],[Result ]]="Loss", -Bet_Log[[#This Row],[Stake]], IF(Bet_Log[[#This Row],[Result ]]="Push", 0, ""))))</f>
        <v/>
      </c>
      <c r="J567" s="2" t="str">
        <f>IF(Bet_Log[[#This Row],[Return]]="", "", J566 + Bet_Log[[#This Row],[Return]])</f>
        <v/>
      </c>
      <c r="K567" s="9"/>
    </row>
    <row r="568" spans="1:11" x14ac:dyDescent="0.2">
      <c r="A568" s="27"/>
      <c r="B568" s="1"/>
      <c r="C568" s="6"/>
      <c r="D568" s="1"/>
      <c r="E568" s="7"/>
      <c r="F568" s="8"/>
      <c r="G568" s="3" t="str" cm="1">
        <f t="array" ref="G568">IF(ISBLANK(F568), "", IFERROR(_xlfn.IFS(LEFT(F568,1)="+", (VALUE(MID(F568,2,LEN(F568)))+100)/100, VALUE(F568)&gt;0, (F568+100)/100, VALUE(F568)&lt;0, (ABS(F568)+100)/ABS(F568), F568=0, 0), ""))</f>
        <v/>
      </c>
      <c r="H568" s="1"/>
      <c r="I568" s="4" t="str">
        <f>IF(Bet_Log[[#This Row],[Result ]]="", "", IF(Bet_Log[[#This Row],[Result ]]="Win", Bet_Log[[#This Row],[Stake]]*Bet_Log[[#This Row],[Decimal]]-Bet_Log[[#This Row],[Stake]], IF(Bet_Log[[#This Row],[Result ]]="Loss", -Bet_Log[[#This Row],[Stake]], IF(Bet_Log[[#This Row],[Result ]]="Push", 0, ""))))</f>
        <v/>
      </c>
      <c r="J568" s="2" t="str">
        <f>IF(Bet_Log[[#This Row],[Return]]="", "", J567 + Bet_Log[[#This Row],[Return]])</f>
        <v/>
      </c>
      <c r="K568" s="9"/>
    </row>
    <row r="569" spans="1:11" x14ac:dyDescent="0.2">
      <c r="A569" s="27"/>
      <c r="B569" s="1"/>
      <c r="C569" s="6"/>
      <c r="D569" s="1"/>
      <c r="E569" s="7"/>
      <c r="F569" s="8"/>
      <c r="G569" s="3" t="str" cm="1">
        <f t="array" ref="G569">IF(ISBLANK(F569), "", IFERROR(_xlfn.IFS(LEFT(F569,1)="+", (VALUE(MID(F569,2,LEN(F569)))+100)/100, VALUE(F569)&gt;0, (F569+100)/100, VALUE(F569)&lt;0, (ABS(F569)+100)/ABS(F569), F569=0, 0), ""))</f>
        <v/>
      </c>
      <c r="H569" s="1"/>
      <c r="I569" s="4" t="str">
        <f>IF(Bet_Log[[#This Row],[Result ]]="", "", IF(Bet_Log[[#This Row],[Result ]]="Win", Bet_Log[[#This Row],[Stake]]*Bet_Log[[#This Row],[Decimal]]-Bet_Log[[#This Row],[Stake]], IF(Bet_Log[[#This Row],[Result ]]="Loss", -Bet_Log[[#This Row],[Stake]], IF(Bet_Log[[#This Row],[Result ]]="Push", 0, ""))))</f>
        <v/>
      </c>
      <c r="J569" s="2" t="str">
        <f>IF(Bet_Log[[#This Row],[Return]]="", "", J568 + Bet_Log[[#This Row],[Return]])</f>
        <v/>
      </c>
      <c r="K569" s="9"/>
    </row>
    <row r="570" spans="1:11" x14ac:dyDescent="0.2">
      <c r="A570" s="27"/>
      <c r="B570" s="1"/>
      <c r="C570" s="6"/>
      <c r="D570" s="1"/>
      <c r="E570" s="7"/>
      <c r="F570" s="8"/>
      <c r="G570" s="3" t="str" cm="1">
        <f t="array" ref="G570">IF(ISBLANK(F570), "", IFERROR(_xlfn.IFS(LEFT(F570,1)="+", (VALUE(MID(F570,2,LEN(F570)))+100)/100, VALUE(F570)&gt;0, (F570+100)/100, VALUE(F570)&lt;0, (ABS(F570)+100)/ABS(F570), F570=0, 0), ""))</f>
        <v/>
      </c>
      <c r="H570" s="1"/>
      <c r="I570" s="4" t="str">
        <f>IF(Bet_Log[[#This Row],[Result ]]="", "", IF(Bet_Log[[#This Row],[Result ]]="Win", Bet_Log[[#This Row],[Stake]]*Bet_Log[[#This Row],[Decimal]]-Bet_Log[[#This Row],[Stake]], IF(Bet_Log[[#This Row],[Result ]]="Loss", -Bet_Log[[#This Row],[Stake]], IF(Bet_Log[[#This Row],[Result ]]="Push", 0, ""))))</f>
        <v/>
      </c>
      <c r="J570" s="2" t="str">
        <f>IF(Bet_Log[[#This Row],[Return]]="", "", J569 + Bet_Log[[#This Row],[Return]])</f>
        <v/>
      </c>
      <c r="K570" s="9"/>
    </row>
    <row r="571" spans="1:11" x14ac:dyDescent="0.2">
      <c r="A571" s="27"/>
      <c r="B571" s="1"/>
      <c r="C571" s="6"/>
      <c r="D571" s="1"/>
      <c r="E571" s="7"/>
      <c r="F571" s="8"/>
      <c r="G571" s="3" t="str" cm="1">
        <f t="array" ref="G571">IF(ISBLANK(F571), "", IFERROR(_xlfn.IFS(LEFT(F571,1)="+", (VALUE(MID(F571,2,LEN(F571)))+100)/100, VALUE(F571)&gt;0, (F571+100)/100, VALUE(F571)&lt;0, (ABS(F571)+100)/ABS(F571), F571=0, 0), ""))</f>
        <v/>
      </c>
      <c r="H571" s="1"/>
      <c r="I571" s="4" t="str">
        <f>IF(Bet_Log[[#This Row],[Result ]]="", "", IF(Bet_Log[[#This Row],[Result ]]="Win", Bet_Log[[#This Row],[Stake]]*Bet_Log[[#This Row],[Decimal]]-Bet_Log[[#This Row],[Stake]], IF(Bet_Log[[#This Row],[Result ]]="Loss", -Bet_Log[[#This Row],[Stake]], IF(Bet_Log[[#This Row],[Result ]]="Push", 0, ""))))</f>
        <v/>
      </c>
      <c r="J571" s="2" t="str">
        <f>IF(Bet_Log[[#This Row],[Return]]="", "", J570 + Bet_Log[[#This Row],[Return]])</f>
        <v/>
      </c>
      <c r="K571" s="9"/>
    </row>
    <row r="572" spans="1:11" x14ac:dyDescent="0.2">
      <c r="A572" s="27"/>
      <c r="B572" s="1"/>
      <c r="C572" s="6"/>
      <c r="D572" s="1"/>
      <c r="E572" s="7"/>
      <c r="F572" s="8"/>
      <c r="G572" s="3" t="str" cm="1">
        <f t="array" ref="G572">IF(ISBLANK(F572), "", IFERROR(_xlfn.IFS(LEFT(F572,1)="+", (VALUE(MID(F572,2,LEN(F572)))+100)/100, VALUE(F572)&gt;0, (F572+100)/100, VALUE(F572)&lt;0, (ABS(F572)+100)/ABS(F572), F572=0, 0), ""))</f>
        <v/>
      </c>
      <c r="H572" s="1"/>
      <c r="I572" s="4" t="str">
        <f>IF(Bet_Log[[#This Row],[Result ]]="", "", IF(Bet_Log[[#This Row],[Result ]]="Win", Bet_Log[[#This Row],[Stake]]*Bet_Log[[#This Row],[Decimal]]-Bet_Log[[#This Row],[Stake]], IF(Bet_Log[[#This Row],[Result ]]="Loss", -Bet_Log[[#This Row],[Stake]], IF(Bet_Log[[#This Row],[Result ]]="Push", 0, ""))))</f>
        <v/>
      </c>
      <c r="J572" s="2" t="str">
        <f>IF(Bet_Log[[#This Row],[Return]]="", "", J571 + Bet_Log[[#This Row],[Return]])</f>
        <v/>
      </c>
      <c r="K572" s="9"/>
    </row>
    <row r="573" spans="1:11" x14ac:dyDescent="0.2">
      <c r="A573" s="27"/>
      <c r="B573" s="1"/>
      <c r="C573" s="6"/>
      <c r="D573" s="1"/>
      <c r="E573" s="7"/>
      <c r="F573" s="8"/>
      <c r="G573" s="3" t="str" cm="1">
        <f t="array" ref="G573">IF(ISBLANK(F573), "", IFERROR(_xlfn.IFS(LEFT(F573,1)="+", (VALUE(MID(F573,2,LEN(F573)))+100)/100, VALUE(F573)&gt;0, (F573+100)/100, VALUE(F573)&lt;0, (ABS(F573)+100)/ABS(F573), F573=0, 0), ""))</f>
        <v/>
      </c>
      <c r="H573" s="1"/>
      <c r="I573" s="4" t="str">
        <f>IF(Bet_Log[[#This Row],[Result ]]="", "", IF(Bet_Log[[#This Row],[Result ]]="Win", Bet_Log[[#This Row],[Stake]]*Bet_Log[[#This Row],[Decimal]]-Bet_Log[[#This Row],[Stake]], IF(Bet_Log[[#This Row],[Result ]]="Loss", -Bet_Log[[#This Row],[Stake]], IF(Bet_Log[[#This Row],[Result ]]="Push", 0, ""))))</f>
        <v/>
      </c>
      <c r="J573" s="2" t="str">
        <f>IF(Bet_Log[[#This Row],[Return]]="", "", J572 + Bet_Log[[#This Row],[Return]])</f>
        <v/>
      </c>
      <c r="K573" s="9"/>
    </row>
    <row r="574" spans="1:11" x14ac:dyDescent="0.2">
      <c r="A574" s="27"/>
      <c r="B574" s="1"/>
      <c r="C574" s="6"/>
      <c r="D574" s="1"/>
      <c r="E574" s="7"/>
      <c r="F574" s="8"/>
      <c r="G574" s="3" t="str" cm="1">
        <f t="array" ref="G574">IF(ISBLANK(F574), "", IFERROR(_xlfn.IFS(LEFT(F574,1)="+", (VALUE(MID(F574,2,LEN(F574)))+100)/100, VALUE(F574)&gt;0, (F574+100)/100, VALUE(F574)&lt;0, (ABS(F574)+100)/ABS(F574), F574=0, 0), ""))</f>
        <v/>
      </c>
      <c r="H574" s="1"/>
      <c r="I574" s="4" t="str">
        <f>IF(Bet_Log[[#This Row],[Result ]]="", "", IF(Bet_Log[[#This Row],[Result ]]="Win", Bet_Log[[#This Row],[Stake]]*Bet_Log[[#This Row],[Decimal]]-Bet_Log[[#This Row],[Stake]], IF(Bet_Log[[#This Row],[Result ]]="Loss", -Bet_Log[[#This Row],[Stake]], IF(Bet_Log[[#This Row],[Result ]]="Push", 0, ""))))</f>
        <v/>
      </c>
      <c r="J574" s="2" t="str">
        <f>IF(Bet_Log[[#This Row],[Return]]="", "", J573 + Bet_Log[[#This Row],[Return]])</f>
        <v/>
      </c>
      <c r="K574" s="9"/>
    </row>
    <row r="575" spans="1:11" x14ac:dyDescent="0.2">
      <c r="A575" s="27"/>
      <c r="B575" s="1"/>
      <c r="C575" s="6"/>
      <c r="D575" s="1"/>
      <c r="E575" s="7"/>
      <c r="F575" s="8"/>
      <c r="G575" s="3" t="str" cm="1">
        <f t="array" ref="G575">IF(ISBLANK(F575), "", IFERROR(_xlfn.IFS(LEFT(F575,1)="+", (VALUE(MID(F575,2,LEN(F575)))+100)/100, VALUE(F575)&gt;0, (F575+100)/100, VALUE(F575)&lt;0, (ABS(F575)+100)/ABS(F575), F575=0, 0), ""))</f>
        <v/>
      </c>
      <c r="H575" s="1"/>
      <c r="I575" s="4" t="str">
        <f>IF(Bet_Log[[#This Row],[Result ]]="", "", IF(Bet_Log[[#This Row],[Result ]]="Win", Bet_Log[[#This Row],[Stake]]*Bet_Log[[#This Row],[Decimal]]-Bet_Log[[#This Row],[Stake]], IF(Bet_Log[[#This Row],[Result ]]="Loss", -Bet_Log[[#This Row],[Stake]], IF(Bet_Log[[#This Row],[Result ]]="Push", 0, ""))))</f>
        <v/>
      </c>
      <c r="J575" s="2" t="str">
        <f>IF(Bet_Log[[#This Row],[Return]]="", "", J574 + Bet_Log[[#This Row],[Return]])</f>
        <v/>
      </c>
      <c r="K575" s="9"/>
    </row>
    <row r="576" spans="1:11" x14ac:dyDescent="0.2">
      <c r="A576" s="27"/>
      <c r="B576" s="1"/>
      <c r="C576" s="6"/>
      <c r="D576" s="1"/>
      <c r="E576" s="7"/>
      <c r="F576" s="8"/>
      <c r="G576" s="3" t="str" cm="1">
        <f t="array" ref="G576">IF(ISBLANK(F576), "", IFERROR(_xlfn.IFS(LEFT(F576,1)="+", (VALUE(MID(F576,2,LEN(F576)))+100)/100, VALUE(F576)&gt;0, (F576+100)/100, VALUE(F576)&lt;0, (ABS(F576)+100)/ABS(F576), F576=0, 0), ""))</f>
        <v/>
      </c>
      <c r="H576" s="1"/>
      <c r="I576" s="4" t="str">
        <f>IF(Bet_Log[[#This Row],[Result ]]="", "", IF(Bet_Log[[#This Row],[Result ]]="Win", Bet_Log[[#This Row],[Stake]]*Bet_Log[[#This Row],[Decimal]]-Bet_Log[[#This Row],[Stake]], IF(Bet_Log[[#This Row],[Result ]]="Loss", -Bet_Log[[#This Row],[Stake]], IF(Bet_Log[[#This Row],[Result ]]="Push", 0, ""))))</f>
        <v/>
      </c>
      <c r="J576" s="2" t="str">
        <f>IF(Bet_Log[[#This Row],[Return]]="", "", J575 + Bet_Log[[#This Row],[Return]])</f>
        <v/>
      </c>
      <c r="K576" s="9"/>
    </row>
    <row r="577" spans="1:11" x14ac:dyDescent="0.2">
      <c r="A577" s="27"/>
      <c r="B577" s="1"/>
      <c r="C577" s="6"/>
      <c r="D577" s="1"/>
      <c r="E577" s="7"/>
      <c r="F577" s="8"/>
      <c r="G577" s="3" t="str" cm="1">
        <f t="array" ref="G577">IF(ISBLANK(F577), "", IFERROR(_xlfn.IFS(LEFT(F577,1)="+", (VALUE(MID(F577,2,LEN(F577)))+100)/100, VALUE(F577)&gt;0, (F577+100)/100, VALUE(F577)&lt;0, (ABS(F577)+100)/ABS(F577), F577=0, 0), ""))</f>
        <v/>
      </c>
      <c r="H577" s="1"/>
      <c r="I577" s="4" t="str">
        <f>IF(Bet_Log[[#This Row],[Result ]]="", "", IF(Bet_Log[[#This Row],[Result ]]="Win", Bet_Log[[#This Row],[Stake]]*Bet_Log[[#This Row],[Decimal]]-Bet_Log[[#This Row],[Stake]], IF(Bet_Log[[#This Row],[Result ]]="Loss", -Bet_Log[[#This Row],[Stake]], IF(Bet_Log[[#This Row],[Result ]]="Push", 0, ""))))</f>
        <v/>
      </c>
      <c r="J577" s="2" t="str">
        <f>IF(Bet_Log[[#This Row],[Return]]="", "", J576 + Bet_Log[[#This Row],[Return]])</f>
        <v/>
      </c>
      <c r="K577" s="9"/>
    </row>
    <row r="578" spans="1:11" x14ac:dyDescent="0.2">
      <c r="A578" s="27"/>
      <c r="B578" s="1"/>
      <c r="C578" s="6"/>
      <c r="D578" s="1"/>
      <c r="E578" s="7"/>
      <c r="F578" s="8"/>
      <c r="G578" s="3" t="str" cm="1">
        <f t="array" ref="G578">IF(ISBLANK(F578), "", IFERROR(_xlfn.IFS(LEFT(F578,1)="+", (VALUE(MID(F578,2,LEN(F578)))+100)/100, VALUE(F578)&gt;0, (F578+100)/100, VALUE(F578)&lt;0, (ABS(F578)+100)/ABS(F578), F578=0, 0), ""))</f>
        <v/>
      </c>
      <c r="H578" s="1"/>
      <c r="I578" s="4" t="str">
        <f>IF(Bet_Log[[#This Row],[Result ]]="", "", IF(Bet_Log[[#This Row],[Result ]]="Win", Bet_Log[[#This Row],[Stake]]*Bet_Log[[#This Row],[Decimal]]-Bet_Log[[#This Row],[Stake]], IF(Bet_Log[[#This Row],[Result ]]="Loss", -Bet_Log[[#This Row],[Stake]], IF(Bet_Log[[#This Row],[Result ]]="Push", 0, ""))))</f>
        <v/>
      </c>
      <c r="J578" s="2" t="str">
        <f>IF(Bet_Log[[#This Row],[Return]]="", "", J577 + Bet_Log[[#This Row],[Return]])</f>
        <v/>
      </c>
      <c r="K578" s="9"/>
    </row>
    <row r="579" spans="1:11" x14ac:dyDescent="0.2">
      <c r="A579" s="27"/>
      <c r="B579" s="1"/>
      <c r="C579" s="6"/>
      <c r="D579" s="1"/>
      <c r="E579" s="7"/>
      <c r="F579" s="8"/>
      <c r="G579" s="3" t="str" cm="1">
        <f t="array" ref="G579">IF(ISBLANK(F579), "", IFERROR(_xlfn.IFS(LEFT(F579,1)="+", (VALUE(MID(F579,2,LEN(F579)))+100)/100, VALUE(F579)&gt;0, (F579+100)/100, VALUE(F579)&lt;0, (ABS(F579)+100)/ABS(F579), F579=0, 0), ""))</f>
        <v/>
      </c>
      <c r="H579" s="1"/>
      <c r="I579" s="4" t="str">
        <f>IF(Bet_Log[[#This Row],[Result ]]="", "", IF(Bet_Log[[#This Row],[Result ]]="Win", Bet_Log[[#This Row],[Stake]]*Bet_Log[[#This Row],[Decimal]]-Bet_Log[[#This Row],[Stake]], IF(Bet_Log[[#This Row],[Result ]]="Loss", -Bet_Log[[#This Row],[Stake]], IF(Bet_Log[[#This Row],[Result ]]="Push", 0, ""))))</f>
        <v/>
      </c>
      <c r="J579" s="2" t="str">
        <f>IF(Bet_Log[[#This Row],[Return]]="", "", J578 + Bet_Log[[#This Row],[Return]])</f>
        <v/>
      </c>
      <c r="K579" s="9"/>
    </row>
    <row r="580" spans="1:11" x14ac:dyDescent="0.2">
      <c r="A580" s="27"/>
      <c r="B580" s="1"/>
      <c r="C580" s="6"/>
      <c r="D580" s="1"/>
      <c r="E580" s="7"/>
      <c r="F580" s="8"/>
      <c r="G580" s="3" t="str" cm="1">
        <f t="array" ref="G580">IF(ISBLANK(F580), "", IFERROR(_xlfn.IFS(LEFT(F580,1)="+", (VALUE(MID(F580,2,LEN(F580)))+100)/100, VALUE(F580)&gt;0, (F580+100)/100, VALUE(F580)&lt;0, (ABS(F580)+100)/ABS(F580), F580=0, 0), ""))</f>
        <v/>
      </c>
      <c r="H580" s="1"/>
      <c r="I580" s="4" t="str">
        <f>IF(Bet_Log[[#This Row],[Result ]]="", "", IF(Bet_Log[[#This Row],[Result ]]="Win", Bet_Log[[#This Row],[Stake]]*Bet_Log[[#This Row],[Decimal]]-Bet_Log[[#This Row],[Stake]], IF(Bet_Log[[#This Row],[Result ]]="Loss", -Bet_Log[[#This Row],[Stake]], IF(Bet_Log[[#This Row],[Result ]]="Push", 0, ""))))</f>
        <v/>
      </c>
      <c r="J580" s="2" t="str">
        <f>IF(Bet_Log[[#This Row],[Return]]="", "", J579 + Bet_Log[[#This Row],[Return]])</f>
        <v/>
      </c>
      <c r="K580" s="9"/>
    </row>
    <row r="581" spans="1:11" x14ac:dyDescent="0.2">
      <c r="A581" s="27"/>
      <c r="B581" s="1"/>
      <c r="C581" s="6"/>
      <c r="D581" s="1"/>
      <c r="E581" s="7"/>
      <c r="F581" s="8"/>
      <c r="G581" s="3" t="str" cm="1">
        <f t="array" ref="G581">IF(ISBLANK(F581), "", IFERROR(_xlfn.IFS(LEFT(F581,1)="+", (VALUE(MID(F581,2,LEN(F581)))+100)/100, VALUE(F581)&gt;0, (F581+100)/100, VALUE(F581)&lt;0, (ABS(F581)+100)/ABS(F581), F581=0, 0), ""))</f>
        <v/>
      </c>
      <c r="H581" s="1"/>
      <c r="I581" s="4" t="str">
        <f>IF(Bet_Log[[#This Row],[Result ]]="", "", IF(Bet_Log[[#This Row],[Result ]]="Win", Bet_Log[[#This Row],[Stake]]*Bet_Log[[#This Row],[Decimal]]-Bet_Log[[#This Row],[Stake]], IF(Bet_Log[[#This Row],[Result ]]="Loss", -Bet_Log[[#This Row],[Stake]], IF(Bet_Log[[#This Row],[Result ]]="Push", 0, ""))))</f>
        <v/>
      </c>
      <c r="J581" s="2" t="str">
        <f>IF(Bet_Log[[#This Row],[Return]]="", "", J580 + Bet_Log[[#This Row],[Return]])</f>
        <v/>
      </c>
      <c r="K581" s="9"/>
    </row>
    <row r="582" spans="1:11" x14ac:dyDescent="0.2">
      <c r="A582" s="27"/>
      <c r="B582" s="1"/>
      <c r="C582" s="6"/>
      <c r="D582" s="1"/>
      <c r="E582" s="7"/>
      <c r="F582" s="8"/>
      <c r="G582" s="3" t="str" cm="1">
        <f t="array" ref="G582">IF(ISBLANK(F582), "", IFERROR(_xlfn.IFS(LEFT(F582,1)="+", (VALUE(MID(F582,2,LEN(F582)))+100)/100, VALUE(F582)&gt;0, (F582+100)/100, VALUE(F582)&lt;0, (ABS(F582)+100)/ABS(F582), F582=0, 0), ""))</f>
        <v/>
      </c>
      <c r="H582" s="1"/>
      <c r="I582" s="4" t="str">
        <f>IF(Bet_Log[[#This Row],[Result ]]="", "", IF(Bet_Log[[#This Row],[Result ]]="Win", Bet_Log[[#This Row],[Stake]]*Bet_Log[[#This Row],[Decimal]]-Bet_Log[[#This Row],[Stake]], IF(Bet_Log[[#This Row],[Result ]]="Loss", -Bet_Log[[#This Row],[Stake]], IF(Bet_Log[[#This Row],[Result ]]="Push", 0, ""))))</f>
        <v/>
      </c>
      <c r="J582" s="2" t="str">
        <f>IF(Bet_Log[[#This Row],[Return]]="", "", J581 + Bet_Log[[#This Row],[Return]])</f>
        <v/>
      </c>
      <c r="K582" s="9"/>
    </row>
    <row r="583" spans="1:11" x14ac:dyDescent="0.2">
      <c r="A583" s="27"/>
      <c r="B583" s="1"/>
      <c r="C583" s="6"/>
      <c r="D583" s="1"/>
      <c r="E583" s="7"/>
      <c r="F583" s="8"/>
      <c r="G583" s="3" t="str" cm="1">
        <f t="array" ref="G583">IF(ISBLANK(F583), "", IFERROR(_xlfn.IFS(LEFT(F583,1)="+", (VALUE(MID(F583,2,LEN(F583)))+100)/100, VALUE(F583)&gt;0, (F583+100)/100, VALUE(F583)&lt;0, (ABS(F583)+100)/ABS(F583), F583=0, 0), ""))</f>
        <v/>
      </c>
      <c r="H583" s="1"/>
      <c r="I583" s="4" t="str">
        <f>IF(Bet_Log[[#This Row],[Result ]]="", "", IF(Bet_Log[[#This Row],[Result ]]="Win", Bet_Log[[#This Row],[Stake]]*Bet_Log[[#This Row],[Decimal]]-Bet_Log[[#This Row],[Stake]], IF(Bet_Log[[#This Row],[Result ]]="Loss", -Bet_Log[[#This Row],[Stake]], IF(Bet_Log[[#This Row],[Result ]]="Push", 0, ""))))</f>
        <v/>
      </c>
      <c r="J583" s="2" t="str">
        <f>IF(Bet_Log[[#This Row],[Return]]="", "", J582 + Bet_Log[[#This Row],[Return]])</f>
        <v/>
      </c>
      <c r="K583" s="9"/>
    </row>
    <row r="584" spans="1:11" x14ac:dyDescent="0.2">
      <c r="A584" s="27"/>
      <c r="B584" s="1"/>
      <c r="C584" s="6"/>
      <c r="D584" s="1"/>
      <c r="E584" s="7"/>
      <c r="F584" s="8"/>
      <c r="G584" s="3" t="str" cm="1">
        <f t="array" ref="G584">IF(ISBLANK(F584), "", IFERROR(_xlfn.IFS(LEFT(F584,1)="+", (VALUE(MID(F584,2,LEN(F584)))+100)/100, VALUE(F584)&gt;0, (F584+100)/100, VALUE(F584)&lt;0, (ABS(F584)+100)/ABS(F584), F584=0, 0), ""))</f>
        <v/>
      </c>
      <c r="H584" s="1"/>
      <c r="I584" s="4" t="str">
        <f>IF(Bet_Log[[#This Row],[Result ]]="", "", IF(Bet_Log[[#This Row],[Result ]]="Win", Bet_Log[[#This Row],[Stake]]*Bet_Log[[#This Row],[Decimal]]-Bet_Log[[#This Row],[Stake]], IF(Bet_Log[[#This Row],[Result ]]="Loss", -Bet_Log[[#This Row],[Stake]], IF(Bet_Log[[#This Row],[Result ]]="Push", 0, ""))))</f>
        <v/>
      </c>
      <c r="J584" s="2" t="str">
        <f>IF(Bet_Log[[#This Row],[Return]]="", "", J583 + Bet_Log[[#This Row],[Return]])</f>
        <v/>
      </c>
      <c r="K584" s="9"/>
    </row>
    <row r="585" spans="1:11" x14ac:dyDescent="0.2">
      <c r="A585" s="27"/>
      <c r="B585" s="1"/>
      <c r="C585" s="6"/>
      <c r="D585" s="1"/>
      <c r="E585" s="7"/>
      <c r="F585" s="8"/>
      <c r="G585" s="3" t="str" cm="1">
        <f t="array" ref="G585">IF(ISBLANK(F585), "", IFERROR(_xlfn.IFS(LEFT(F585,1)="+", (VALUE(MID(F585,2,LEN(F585)))+100)/100, VALUE(F585)&gt;0, (F585+100)/100, VALUE(F585)&lt;0, (ABS(F585)+100)/ABS(F585), F585=0, 0), ""))</f>
        <v/>
      </c>
      <c r="H585" s="1"/>
      <c r="I585" s="4" t="str">
        <f>IF(Bet_Log[[#This Row],[Result ]]="", "", IF(Bet_Log[[#This Row],[Result ]]="Win", Bet_Log[[#This Row],[Stake]]*Bet_Log[[#This Row],[Decimal]]-Bet_Log[[#This Row],[Stake]], IF(Bet_Log[[#This Row],[Result ]]="Loss", -Bet_Log[[#This Row],[Stake]], IF(Bet_Log[[#This Row],[Result ]]="Push", 0, ""))))</f>
        <v/>
      </c>
      <c r="J585" s="2" t="str">
        <f>IF(Bet_Log[[#This Row],[Return]]="", "", J584 + Bet_Log[[#This Row],[Return]])</f>
        <v/>
      </c>
      <c r="K585" s="9"/>
    </row>
    <row r="586" spans="1:11" x14ac:dyDescent="0.2">
      <c r="A586" s="27"/>
      <c r="B586" s="1"/>
      <c r="C586" s="6"/>
      <c r="D586" s="1"/>
      <c r="E586" s="7"/>
      <c r="F586" s="8"/>
      <c r="G586" s="3" t="str" cm="1">
        <f t="array" ref="G586">IF(ISBLANK(F586), "", IFERROR(_xlfn.IFS(LEFT(F586,1)="+", (VALUE(MID(F586,2,LEN(F586)))+100)/100, VALUE(F586)&gt;0, (F586+100)/100, VALUE(F586)&lt;0, (ABS(F586)+100)/ABS(F586), F586=0, 0), ""))</f>
        <v/>
      </c>
      <c r="H586" s="1"/>
      <c r="I586" s="4" t="str">
        <f>IF(Bet_Log[[#This Row],[Result ]]="", "", IF(Bet_Log[[#This Row],[Result ]]="Win", Bet_Log[[#This Row],[Stake]]*Bet_Log[[#This Row],[Decimal]]-Bet_Log[[#This Row],[Stake]], IF(Bet_Log[[#This Row],[Result ]]="Loss", -Bet_Log[[#This Row],[Stake]], IF(Bet_Log[[#This Row],[Result ]]="Push", 0, ""))))</f>
        <v/>
      </c>
      <c r="J586" s="2" t="str">
        <f>IF(Bet_Log[[#This Row],[Return]]="", "", J585 + Bet_Log[[#This Row],[Return]])</f>
        <v/>
      </c>
      <c r="K586" s="9"/>
    </row>
    <row r="587" spans="1:11" x14ac:dyDescent="0.2">
      <c r="A587" s="27"/>
      <c r="B587" s="1"/>
      <c r="C587" s="6"/>
      <c r="D587" s="1"/>
      <c r="E587" s="7"/>
      <c r="F587" s="8"/>
      <c r="G587" s="3" t="str" cm="1">
        <f t="array" ref="G587">IF(ISBLANK(F587), "", IFERROR(_xlfn.IFS(LEFT(F587,1)="+", (VALUE(MID(F587,2,LEN(F587)))+100)/100, VALUE(F587)&gt;0, (F587+100)/100, VALUE(F587)&lt;0, (ABS(F587)+100)/ABS(F587), F587=0, 0), ""))</f>
        <v/>
      </c>
      <c r="H587" s="1"/>
      <c r="I587" s="4" t="str">
        <f>IF(Bet_Log[[#This Row],[Result ]]="", "", IF(Bet_Log[[#This Row],[Result ]]="Win", Bet_Log[[#This Row],[Stake]]*Bet_Log[[#This Row],[Decimal]]-Bet_Log[[#This Row],[Stake]], IF(Bet_Log[[#This Row],[Result ]]="Loss", -Bet_Log[[#This Row],[Stake]], IF(Bet_Log[[#This Row],[Result ]]="Push", 0, ""))))</f>
        <v/>
      </c>
      <c r="J587" s="2" t="str">
        <f>IF(Bet_Log[[#This Row],[Return]]="", "", J586 + Bet_Log[[#This Row],[Return]])</f>
        <v/>
      </c>
      <c r="K587" s="9"/>
    </row>
    <row r="588" spans="1:11" x14ac:dyDescent="0.2">
      <c r="A588" s="27"/>
      <c r="B588" s="1"/>
      <c r="C588" s="6"/>
      <c r="D588" s="1"/>
      <c r="E588" s="7"/>
      <c r="F588" s="8"/>
      <c r="G588" s="3" t="str" cm="1">
        <f t="array" ref="G588">IF(ISBLANK(F588), "", IFERROR(_xlfn.IFS(LEFT(F588,1)="+", (VALUE(MID(F588,2,LEN(F588)))+100)/100, VALUE(F588)&gt;0, (F588+100)/100, VALUE(F588)&lt;0, (ABS(F588)+100)/ABS(F588), F588=0, 0), ""))</f>
        <v/>
      </c>
      <c r="H588" s="1"/>
      <c r="I588" s="4" t="str">
        <f>IF(Bet_Log[[#This Row],[Result ]]="", "", IF(Bet_Log[[#This Row],[Result ]]="Win", Bet_Log[[#This Row],[Stake]]*Bet_Log[[#This Row],[Decimal]]-Bet_Log[[#This Row],[Stake]], IF(Bet_Log[[#This Row],[Result ]]="Loss", -Bet_Log[[#This Row],[Stake]], IF(Bet_Log[[#This Row],[Result ]]="Push", 0, ""))))</f>
        <v/>
      </c>
      <c r="J588" s="2" t="str">
        <f>IF(Bet_Log[[#This Row],[Return]]="", "", J587 + Bet_Log[[#This Row],[Return]])</f>
        <v/>
      </c>
      <c r="K588" s="9"/>
    </row>
    <row r="589" spans="1:11" x14ac:dyDescent="0.2">
      <c r="A589" s="27"/>
      <c r="B589" s="1"/>
      <c r="C589" s="6"/>
      <c r="D589" s="1"/>
      <c r="E589" s="7"/>
      <c r="F589" s="8"/>
      <c r="G589" s="3" t="str" cm="1">
        <f t="array" ref="G589">IF(ISBLANK(F589), "", IFERROR(_xlfn.IFS(LEFT(F589,1)="+", (VALUE(MID(F589,2,LEN(F589)))+100)/100, VALUE(F589)&gt;0, (F589+100)/100, VALUE(F589)&lt;0, (ABS(F589)+100)/ABS(F589), F589=0, 0), ""))</f>
        <v/>
      </c>
      <c r="H589" s="1"/>
      <c r="I589" s="4" t="str">
        <f>IF(Bet_Log[[#This Row],[Result ]]="", "", IF(Bet_Log[[#This Row],[Result ]]="Win", Bet_Log[[#This Row],[Stake]]*Bet_Log[[#This Row],[Decimal]]-Bet_Log[[#This Row],[Stake]], IF(Bet_Log[[#This Row],[Result ]]="Loss", -Bet_Log[[#This Row],[Stake]], IF(Bet_Log[[#This Row],[Result ]]="Push", 0, ""))))</f>
        <v/>
      </c>
      <c r="J589" s="2" t="str">
        <f>IF(Bet_Log[[#This Row],[Return]]="", "", J588 + Bet_Log[[#This Row],[Return]])</f>
        <v/>
      </c>
      <c r="K589" s="9"/>
    </row>
    <row r="590" spans="1:11" x14ac:dyDescent="0.2">
      <c r="A590" s="27"/>
      <c r="B590" s="1"/>
      <c r="C590" s="6"/>
      <c r="D590" s="1"/>
      <c r="E590" s="7"/>
      <c r="F590" s="8"/>
      <c r="G590" s="3" t="str" cm="1">
        <f t="array" ref="G590">IF(ISBLANK(F590), "", IFERROR(_xlfn.IFS(LEFT(F590,1)="+", (VALUE(MID(F590,2,LEN(F590)))+100)/100, VALUE(F590)&gt;0, (F590+100)/100, VALUE(F590)&lt;0, (ABS(F590)+100)/ABS(F590), F590=0, 0), ""))</f>
        <v/>
      </c>
      <c r="H590" s="1"/>
      <c r="I590" s="4" t="str">
        <f>IF(Bet_Log[[#This Row],[Result ]]="", "", IF(Bet_Log[[#This Row],[Result ]]="Win", Bet_Log[[#This Row],[Stake]]*Bet_Log[[#This Row],[Decimal]]-Bet_Log[[#This Row],[Stake]], IF(Bet_Log[[#This Row],[Result ]]="Loss", -Bet_Log[[#This Row],[Stake]], IF(Bet_Log[[#This Row],[Result ]]="Push", 0, ""))))</f>
        <v/>
      </c>
      <c r="J590" s="2" t="str">
        <f>IF(Bet_Log[[#This Row],[Return]]="", "", J589 + Bet_Log[[#This Row],[Return]])</f>
        <v/>
      </c>
      <c r="K590" s="9"/>
    </row>
    <row r="591" spans="1:11" x14ac:dyDescent="0.2">
      <c r="A591" s="27"/>
      <c r="B591" s="1"/>
      <c r="C591" s="6"/>
      <c r="D591" s="1"/>
      <c r="E591" s="7"/>
      <c r="F591" s="8"/>
      <c r="G591" s="3" t="str" cm="1">
        <f t="array" ref="G591">IF(ISBLANK(F591), "", IFERROR(_xlfn.IFS(LEFT(F591,1)="+", (VALUE(MID(F591,2,LEN(F591)))+100)/100, VALUE(F591)&gt;0, (F591+100)/100, VALUE(F591)&lt;0, (ABS(F591)+100)/ABS(F591), F591=0, 0), ""))</f>
        <v/>
      </c>
      <c r="H591" s="1"/>
      <c r="I591" s="4" t="str">
        <f>IF(Bet_Log[[#This Row],[Result ]]="", "", IF(Bet_Log[[#This Row],[Result ]]="Win", Bet_Log[[#This Row],[Stake]]*Bet_Log[[#This Row],[Decimal]]-Bet_Log[[#This Row],[Stake]], IF(Bet_Log[[#This Row],[Result ]]="Loss", -Bet_Log[[#This Row],[Stake]], IF(Bet_Log[[#This Row],[Result ]]="Push", 0, ""))))</f>
        <v/>
      </c>
      <c r="J591" s="2" t="str">
        <f>IF(Bet_Log[[#This Row],[Return]]="", "", J590 + Bet_Log[[#This Row],[Return]])</f>
        <v/>
      </c>
      <c r="K591" s="9"/>
    </row>
    <row r="592" spans="1:11" x14ac:dyDescent="0.2">
      <c r="A592" s="27"/>
      <c r="B592" s="1"/>
      <c r="C592" s="6"/>
      <c r="D592" s="1"/>
      <c r="E592" s="7"/>
      <c r="F592" s="8"/>
      <c r="G592" s="3" t="str" cm="1">
        <f t="array" ref="G592">IF(ISBLANK(F592), "", IFERROR(_xlfn.IFS(LEFT(F592,1)="+", (VALUE(MID(F592,2,LEN(F592)))+100)/100, VALUE(F592)&gt;0, (F592+100)/100, VALUE(F592)&lt;0, (ABS(F592)+100)/ABS(F592), F592=0, 0), ""))</f>
        <v/>
      </c>
      <c r="H592" s="1"/>
      <c r="I592" s="4" t="str">
        <f>IF(Bet_Log[[#This Row],[Result ]]="", "", IF(Bet_Log[[#This Row],[Result ]]="Win", Bet_Log[[#This Row],[Stake]]*Bet_Log[[#This Row],[Decimal]]-Bet_Log[[#This Row],[Stake]], IF(Bet_Log[[#This Row],[Result ]]="Loss", -Bet_Log[[#This Row],[Stake]], IF(Bet_Log[[#This Row],[Result ]]="Push", 0, ""))))</f>
        <v/>
      </c>
      <c r="J592" s="2" t="str">
        <f>IF(Bet_Log[[#This Row],[Return]]="", "", J591 + Bet_Log[[#This Row],[Return]])</f>
        <v/>
      </c>
      <c r="K592" s="9"/>
    </row>
    <row r="593" spans="1:11" x14ac:dyDescent="0.2">
      <c r="A593" s="27"/>
      <c r="B593" s="1"/>
      <c r="C593" s="6"/>
      <c r="D593" s="1"/>
      <c r="E593" s="7"/>
      <c r="F593" s="8"/>
      <c r="G593" s="3" t="str" cm="1">
        <f t="array" ref="G593">IF(ISBLANK(F593), "", IFERROR(_xlfn.IFS(LEFT(F593,1)="+", (VALUE(MID(F593,2,LEN(F593)))+100)/100, VALUE(F593)&gt;0, (F593+100)/100, VALUE(F593)&lt;0, (ABS(F593)+100)/ABS(F593), F593=0, 0), ""))</f>
        <v/>
      </c>
      <c r="H593" s="1"/>
      <c r="I593" s="4" t="str">
        <f>IF(Bet_Log[[#This Row],[Result ]]="", "", IF(Bet_Log[[#This Row],[Result ]]="Win", Bet_Log[[#This Row],[Stake]]*Bet_Log[[#This Row],[Decimal]]-Bet_Log[[#This Row],[Stake]], IF(Bet_Log[[#This Row],[Result ]]="Loss", -Bet_Log[[#This Row],[Stake]], IF(Bet_Log[[#This Row],[Result ]]="Push", 0, ""))))</f>
        <v/>
      </c>
      <c r="J593" s="2" t="str">
        <f>IF(Bet_Log[[#This Row],[Return]]="", "", J592 + Bet_Log[[#This Row],[Return]])</f>
        <v/>
      </c>
      <c r="K593" s="9"/>
    </row>
    <row r="594" spans="1:11" x14ac:dyDescent="0.2">
      <c r="A594" s="27"/>
      <c r="B594" s="1"/>
      <c r="C594" s="6"/>
      <c r="D594" s="1"/>
      <c r="E594" s="7"/>
      <c r="F594" s="8"/>
      <c r="G594" s="3" t="str" cm="1">
        <f t="array" ref="G594">IF(ISBLANK(F594), "", IFERROR(_xlfn.IFS(LEFT(F594,1)="+", (VALUE(MID(F594,2,LEN(F594)))+100)/100, VALUE(F594)&gt;0, (F594+100)/100, VALUE(F594)&lt;0, (ABS(F594)+100)/ABS(F594), F594=0, 0), ""))</f>
        <v/>
      </c>
      <c r="H594" s="1"/>
      <c r="I594" s="4" t="str">
        <f>IF(Bet_Log[[#This Row],[Result ]]="", "", IF(Bet_Log[[#This Row],[Result ]]="Win", Bet_Log[[#This Row],[Stake]]*Bet_Log[[#This Row],[Decimal]]-Bet_Log[[#This Row],[Stake]], IF(Bet_Log[[#This Row],[Result ]]="Loss", -Bet_Log[[#This Row],[Stake]], IF(Bet_Log[[#This Row],[Result ]]="Push", 0, ""))))</f>
        <v/>
      </c>
      <c r="J594" s="2" t="str">
        <f>IF(Bet_Log[[#This Row],[Return]]="", "", J593 + Bet_Log[[#This Row],[Return]])</f>
        <v/>
      </c>
      <c r="K594" s="9"/>
    </row>
    <row r="595" spans="1:11" x14ac:dyDescent="0.2">
      <c r="A595" s="27"/>
      <c r="B595" s="1"/>
      <c r="C595" s="6"/>
      <c r="D595" s="1"/>
      <c r="E595" s="7"/>
      <c r="F595" s="8"/>
      <c r="G595" s="3" t="str" cm="1">
        <f t="array" ref="G595">IF(ISBLANK(F595), "", IFERROR(_xlfn.IFS(LEFT(F595,1)="+", (VALUE(MID(F595,2,LEN(F595)))+100)/100, VALUE(F595)&gt;0, (F595+100)/100, VALUE(F595)&lt;0, (ABS(F595)+100)/ABS(F595), F595=0, 0), ""))</f>
        <v/>
      </c>
      <c r="H595" s="1"/>
      <c r="I595" s="4" t="str">
        <f>IF(Bet_Log[[#This Row],[Result ]]="", "", IF(Bet_Log[[#This Row],[Result ]]="Win", Bet_Log[[#This Row],[Stake]]*Bet_Log[[#This Row],[Decimal]]-Bet_Log[[#This Row],[Stake]], IF(Bet_Log[[#This Row],[Result ]]="Loss", -Bet_Log[[#This Row],[Stake]], IF(Bet_Log[[#This Row],[Result ]]="Push", 0, ""))))</f>
        <v/>
      </c>
      <c r="J595" s="2" t="str">
        <f>IF(Bet_Log[[#This Row],[Return]]="", "", J594 + Bet_Log[[#This Row],[Return]])</f>
        <v/>
      </c>
      <c r="K595" s="9"/>
    </row>
    <row r="596" spans="1:11" x14ac:dyDescent="0.2">
      <c r="A596" s="27"/>
      <c r="B596" s="1"/>
      <c r="C596" s="6"/>
      <c r="D596" s="1"/>
      <c r="E596" s="7"/>
      <c r="F596" s="8"/>
      <c r="G596" s="3" t="str" cm="1">
        <f t="array" ref="G596">IF(ISBLANK(F596), "", IFERROR(_xlfn.IFS(LEFT(F596,1)="+", (VALUE(MID(F596,2,LEN(F596)))+100)/100, VALUE(F596)&gt;0, (F596+100)/100, VALUE(F596)&lt;0, (ABS(F596)+100)/ABS(F596), F596=0, 0), ""))</f>
        <v/>
      </c>
      <c r="H596" s="1"/>
      <c r="I596" s="4" t="str">
        <f>IF(Bet_Log[[#This Row],[Result ]]="", "", IF(Bet_Log[[#This Row],[Result ]]="Win", Bet_Log[[#This Row],[Stake]]*Bet_Log[[#This Row],[Decimal]]-Bet_Log[[#This Row],[Stake]], IF(Bet_Log[[#This Row],[Result ]]="Loss", -Bet_Log[[#This Row],[Stake]], IF(Bet_Log[[#This Row],[Result ]]="Push", 0, ""))))</f>
        <v/>
      </c>
      <c r="J596" s="2" t="str">
        <f>IF(Bet_Log[[#This Row],[Return]]="", "", J595 + Bet_Log[[#This Row],[Return]])</f>
        <v/>
      </c>
      <c r="K596" s="9"/>
    </row>
    <row r="597" spans="1:11" x14ac:dyDescent="0.2">
      <c r="A597" s="27"/>
      <c r="B597" s="1"/>
      <c r="C597" s="6"/>
      <c r="D597" s="1"/>
      <c r="E597" s="7"/>
      <c r="F597" s="8"/>
      <c r="G597" s="3" t="str" cm="1">
        <f t="array" ref="G597">IF(ISBLANK(F597), "", IFERROR(_xlfn.IFS(LEFT(F597,1)="+", (VALUE(MID(F597,2,LEN(F597)))+100)/100, VALUE(F597)&gt;0, (F597+100)/100, VALUE(F597)&lt;0, (ABS(F597)+100)/ABS(F597), F597=0, 0), ""))</f>
        <v/>
      </c>
      <c r="H597" s="1"/>
      <c r="I597" s="4" t="str">
        <f>IF(Bet_Log[[#This Row],[Result ]]="", "", IF(Bet_Log[[#This Row],[Result ]]="Win", Bet_Log[[#This Row],[Stake]]*Bet_Log[[#This Row],[Decimal]]-Bet_Log[[#This Row],[Stake]], IF(Bet_Log[[#This Row],[Result ]]="Loss", -Bet_Log[[#This Row],[Stake]], IF(Bet_Log[[#This Row],[Result ]]="Push", 0, ""))))</f>
        <v/>
      </c>
      <c r="J597" s="2" t="str">
        <f>IF(Bet_Log[[#This Row],[Return]]="", "", J596 + Bet_Log[[#This Row],[Return]])</f>
        <v/>
      </c>
      <c r="K597" s="9"/>
    </row>
    <row r="598" spans="1:11" x14ac:dyDescent="0.2">
      <c r="A598" s="27"/>
      <c r="B598" s="1"/>
      <c r="C598" s="6"/>
      <c r="D598" s="1"/>
      <c r="E598" s="7"/>
      <c r="F598" s="8"/>
      <c r="G598" s="3" t="str" cm="1">
        <f t="array" ref="G598">IF(ISBLANK(F598), "", IFERROR(_xlfn.IFS(LEFT(F598,1)="+", (VALUE(MID(F598,2,LEN(F598)))+100)/100, VALUE(F598)&gt;0, (F598+100)/100, VALUE(F598)&lt;0, (ABS(F598)+100)/ABS(F598), F598=0, 0), ""))</f>
        <v/>
      </c>
      <c r="H598" s="1"/>
      <c r="I598" s="4" t="str">
        <f>IF(Bet_Log[[#This Row],[Result ]]="", "", IF(Bet_Log[[#This Row],[Result ]]="Win", Bet_Log[[#This Row],[Stake]]*Bet_Log[[#This Row],[Decimal]]-Bet_Log[[#This Row],[Stake]], IF(Bet_Log[[#This Row],[Result ]]="Loss", -Bet_Log[[#This Row],[Stake]], IF(Bet_Log[[#This Row],[Result ]]="Push", 0, ""))))</f>
        <v/>
      </c>
      <c r="J598" s="2" t="str">
        <f>IF(Bet_Log[[#This Row],[Return]]="", "", J597 + Bet_Log[[#This Row],[Return]])</f>
        <v/>
      </c>
      <c r="K598" s="9"/>
    </row>
    <row r="599" spans="1:11" x14ac:dyDescent="0.2">
      <c r="A599" s="27"/>
      <c r="B599" s="1"/>
      <c r="C599" s="6"/>
      <c r="D599" s="1"/>
      <c r="E599" s="7"/>
      <c r="F599" s="8"/>
      <c r="G599" s="3" t="str" cm="1">
        <f t="array" ref="G599">IF(ISBLANK(F599), "", IFERROR(_xlfn.IFS(LEFT(F599,1)="+", (VALUE(MID(F599,2,LEN(F599)))+100)/100, VALUE(F599)&gt;0, (F599+100)/100, VALUE(F599)&lt;0, (ABS(F599)+100)/ABS(F599), F599=0, 0), ""))</f>
        <v/>
      </c>
      <c r="H599" s="1"/>
      <c r="I599" s="4" t="str">
        <f>IF(Bet_Log[[#This Row],[Result ]]="", "", IF(Bet_Log[[#This Row],[Result ]]="Win", Bet_Log[[#This Row],[Stake]]*Bet_Log[[#This Row],[Decimal]]-Bet_Log[[#This Row],[Stake]], IF(Bet_Log[[#This Row],[Result ]]="Loss", -Bet_Log[[#This Row],[Stake]], IF(Bet_Log[[#This Row],[Result ]]="Push", 0, ""))))</f>
        <v/>
      </c>
      <c r="J599" s="2" t="str">
        <f>IF(Bet_Log[[#This Row],[Return]]="", "", J598 + Bet_Log[[#This Row],[Return]])</f>
        <v/>
      </c>
      <c r="K599" s="9"/>
    </row>
    <row r="600" spans="1:11" x14ac:dyDescent="0.2">
      <c r="A600" s="27"/>
      <c r="B600" s="1"/>
      <c r="C600" s="6"/>
      <c r="D600" s="1"/>
      <c r="E600" s="7"/>
      <c r="F600" s="8"/>
      <c r="G600" s="3" t="str" cm="1">
        <f t="array" ref="G600">IF(ISBLANK(F600), "", IFERROR(_xlfn.IFS(LEFT(F600,1)="+", (VALUE(MID(F600,2,LEN(F600)))+100)/100, VALUE(F600)&gt;0, (F600+100)/100, VALUE(F600)&lt;0, (ABS(F600)+100)/ABS(F600), F600=0, 0), ""))</f>
        <v/>
      </c>
      <c r="H600" s="1"/>
      <c r="I600" s="4" t="str">
        <f>IF(Bet_Log[[#This Row],[Result ]]="", "", IF(Bet_Log[[#This Row],[Result ]]="Win", Bet_Log[[#This Row],[Stake]]*Bet_Log[[#This Row],[Decimal]]-Bet_Log[[#This Row],[Stake]], IF(Bet_Log[[#This Row],[Result ]]="Loss", -Bet_Log[[#This Row],[Stake]], IF(Bet_Log[[#This Row],[Result ]]="Push", 0, ""))))</f>
        <v/>
      </c>
      <c r="J600" s="2" t="str">
        <f>IF(Bet_Log[[#This Row],[Return]]="", "", J599 + Bet_Log[[#This Row],[Return]])</f>
        <v/>
      </c>
      <c r="K600" s="9"/>
    </row>
    <row r="601" spans="1:11" x14ac:dyDescent="0.2">
      <c r="A601" s="27"/>
      <c r="B601" s="1"/>
      <c r="C601" s="6"/>
      <c r="D601" s="1"/>
      <c r="E601" s="7"/>
      <c r="F601" s="8"/>
      <c r="G601" s="3" t="str" cm="1">
        <f t="array" ref="G601">IF(ISBLANK(F601), "", IFERROR(_xlfn.IFS(LEFT(F601,1)="+", (VALUE(MID(F601,2,LEN(F601)))+100)/100, VALUE(F601)&gt;0, (F601+100)/100, VALUE(F601)&lt;0, (ABS(F601)+100)/ABS(F601), F601=0, 0), ""))</f>
        <v/>
      </c>
      <c r="H601" s="1"/>
      <c r="I601" s="4" t="str">
        <f>IF(Bet_Log[[#This Row],[Result ]]="", "", IF(Bet_Log[[#This Row],[Result ]]="Win", Bet_Log[[#This Row],[Stake]]*Bet_Log[[#This Row],[Decimal]]-Bet_Log[[#This Row],[Stake]], IF(Bet_Log[[#This Row],[Result ]]="Loss", -Bet_Log[[#This Row],[Stake]], IF(Bet_Log[[#This Row],[Result ]]="Push", 0, ""))))</f>
        <v/>
      </c>
      <c r="J601" s="2" t="str">
        <f>IF(Bet_Log[[#This Row],[Return]]="", "", J600 + Bet_Log[[#This Row],[Return]])</f>
        <v/>
      </c>
      <c r="K601" s="9"/>
    </row>
    <row r="602" spans="1:11" x14ac:dyDescent="0.2">
      <c r="A602" s="27"/>
      <c r="B602" s="1"/>
      <c r="C602" s="6"/>
      <c r="D602" s="1"/>
      <c r="E602" s="7"/>
      <c r="F602" s="8"/>
      <c r="G602" s="3" t="str" cm="1">
        <f t="array" ref="G602">IF(ISBLANK(F602), "", IFERROR(_xlfn.IFS(LEFT(F602,1)="+", (VALUE(MID(F602,2,LEN(F602)))+100)/100, VALUE(F602)&gt;0, (F602+100)/100, VALUE(F602)&lt;0, (ABS(F602)+100)/ABS(F602), F602=0, 0), ""))</f>
        <v/>
      </c>
      <c r="H602" s="1"/>
      <c r="I602" s="4" t="str">
        <f>IF(Bet_Log[[#This Row],[Result ]]="", "", IF(Bet_Log[[#This Row],[Result ]]="Win", Bet_Log[[#This Row],[Stake]]*Bet_Log[[#This Row],[Decimal]]-Bet_Log[[#This Row],[Stake]], IF(Bet_Log[[#This Row],[Result ]]="Loss", -Bet_Log[[#This Row],[Stake]], IF(Bet_Log[[#This Row],[Result ]]="Push", 0, ""))))</f>
        <v/>
      </c>
      <c r="J602" s="2" t="str">
        <f>IF(Bet_Log[[#This Row],[Return]]="", "", J601 + Bet_Log[[#This Row],[Return]])</f>
        <v/>
      </c>
      <c r="K602" s="9"/>
    </row>
    <row r="603" spans="1:11" x14ac:dyDescent="0.2">
      <c r="A603" s="27"/>
      <c r="B603" s="1"/>
      <c r="C603" s="6"/>
      <c r="D603" s="1"/>
      <c r="E603" s="7"/>
      <c r="F603" s="8"/>
      <c r="G603" s="3" t="str" cm="1">
        <f t="array" ref="G603">IF(ISBLANK(F603), "", IFERROR(_xlfn.IFS(LEFT(F603,1)="+", (VALUE(MID(F603,2,LEN(F603)))+100)/100, VALUE(F603)&gt;0, (F603+100)/100, VALUE(F603)&lt;0, (ABS(F603)+100)/ABS(F603), F603=0, 0), ""))</f>
        <v/>
      </c>
      <c r="H603" s="1"/>
      <c r="I603" s="4" t="str">
        <f>IF(Bet_Log[[#This Row],[Result ]]="", "", IF(Bet_Log[[#This Row],[Result ]]="Win", Bet_Log[[#This Row],[Stake]]*Bet_Log[[#This Row],[Decimal]]-Bet_Log[[#This Row],[Stake]], IF(Bet_Log[[#This Row],[Result ]]="Loss", -Bet_Log[[#This Row],[Stake]], IF(Bet_Log[[#This Row],[Result ]]="Push", 0, ""))))</f>
        <v/>
      </c>
      <c r="J603" s="2" t="str">
        <f>IF(Bet_Log[[#This Row],[Return]]="", "", J602 + Bet_Log[[#This Row],[Return]])</f>
        <v/>
      </c>
      <c r="K603" s="9"/>
    </row>
    <row r="604" spans="1:11" x14ac:dyDescent="0.2">
      <c r="A604" s="27"/>
      <c r="B604" s="1"/>
      <c r="C604" s="6"/>
      <c r="D604" s="1"/>
      <c r="E604" s="7"/>
      <c r="F604" s="8"/>
      <c r="G604" s="3" t="str" cm="1">
        <f t="array" ref="G604">IF(ISBLANK(F604), "", IFERROR(_xlfn.IFS(LEFT(F604,1)="+", (VALUE(MID(F604,2,LEN(F604)))+100)/100, VALUE(F604)&gt;0, (F604+100)/100, VALUE(F604)&lt;0, (ABS(F604)+100)/ABS(F604), F604=0, 0), ""))</f>
        <v/>
      </c>
      <c r="H604" s="1"/>
      <c r="I604" s="4" t="str">
        <f>IF(Bet_Log[[#This Row],[Result ]]="", "", IF(Bet_Log[[#This Row],[Result ]]="Win", Bet_Log[[#This Row],[Stake]]*Bet_Log[[#This Row],[Decimal]]-Bet_Log[[#This Row],[Stake]], IF(Bet_Log[[#This Row],[Result ]]="Loss", -Bet_Log[[#This Row],[Stake]], IF(Bet_Log[[#This Row],[Result ]]="Push", 0, ""))))</f>
        <v/>
      </c>
      <c r="J604" s="2" t="str">
        <f>IF(Bet_Log[[#This Row],[Return]]="", "", J603 + Bet_Log[[#This Row],[Return]])</f>
        <v/>
      </c>
      <c r="K604" s="9"/>
    </row>
    <row r="605" spans="1:11" x14ac:dyDescent="0.2">
      <c r="A605" s="27"/>
      <c r="B605" s="1"/>
      <c r="C605" s="6"/>
      <c r="D605" s="1"/>
      <c r="E605" s="7"/>
      <c r="F605" s="8"/>
      <c r="G605" s="3" t="str" cm="1">
        <f t="array" ref="G605">IF(ISBLANK(F605), "", IFERROR(_xlfn.IFS(LEFT(F605,1)="+", (VALUE(MID(F605,2,LEN(F605)))+100)/100, VALUE(F605)&gt;0, (F605+100)/100, VALUE(F605)&lt;0, (ABS(F605)+100)/ABS(F605), F605=0, 0), ""))</f>
        <v/>
      </c>
      <c r="H605" s="1"/>
      <c r="I605" s="4" t="str">
        <f>IF(Bet_Log[[#This Row],[Result ]]="", "", IF(Bet_Log[[#This Row],[Result ]]="Win", Bet_Log[[#This Row],[Stake]]*Bet_Log[[#This Row],[Decimal]]-Bet_Log[[#This Row],[Stake]], IF(Bet_Log[[#This Row],[Result ]]="Loss", -Bet_Log[[#This Row],[Stake]], IF(Bet_Log[[#This Row],[Result ]]="Push", 0, ""))))</f>
        <v/>
      </c>
      <c r="J605" s="2" t="str">
        <f>IF(Bet_Log[[#This Row],[Return]]="", "", J604 + Bet_Log[[#This Row],[Return]])</f>
        <v/>
      </c>
      <c r="K605" s="9"/>
    </row>
    <row r="606" spans="1:11" x14ac:dyDescent="0.2">
      <c r="A606" s="27"/>
      <c r="B606" s="1"/>
      <c r="C606" s="6"/>
      <c r="D606" s="1"/>
      <c r="E606" s="7"/>
      <c r="F606" s="8"/>
      <c r="G606" s="3" t="str" cm="1">
        <f t="array" ref="G606">IF(ISBLANK(F606), "", IFERROR(_xlfn.IFS(LEFT(F606,1)="+", (VALUE(MID(F606,2,LEN(F606)))+100)/100, VALUE(F606)&gt;0, (F606+100)/100, VALUE(F606)&lt;0, (ABS(F606)+100)/ABS(F606), F606=0, 0), ""))</f>
        <v/>
      </c>
      <c r="H606" s="1"/>
      <c r="I606" s="4" t="str">
        <f>IF(Bet_Log[[#This Row],[Result ]]="", "", IF(Bet_Log[[#This Row],[Result ]]="Win", Bet_Log[[#This Row],[Stake]]*Bet_Log[[#This Row],[Decimal]]-Bet_Log[[#This Row],[Stake]], IF(Bet_Log[[#This Row],[Result ]]="Loss", -Bet_Log[[#This Row],[Stake]], IF(Bet_Log[[#This Row],[Result ]]="Push", 0, ""))))</f>
        <v/>
      </c>
      <c r="J606" s="2" t="str">
        <f>IF(Bet_Log[[#This Row],[Return]]="", "", J605 + Bet_Log[[#This Row],[Return]])</f>
        <v/>
      </c>
      <c r="K606" s="9"/>
    </row>
    <row r="607" spans="1:11" x14ac:dyDescent="0.2">
      <c r="A607" s="27"/>
      <c r="B607" s="1"/>
      <c r="C607" s="6"/>
      <c r="D607" s="1"/>
      <c r="E607" s="7"/>
      <c r="F607" s="8"/>
      <c r="G607" s="3" t="str" cm="1">
        <f t="array" ref="G607">IF(ISBLANK(F607), "", IFERROR(_xlfn.IFS(LEFT(F607,1)="+", (VALUE(MID(F607,2,LEN(F607)))+100)/100, VALUE(F607)&gt;0, (F607+100)/100, VALUE(F607)&lt;0, (ABS(F607)+100)/ABS(F607), F607=0, 0), ""))</f>
        <v/>
      </c>
      <c r="H607" s="1"/>
      <c r="I607" s="4" t="str">
        <f>IF(Bet_Log[[#This Row],[Result ]]="", "", IF(Bet_Log[[#This Row],[Result ]]="Win", Bet_Log[[#This Row],[Stake]]*Bet_Log[[#This Row],[Decimal]]-Bet_Log[[#This Row],[Stake]], IF(Bet_Log[[#This Row],[Result ]]="Loss", -Bet_Log[[#This Row],[Stake]], IF(Bet_Log[[#This Row],[Result ]]="Push", 0, ""))))</f>
        <v/>
      </c>
      <c r="J607" s="2" t="str">
        <f>IF(Bet_Log[[#This Row],[Return]]="", "", J606 + Bet_Log[[#This Row],[Return]])</f>
        <v/>
      </c>
      <c r="K607" s="9"/>
    </row>
    <row r="608" spans="1:11" x14ac:dyDescent="0.2">
      <c r="A608" s="27"/>
      <c r="B608" s="1"/>
      <c r="C608" s="6"/>
      <c r="D608" s="1"/>
      <c r="E608" s="7"/>
      <c r="F608" s="8"/>
      <c r="G608" s="3" t="str" cm="1">
        <f t="array" ref="G608">IF(ISBLANK(F608), "", IFERROR(_xlfn.IFS(LEFT(F608,1)="+", (VALUE(MID(F608,2,LEN(F608)))+100)/100, VALUE(F608)&gt;0, (F608+100)/100, VALUE(F608)&lt;0, (ABS(F608)+100)/ABS(F608), F608=0, 0), ""))</f>
        <v/>
      </c>
      <c r="H608" s="1"/>
      <c r="I608" s="4" t="str">
        <f>IF(Bet_Log[[#This Row],[Result ]]="", "", IF(Bet_Log[[#This Row],[Result ]]="Win", Bet_Log[[#This Row],[Stake]]*Bet_Log[[#This Row],[Decimal]]-Bet_Log[[#This Row],[Stake]], IF(Bet_Log[[#This Row],[Result ]]="Loss", -Bet_Log[[#This Row],[Stake]], IF(Bet_Log[[#This Row],[Result ]]="Push", 0, ""))))</f>
        <v/>
      </c>
      <c r="J608" s="2" t="str">
        <f>IF(Bet_Log[[#This Row],[Return]]="", "", J607 + Bet_Log[[#This Row],[Return]])</f>
        <v/>
      </c>
      <c r="K608" s="9"/>
    </row>
    <row r="609" spans="1:11" x14ac:dyDescent="0.2">
      <c r="A609" s="27"/>
      <c r="B609" s="1"/>
      <c r="C609" s="6"/>
      <c r="D609" s="1"/>
      <c r="E609" s="7"/>
      <c r="F609" s="8"/>
      <c r="G609" s="3" t="str" cm="1">
        <f t="array" ref="G609">IF(ISBLANK(F609), "", IFERROR(_xlfn.IFS(LEFT(F609,1)="+", (VALUE(MID(F609,2,LEN(F609)))+100)/100, VALUE(F609)&gt;0, (F609+100)/100, VALUE(F609)&lt;0, (ABS(F609)+100)/ABS(F609), F609=0, 0), ""))</f>
        <v/>
      </c>
      <c r="H609" s="1"/>
      <c r="I609" s="4" t="str">
        <f>IF(Bet_Log[[#This Row],[Result ]]="", "", IF(Bet_Log[[#This Row],[Result ]]="Win", Bet_Log[[#This Row],[Stake]]*Bet_Log[[#This Row],[Decimal]]-Bet_Log[[#This Row],[Stake]], IF(Bet_Log[[#This Row],[Result ]]="Loss", -Bet_Log[[#This Row],[Stake]], IF(Bet_Log[[#This Row],[Result ]]="Push", 0, ""))))</f>
        <v/>
      </c>
      <c r="J609" s="2" t="str">
        <f>IF(Bet_Log[[#This Row],[Return]]="", "", J608 + Bet_Log[[#This Row],[Return]])</f>
        <v/>
      </c>
      <c r="K609" s="9"/>
    </row>
    <row r="610" spans="1:11" x14ac:dyDescent="0.2">
      <c r="A610" s="27"/>
      <c r="B610" s="1"/>
      <c r="C610" s="6"/>
      <c r="D610" s="1"/>
      <c r="E610" s="7"/>
      <c r="F610" s="8"/>
      <c r="G610" s="3" t="str" cm="1">
        <f t="array" ref="G610">IF(ISBLANK(F610), "", IFERROR(_xlfn.IFS(LEFT(F610,1)="+", (VALUE(MID(F610,2,LEN(F610)))+100)/100, VALUE(F610)&gt;0, (F610+100)/100, VALUE(F610)&lt;0, (ABS(F610)+100)/ABS(F610), F610=0, 0), ""))</f>
        <v/>
      </c>
      <c r="H610" s="1"/>
      <c r="I610" s="4" t="str">
        <f>IF(Bet_Log[[#This Row],[Result ]]="", "", IF(Bet_Log[[#This Row],[Result ]]="Win", Bet_Log[[#This Row],[Stake]]*Bet_Log[[#This Row],[Decimal]]-Bet_Log[[#This Row],[Stake]], IF(Bet_Log[[#This Row],[Result ]]="Loss", -Bet_Log[[#This Row],[Stake]], IF(Bet_Log[[#This Row],[Result ]]="Push", 0, ""))))</f>
        <v/>
      </c>
      <c r="J610" s="2" t="str">
        <f>IF(Bet_Log[[#This Row],[Return]]="", "", J609 + Bet_Log[[#This Row],[Return]])</f>
        <v/>
      </c>
      <c r="K610" s="9"/>
    </row>
    <row r="611" spans="1:11" x14ac:dyDescent="0.2">
      <c r="A611" s="27"/>
      <c r="B611" s="1"/>
      <c r="C611" s="6"/>
      <c r="D611" s="1"/>
      <c r="E611" s="7"/>
      <c r="F611" s="8"/>
      <c r="G611" s="3" t="str" cm="1">
        <f t="array" ref="G611">IF(ISBLANK(F611), "", IFERROR(_xlfn.IFS(LEFT(F611,1)="+", (VALUE(MID(F611,2,LEN(F611)))+100)/100, VALUE(F611)&gt;0, (F611+100)/100, VALUE(F611)&lt;0, (ABS(F611)+100)/ABS(F611), F611=0, 0), ""))</f>
        <v/>
      </c>
      <c r="H611" s="1"/>
      <c r="I611" s="4" t="str">
        <f>IF(Bet_Log[[#This Row],[Result ]]="", "", IF(Bet_Log[[#This Row],[Result ]]="Win", Bet_Log[[#This Row],[Stake]]*Bet_Log[[#This Row],[Decimal]]-Bet_Log[[#This Row],[Stake]], IF(Bet_Log[[#This Row],[Result ]]="Loss", -Bet_Log[[#This Row],[Stake]], IF(Bet_Log[[#This Row],[Result ]]="Push", 0, ""))))</f>
        <v/>
      </c>
      <c r="J611" s="2" t="str">
        <f>IF(Bet_Log[[#This Row],[Return]]="", "", J610 + Bet_Log[[#This Row],[Return]])</f>
        <v/>
      </c>
      <c r="K611" s="9"/>
    </row>
    <row r="612" spans="1:11" x14ac:dyDescent="0.2">
      <c r="A612" s="27"/>
      <c r="B612" s="1"/>
      <c r="C612" s="6"/>
      <c r="D612" s="1"/>
      <c r="E612" s="7"/>
      <c r="F612" s="8"/>
      <c r="G612" s="3" t="str" cm="1">
        <f t="array" ref="G612">IF(ISBLANK(F612), "", IFERROR(_xlfn.IFS(LEFT(F612,1)="+", (VALUE(MID(F612,2,LEN(F612)))+100)/100, VALUE(F612)&gt;0, (F612+100)/100, VALUE(F612)&lt;0, (ABS(F612)+100)/ABS(F612), F612=0, 0), ""))</f>
        <v/>
      </c>
      <c r="H612" s="1"/>
      <c r="I612" s="4" t="str">
        <f>IF(Bet_Log[[#This Row],[Result ]]="", "", IF(Bet_Log[[#This Row],[Result ]]="Win", Bet_Log[[#This Row],[Stake]]*Bet_Log[[#This Row],[Decimal]]-Bet_Log[[#This Row],[Stake]], IF(Bet_Log[[#This Row],[Result ]]="Loss", -Bet_Log[[#This Row],[Stake]], IF(Bet_Log[[#This Row],[Result ]]="Push", 0, ""))))</f>
        <v/>
      </c>
      <c r="J612" s="2" t="str">
        <f>IF(Bet_Log[[#This Row],[Return]]="", "", J611 + Bet_Log[[#This Row],[Return]])</f>
        <v/>
      </c>
      <c r="K612" s="9"/>
    </row>
    <row r="613" spans="1:11" x14ac:dyDescent="0.2">
      <c r="A613" s="27"/>
      <c r="B613" s="1"/>
      <c r="C613" s="6"/>
      <c r="D613" s="1"/>
      <c r="E613" s="7"/>
      <c r="F613" s="8"/>
      <c r="G613" s="3" t="str" cm="1">
        <f t="array" ref="G613">IF(ISBLANK(F613), "", IFERROR(_xlfn.IFS(LEFT(F613,1)="+", (VALUE(MID(F613,2,LEN(F613)))+100)/100, VALUE(F613)&gt;0, (F613+100)/100, VALUE(F613)&lt;0, (ABS(F613)+100)/ABS(F613), F613=0, 0), ""))</f>
        <v/>
      </c>
      <c r="H613" s="1"/>
      <c r="I613" s="4" t="str">
        <f>IF(Bet_Log[[#This Row],[Result ]]="", "", IF(Bet_Log[[#This Row],[Result ]]="Win", Bet_Log[[#This Row],[Stake]]*Bet_Log[[#This Row],[Decimal]]-Bet_Log[[#This Row],[Stake]], IF(Bet_Log[[#This Row],[Result ]]="Loss", -Bet_Log[[#This Row],[Stake]], IF(Bet_Log[[#This Row],[Result ]]="Push", 0, ""))))</f>
        <v/>
      </c>
      <c r="J613" s="2" t="str">
        <f>IF(Bet_Log[[#This Row],[Return]]="", "", J612 + Bet_Log[[#This Row],[Return]])</f>
        <v/>
      </c>
      <c r="K613" s="9"/>
    </row>
    <row r="614" spans="1:11" x14ac:dyDescent="0.2">
      <c r="A614" s="27"/>
      <c r="B614" s="1"/>
      <c r="C614" s="6"/>
      <c r="D614" s="1"/>
      <c r="E614" s="7"/>
      <c r="F614" s="8"/>
      <c r="G614" s="3" t="str" cm="1">
        <f t="array" ref="G614">IF(ISBLANK(F614), "", IFERROR(_xlfn.IFS(LEFT(F614,1)="+", (VALUE(MID(F614,2,LEN(F614)))+100)/100, VALUE(F614)&gt;0, (F614+100)/100, VALUE(F614)&lt;0, (ABS(F614)+100)/ABS(F614), F614=0, 0), ""))</f>
        <v/>
      </c>
      <c r="H614" s="1"/>
      <c r="I614" s="4" t="str">
        <f>IF(Bet_Log[[#This Row],[Result ]]="", "", IF(Bet_Log[[#This Row],[Result ]]="Win", Bet_Log[[#This Row],[Stake]]*Bet_Log[[#This Row],[Decimal]]-Bet_Log[[#This Row],[Stake]], IF(Bet_Log[[#This Row],[Result ]]="Loss", -Bet_Log[[#This Row],[Stake]], IF(Bet_Log[[#This Row],[Result ]]="Push", 0, ""))))</f>
        <v/>
      </c>
      <c r="J614" s="2" t="str">
        <f>IF(Bet_Log[[#This Row],[Return]]="", "", J613 + Bet_Log[[#This Row],[Return]])</f>
        <v/>
      </c>
      <c r="K614" s="9"/>
    </row>
    <row r="615" spans="1:11" x14ac:dyDescent="0.2">
      <c r="A615" s="27"/>
      <c r="B615" s="1"/>
      <c r="C615" s="6"/>
      <c r="D615" s="1"/>
      <c r="E615" s="7"/>
      <c r="F615" s="8"/>
      <c r="G615" s="3" t="str" cm="1">
        <f t="array" ref="G615">IF(ISBLANK(F615), "", IFERROR(_xlfn.IFS(LEFT(F615,1)="+", (VALUE(MID(F615,2,LEN(F615)))+100)/100, VALUE(F615)&gt;0, (F615+100)/100, VALUE(F615)&lt;0, (ABS(F615)+100)/ABS(F615), F615=0, 0), ""))</f>
        <v/>
      </c>
      <c r="H615" s="1"/>
      <c r="I615" s="4" t="str">
        <f>IF(Bet_Log[[#This Row],[Result ]]="", "", IF(Bet_Log[[#This Row],[Result ]]="Win", Bet_Log[[#This Row],[Stake]]*Bet_Log[[#This Row],[Decimal]]-Bet_Log[[#This Row],[Stake]], IF(Bet_Log[[#This Row],[Result ]]="Loss", -Bet_Log[[#This Row],[Stake]], IF(Bet_Log[[#This Row],[Result ]]="Push", 0, ""))))</f>
        <v/>
      </c>
      <c r="J615" s="2" t="str">
        <f>IF(Bet_Log[[#This Row],[Return]]="", "", J614 + Bet_Log[[#This Row],[Return]])</f>
        <v/>
      </c>
      <c r="K615" s="9"/>
    </row>
    <row r="616" spans="1:11" x14ac:dyDescent="0.2">
      <c r="A616" s="27"/>
      <c r="B616" s="1"/>
      <c r="C616" s="6"/>
      <c r="D616" s="1"/>
      <c r="E616" s="7"/>
      <c r="F616" s="8"/>
      <c r="G616" s="3" t="str" cm="1">
        <f t="array" ref="G616">IF(ISBLANK(F616), "", IFERROR(_xlfn.IFS(LEFT(F616,1)="+", (VALUE(MID(F616,2,LEN(F616)))+100)/100, VALUE(F616)&gt;0, (F616+100)/100, VALUE(F616)&lt;0, (ABS(F616)+100)/ABS(F616), F616=0, 0), ""))</f>
        <v/>
      </c>
      <c r="H616" s="1"/>
      <c r="I616" s="4" t="str">
        <f>IF(Bet_Log[[#This Row],[Result ]]="", "", IF(Bet_Log[[#This Row],[Result ]]="Win", Bet_Log[[#This Row],[Stake]]*Bet_Log[[#This Row],[Decimal]]-Bet_Log[[#This Row],[Stake]], IF(Bet_Log[[#This Row],[Result ]]="Loss", -Bet_Log[[#This Row],[Stake]], IF(Bet_Log[[#This Row],[Result ]]="Push", 0, ""))))</f>
        <v/>
      </c>
      <c r="J616" s="2" t="str">
        <f>IF(Bet_Log[[#This Row],[Return]]="", "", J615 + Bet_Log[[#This Row],[Return]])</f>
        <v/>
      </c>
      <c r="K616" s="9"/>
    </row>
    <row r="617" spans="1:11" x14ac:dyDescent="0.2">
      <c r="A617" s="27"/>
      <c r="B617" s="1"/>
      <c r="C617" s="6"/>
      <c r="D617" s="1"/>
      <c r="E617" s="7"/>
      <c r="F617" s="8"/>
      <c r="G617" s="3" t="str" cm="1">
        <f t="array" ref="G617">IF(ISBLANK(F617), "", IFERROR(_xlfn.IFS(LEFT(F617,1)="+", (VALUE(MID(F617,2,LEN(F617)))+100)/100, VALUE(F617)&gt;0, (F617+100)/100, VALUE(F617)&lt;0, (ABS(F617)+100)/ABS(F617), F617=0, 0), ""))</f>
        <v/>
      </c>
      <c r="H617" s="1"/>
      <c r="I617" s="4" t="str">
        <f>IF(Bet_Log[[#This Row],[Result ]]="", "", IF(Bet_Log[[#This Row],[Result ]]="Win", Bet_Log[[#This Row],[Stake]]*Bet_Log[[#This Row],[Decimal]]-Bet_Log[[#This Row],[Stake]], IF(Bet_Log[[#This Row],[Result ]]="Loss", -Bet_Log[[#This Row],[Stake]], IF(Bet_Log[[#This Row],[Result ]]="Push", 0, ""))))</f>
        <v/>
      </c>
      <c r="J617" s="2" t="str">
        <f>IF(Bet_Log[[#This Row],[Return]]="", "", J616 + Bet_Log[[#This Row],[Return]])</f>
        <v/>
      </c>
      <c r="K617" s="9"/>
    </row>
    <row r="618" spans="1:11" x14ac:dyDescent="0.2">
      <c r="A618" s="27"/>
      <c r="B618" s="1"/>
      <c r="C618" s="6"/>
      <c r="D618" s="1"/>
      <c r="E618" s="7"/>
      <c r="F618" s="8"/>
      <c r="G618" s="3" t="str" cm="1">
        <f t="array" ref="G618">IF(ISBLANK(F618), "", IFERROR(_xlfn.IFS(LEFT(F618,1)="+", (VALUE(MID(F618,2,LEN(F618)))+100)/100, VALUE(F618)&gt;0, (F618+100)/100, VALUE(F618)&lt;0, (ABS(F618)+100)/ABS(F618), F618=0, 0), ""))</f>
        <v/>
      </c>
      <c r="H618" s="1"/>
      <c r="I618" s="4" t="str">
        <f>IF(Bet_Log[[#This Row],[Result ]]="", "", IF(Bet_Log[[#This Row],[Result ]]="Win", Bet_Log[[#This Row],[Stake]]*Bet_Log[[#This Row],[Decimal]]-Bet_Log[[#This Row],[Stake]], IF(Bet_Log[[#This Row],[Result ]]="Loss", -Bet_Log[[#This Row],[Stake]], IF(Bet_Log[[#This Row],[Result ]]="Push", 0, ""))))</f>
        <v/>
      </c>
      <c r="J618" s="2" t="str">
        <f>IF(Bet_Log[[#This Row],[Return]]="", "", J617 + Bet_Log[[#This Row],[Return]])</f>
        <v/>
      </c>
      <c r="K618" s="9"/>
    </row>
    <row r="619" spans="1:11" x14ac:dyDescent="0.2">
      <c r="A619" s="27"/>
      <c r="B619" s="1"/>
      <c r="C619" s="6"/>
      <c r="D619" s="1"/>
      <c r="E619" s="7"/>
      <c r="F619" s="8"/>
      <c r="G619" s="3" t="str" cm="1">
        <f t="array" ref="G619">IF(ISBLANK(F619), "", IFERROR(_xlfn.IFS(LEFT(F619,1)="+", (VALUE(MID(F619,2,LEN(F619)))+100)/100, VALUE(F619)&gt;0, (F619+100)/100, VALUE(F619)&lt;0, (ABS(F619)+100)/ABS(F619), F619=0, 0), ""))</f>
        <v/>
      </c>
      <c r="H619" s="1"/>
      <c r="I619" s="4" t="str">
        <f>IF(Bet_Log[[#This Row],[Result ]]="", "", IF(Bet_Log[[#This Row],[Result ]]="Win", Bet_Log[[#This Row],[Stake]]*Bet_Log[[#This Row],[Decimal]]-Bet_Log[[#This Row],[Stake]], IF(Bet_Log[[#This Row],[Result ]]="Loss", -Bet_Log[[#This Row],[Stake]], IF(Bet_Log[[#This Row],[Result ]]="Push", 0, ""))))</f>
        <v/>
      </c>
      <c r="J619" s="2" t="str">
        <f>IF(Bet_Log[[#This Row],[Return]]="", "", J618 + Bet_Log[[#This Row],[Return]])</f>
        <v/>
      </c>
      <c r="K619" s="9"/>
    </row>
    <row r="620" spans="1:11" x14ac:dyDescent="0.2">
      <c r="A620" s="27"/>
      <c r="B620" s="1"/>
      <c r="C620" s="6"/>
      <c r="D620" s="1"/>
      <c r="E620" s="7"/>
      <c r="F620" s="8"/>
      <c r="G620" s="3" t="str" cm="1">
        <f t="array" ref="G620">IF(ISBLANK(F620), "", IFERROR(_xlfn.IFS(LEFT(F620,1)="+", (VALUE(MID(F620,2,LEN(F620)))+100)/100, VALUE(F620)&gt;0, (F620+100)/100, VALUE(F620)&lt;0, (ABS(F620)+100)/ABS(F620), F620=0, 0), ""))</f>
        <v/>
      </c>
      <c r="H620" s="1"/>
      <c r="I620" s="4" t="str">
        <f>IF(Bet_Log[[#This Row],[Result ]]="", "", IF(Bet_Log[[#This Row],[Result ]]="Win", Bet_Log[[#This Row],[Stake]]*Bet_Log[[#This Row],[Decimal]]-Bet_Log[[#This Row],[Stake]], IF(Bet_Log[[#This Row],[Result ]]="Loss", -Bet_Log[[#This Row],[Stake]], IF(Bet_Log[[#This Row],[Result ]]="Push", 0, ""))))</f>
        <v/>
      </c>
      <c r="J620" s="2" t="str">
        <f>IF(Bet_Log[[#This Row],[Return]]="", "", J619 + Bet_Log[[#This Row],[Return]])</f>
        <v/>
      </c>
      <c r="K620" s="9"/>
    </row>
    <row r="621" spans="1:11" x14ac:dyDescent="0.2">
      <c r="A621" s="27"/>
      <c r="B621" s="1"/>
      <c r="C621" s="6"/>
      <c r="D621" s="1"/>
      <c r="E621" s="7"/>
      <c r="F621" s="8"/>
      <c r="G621" s="3" t="str" cm="1">
        <f t="array" ref="G621">IF(ISBLANK(F621), "", IFERROR(_xlfn.IFS(LEFT(F621,1)="+", (VALUE(MID(F621,2,LEN(F621)))+100)/100, VALUE(F621)&gt;0, (F621+100)/100, VALUE(F621)&lt;0, (ABS(F621)+100)/ABS(F621), F621=0, 0), ""))</f>
        <v/>
      </c>
      <c r="H621" s="1"/>
      <c r="I621" s="4" t="str">
        <f>IF(Bet_Log[[#This Row],[Result ]]="", "", IF(Bet_Log[[#This Row],[Result ]]="Win", Bet_Log[[#This Row],[Stake]]*Bet_Log[[#This Row],[Decimal]]-Bet_Log[[#This Row],[Stake]], IF(Bet_Log[[#This Row],[Result ]]="Loss", -Bet_Log[[#This Row],[Stake]], IF(Bet_Log[[#This Row],[Result ]]="Push", 0, ""))))</f>
        <v/>
      </c>
      <c r="J621" s="2" t="str">
        <f>IF(Bet_Log[[#This Row],[Return]]="", "", J620 + Bet_Log[[#This Row],[Return]])</f>
        <v/>
      </c>
      <c r="K621" s="9"/>
    </row>
    <row r="622" spans="1:11" x14ac:dyDescent="0.2">
      <c r="A622" s="27"/>
      <c r="B622" s="1"/>
      <c r="C622" s="6"/>
      <c r="D622" s="1"/>
      <c r="E622" s="7"/>
      <c r="F622" s="8"/>
      <c r="G622" s="3" t="str" cm="1">
        <f t="array" ref="G622">IF(ISBLANK(F622), "", IFERROR(_xlfn.IFS(LEFT(F622,1)="+", (VALUE(MID(F622,2,LEN(F622)))+100)/100, VALUE(F622)&gt;0, (F622+100)/100, VALUE(F622)&lt;0, (ABS(F622)+100)/ABS(F622), F622=0, 0), ""))</f>
        <v/>
      </c>
      <c r="H622" s="1"/>
      <c r="I622" s="4" t="str">
        <f>IF(Bet_Log[[#This Row],[Result ]]="", "", IF(Bet_Log[[#This Row],[Result ]]="Win", Bet_Log[[#This Row],[Stake]]*Bet_Log[[#This Row],[Decimal]]-Bet_Log[[#This Row],[Stake]], IF(Bet_Log[[#This Row],[Result ]]="Loss", -Bet_Log[[#This Row],[Stake]], IF(Bet_Log[[#This Row],[Result ]]="Push", 0, ""))))</f>
        <v/>
      </c>
      <c r="J622" s="2" t="str">
        <f>IF(Bet_Log[[#This Row],[Return]]="", "", J621 + Bet_Log[[#This Row],[Return]])</f>
        <v/>
      </c>
      <c r="K622" s="9"/>
    </row>
    <row r="623" spans="1:11" x14ac:dyDescent="0.2">
      <c r="A623" s="27"/>
      <c r="B623" s="1"/>
      <c r="C623" s="6"/>
      <c r="D623" s="1"/>
      <c r="E623" s="7"/>
      <c r="F623" s="8"/>
      <c r="G623" s="3" t="str" cm="1">
        <f t="array" ref="G623">IF(ISBLANK(F623), "", IFERROR(_xlfn.IFS(LEFT(F623,1)="+", (VALUE(MID(F623,2,LEN(F623)))+100)/100, VALUE(F623)&gt;0, (F623+100)/100, VALUE(F623)&lt;0, (ABS(F623)+100)/ABS(F623), F623=0, 0), ""))</f>
        <v/>
      </c>
      <c r="H623" s="1"/>
      <c r="I623" s="4" t="str">
        <f>IF(Bet_Log[[#This Row],[Result ]]="", "", IF(Bet_Log[[#This Row],[Result ]]="Win", Bet_Log[[#This Row],[Stake]]*Bet_Log[[#This Row],[Decimal]]-Bet_Log[[#This Row],[Stake]], IF(Bet_Log[[#This Row],[Result ]]="Loss", -Bet_Log[[#This Row],[Stake]], IF(Bet_Log[[#This Row],[Result ]]="Push", 0, ""))))</f>
        <v/>
      </c>
      <c r="J623" s="2" t="str">
        <f>IF(Bet_Log[[#This Row],[Return]]="", "", J622 + Bet_Log[[#This Row],[Return]])</f>
        <v/>
      </c>
      <c r="K623" s="9"/>
    </row>
    <row r="624" spans="1:11" x14ac:dyDescent="0.2">
      <c r="A624" s="27"/>
      <c r="B624" s="1"/>
      <c r="C624" s="6"/>
      <c r="D624" s="1"/>
      <c r="E624" s="7"/>
      <c r="F624" s="8"/>
      <c r="G624" s="3" t="str" cm="1">
        <f t="array" ref="G624">IF(ISBLANK(F624), "", IFERROR(_xlfn.IFS(LEFT(F624,1)="+", (VALUE(MID(F624,2,LEN(F624)))+100)/100, VALUE(F624)&gt;0, (F624+100)/100, VALUE(F624)&lt;0, (ABS(F624)+100)/ABS(F624), F624=0, 0), ""))</f>
        <v/>
      </c>
      <c r="H624" s="1"/>
      <c r="I624" s="4" t="str">
        <f>IF(Bet_Log[[#This Row],[Result ]]="", "", IF(Bet_Log[[#This Row],[Result ]]="Win", Bet_Log[[#This Row],[Stake]]*Bet_Log[[#This Row],[Decimal]]-Bet_Log[[#This Row],[Stake]], IF(Bet_Log[[#This Row],[Result ]]="Loss", -Bet_Log[[#This Row],[Stake]], IF(Bet_Log[[#This Row],[Result ]]="Push", 0, ""))))</f>
        <v/>
      </c>
      <c r="J624" s="2" t="str">
        <f>IF(Bet_Log[[#This Row],[Return]]="", "", J623 + Bet_Log[[#This Row],[Return]])</f>
        <v/>
      </c>
      <c r="K624" s="9"/>
    </row>
    <row r="625" spans="1:11" x14ac:dyDescent="0.2">
      <c r="A625" s="27"/>
      <c r="B625" s="1"/>
      <c r="C625" s="6"/>
      <c r="D625" s="1"/>
      <c r="E625" s="7"/>
      <c r="F625" s="8"/>
      <c r="G625" s="3" t="str" cm="1">
        <f t="array" ref="G625">IF(ISBLANK(F625), "", IFERROR(_xlfn.IFS(LEFT(F625,1)="+", (VALUE(MID(F625,2,LEN(F625)))+100)/100, VALUE(F625)&gt;0, (F625+100)/100, VALUE(F625)&lt;0, (ABS(F625)+100)/ABS(F625), F625=0, 0), ""))</f>
        <v/>
      </c>
      <c r="H625" s="1"/>
      <c r="I625" s="4" t="str">
        <f>IF(Bet_Log[[#This Row],[Result ]]="", "", IF(Bet_Log[[#This Row],[Result ]]="Win", Bet_Log[[#This Row],[Stake]]*Bet_Log[[#This Row],[Decimal]]-Bet_Log[[#This Row],[Stake]], IF(Bet_Log[[#This Row],[Result ]]="Loss", -Bet_Log[[#This Row],[Stake]], IF(Bet_Log[[#This Row],[Result ]]="Push", 0, ""))))</f>
        <v/>
      </c>
      <c r="J625" s="2" t="str">
        <f>IF(Bet_Log[[#This Row],[Return]]="", "", J624 + Bet_Log[[#This Row],[Return]])</f>
        <v/>
      </c>
      <c r="K625" s="9"/>
    </row>
    <row r="626" spans="1:11" x14ac:dyDescent="0.2">
      <c r="A626" s="27"/>
      <c r="B626" s="1"/>
      <c r="C626" s="6"/>
      <c r="D626" s="1"/>
      <c r="E626" s="7"/>
      <c r="F626" s="8"/>
      <c r="G626" s="3" t="str" cm="1">
        <f t="array" ref="G626">IF(ISBLANK(F626), "", IFERROR(_xlfn.IFS(LEFT(F626,1)="+", (VALUE(MID(F626,2,LEN(F626)))+100)/100, VALUE(F626)&gt;0, (F626+100)/100, VALUE(F626)&lt;0, (ABS(F626)+100)/ABS(F626), F626=0, 0), ""))</f>
        <v/>
      </c>
      <c r="H626" s="1"/>
      <c r="I626" s="4" t="str">
        <f>IF(Bet_Log[[#This Row],[Result ]]="", "", IF(Bet_Log[[#This Row],[Result ]]="Win", Bet_Log[[#This Row],[Stake]]*Bet_Log[[#This Row],[Decimal]]-Bet_Log[[#This Row],[Stake]], IF(Bet_Log[[#This Row],[Result ]]="Loss", -Bet_Log[[#This Row],[Stake]], IF(Bet_Log[[#This Row],[Result ]]="Push", 0, ""))))</f>
        <v/>
      </c>
      <c r="J626" s="2" t="str">
        <f>IF(Bet_Log[[#This Row],[Return]]="", "", J625 + Bet_Log[[#This Row],[Return]])</f>
        <v/>
      </c>
      <c r="K626" s="9"/>
    </row>
    <row r="627" spans="1:11" x14ac:dyDescent="0.2">
      <c r="A627" s="27"/>
      <c r="B627" s="1"/>
      <c r="C627" s="6"/>
      <c r="D627" s="1"/>
      <c r="E627" s="7"/>
      <c r="F627" s="8"/>
      <c r="G627" s="3" t="str" cm="1">
        <f t="array" ref="G627">IF(ISBLANK(F627), "", IFERROR(_xlfn.IFS(LEFT(F627,1)="+", (VALUE(MID(F627,2,LEN(F627)))+100)/100, VALUE(F627)&gt;0, (F627+100)/100, VALUE(F627)&lt;0, (ABS(F627)+100)/ABS(F627), F627=0, 0), ""))</f>
        <v/>
      </c>
      <c r="H627" s="1"/>
      <c r="I627" s="4" t="str">
        <f>IF(Bet_Log[[#This Row],[Result ]]="", "", IF(Bet_Log[[#This Row],[Result ]]="Win", Bet_Log[[#This Row],[Stake]]*Bet_Log[[#This Row],[Decimal]]-Bet_Log[[#This Row],[Stake]], IF(Bet_Log[[#This Row],[Result ]]="Loss", -Bet_Log[[#This Row],[Stake]], IF(Bet_Log[[#This Row],[Result ]]="Push", 0, ""))))</f>
        <v/>
      </c>
      <c r="J627" s="2" t="str">
        <f>IF(Bet_Log[[#This Row],[Return]]="", "", J626 + Bet_Log[[#This Row],[Return]])</f>
        <v/>
      </c>
      <c r="K627" s="9"/>
    </row>
    <row r="628" spans="1:11" x14ac:dyDescent="0.2">
      <c r="A628" s="27"/>
      <c r="B628" s="1"/>
      <c r="C628" s="6"/>
      <c r="D628" s="1"/>
      <c r="E628" s="7"/>
      <c r="F628" s="8"/>
      <c r="G628" s="3" t="str" cm="1">
        <f t="array" ref="G628">IF(ISBLANK(F628), "", IFERROR(_xlfn.IFS(LEFT(F628,1)="+", (VALUE(MID(F628,2,LEN(F628)))+100)/100, VALUE(F628)&gt;0, (F628+100)/100, VALUE(F628)&lt;0, (ABS(F628)+100)/ABS(F628), F628=0, 0), ""))</f>
        <v/>
      </c>
      <c r="H628" s="1"/>
      <c r="I628" s="4" t="str">
        <f>IF(Bet_Log[[#This Row],[Result ]]="", "", IF(Bet_Log[[#This Row],[Result ]]="Win", Bet_Log[[#This Row],[Stake]]*Bet_Log[[#This Row],[Decimal]]-Bet_Log[[#This Row],[Stake]], IF(Bet_Log[[#This Row],[Result ]]="Loss", -Bet_Log[[#This Row],[Stake]], IF(Bet_Log[[#This Row],[Result ]]="Push", 0, ""))))</f>
        <v/>
      </c>
      <c r="J628" s="2" t="str">
        <f>IF(Bet_Log[[#This Row],[Return]]="", "", J627 + Bet_Log[[#This Row],[Return]])</f>
        <v/>
      </c>
      <c r="K628" s="9"/>
    </row>
    <row r="629" spans="1:11" x14ac:dyDescent="0.2">
      <c r="A629" s="27"/>
      <c r="B629" s="1"/>
      <c r="C629" s="6"/>
      <c r="D629" s="1"/>
      <c r="E629" s="7"/>
      <c r="F629" s="8"/>
      <c r="G629" s="3" t="str" cm="1">
        <f t="array" ref="G629">IF(ISBLANK(F629), "", IFERROR(_xlfn.IFS(LEFT(F629,1)="+", (VALUE(MID(F629,2,LEN(F629)))+100)/100, VALUE(F629)&gt;0, (F629+100)/100, VALUE(F629)&lt;0, (ABS(F629)+100)/ABS(F629), F629=0, 0), ""))</f>
        <v/>
      </c>
      <c r="H629" s="1"/>
      <c r="I629" s="4" t="str">
        <f>IF(Bet_Log[[#This Row],[Result ]]="", "", IF(Bet_Log[[#This Row],[Result ]]="Win", Bet_Log[[#This Row],[Stake]]*Bet_Log[[#This Row],[Decimal]]-Bet_Log[[#This Row],[Stake]], IF(Bet_Log[[#This Row],[Result ]]="Loss", -Bet_Log[[#This Row],[Stake]], IF(Bet_Log[[#This Row],[Result ]]="Push", 0, ""))))</f>
        <v/>
      </c>
      <c r="J629" s="2" t="str">
        <f>IF(Bet_Log[[#This Row],[Return]]="", "", J628 + Bet_Log[[#This Row],[Return]])</f>
        <v/>
      </c>
      <c r="K629" s="9"/>
    </row>
    <row r="630" spans="1:11" x14ac:dyDescent="0.2">
      <c r="A630" s="27"/>
      <c r="B630" s="1"/>
      <c r="C630" s="6"/>
      <c r="D630" s="1"/>
      <c r="E630" s="7"/>
      <c r="F630" s="8"/>
      <c r="G630" s="3" t="str" cm="1">
        <f t="array" ref="G630">IF(ISBLANK(F630), "", IFERROR(_xlfn.IFS(LEFT(F630,1)="+", (VALUE(MID(F630,2,LEN(F630)))+100)/100, VALUE(F630)&gt;0, (F630+100)/100, VALUE(F630)&lt;0, (ABS(F630)+100)/ABS(F630), F630=0, 0), ""))</f>
        <v/>
      </c>
      <c r="H630" s="1"/>
      <c r="I630" s="4" t="str">
        <f>IF(Bet_Log[[#This Row],[Result ]]="", "", IF(Bet_Log[[#This Row],[Result ]]="Win", Bet_Log[[#This Row],[Stake]]*Bet_Log[[#This Row],[Decimal]]-Bet_Log[[#This Row],[Stake]], IF(Bet_Log[[#This Row],[Result ]]="Loss", -Bet_Log[[#This Row],[Stake]], IF(Bet_Log[[#This Row],[Result ]]="Push", 0, ""))))</f>
        <v/>
      </c>
      <c r="J630" s="2" t="str">
        <f>IF(Bet_Log[[#This Row],[Return]]="", "", J629 + Bet_Log[[#This Row],[Return]])</f>
        <v/>
      </c>
      <c r="K630" s="9"/>
    </row>
    <row r="631" spans="1:11" x14ac:dyDescent="0.2">
      <c r="A631" s="27"/>
      <c r="B631" s="1"/>
      <c r="C631" s="6"/>
      <c r="D631" s="1"/>
      <c r="E631" s="7"/>
      <c r="F631" s="8"/>
      <c r="G631" s="3" t="str" cm="1">
        <f t="array" ref="G631">IF(ISBLANK(F631), "", IFERROR(_xlfn.IFS(LEFT(F631,1)="+", (VALUE(MID(F631,2,LEN(F631)))+100)/100, VALUE(F631)&gt;0, (F631+100)/100, VALUE(F631)&lt;0, (ABS(F631)+100)/ABS(F631), F631=0, 0), ""))</f>
        <v/>
      </c>
      <c r="H631" s="1"/>
      <c r="I631" s="4" t="str">
        <f>IF(Bet_Log[[#This Row],[Result ]]="", "", IF(Bet_Log[[#This Row],[Result ]]="Win", Bet_Log[[#This Row],[Stake]]*Bet_Log[[#This Row],[Decimal]]-Bet_Log[[#This Row],[Stake]], IF(Bet_Log[[#This Row],[Result ]]="Loss", -Bet_Log[[#This Row],[Stake]], IF(Bet_Log[[#This Row],[Result ]]="Push", 0, ""))))</f>
        <v/>
      </c>
      <c r="J631" s="2" t="str">
        <f>IF(Bet_Log[[#This Row],[Return]]="", "", J630 + Bet_Log[[#This Row],[Return]])</f>
        <v/>
      </c>
      <c r="K631" s="9"/>
    </row>
    <row r="632" spans="1:11" x14ac:dyDescent="0.2">
      <c r="A632" s="27"/>
      <c r="B632" s="1"/>
      <c r="C632" s="6"/>
      <c r="D632" s="1"/>
      <c r="E632" s="7"/>
      <c r="F632" s="8"/>
      <c r="G632" s="3" t="str" cm="1">
        <f t="array" ref="G632">IF(ISBLANK(F632), "", IFERROR(_xlfn.IFS(LEFT(F632,1)="+", (VALUE(MID(F632,2,LEN(F632)))+100)/100, VALUE(F632)&gt;0, (F632+100)/100, VALUE(F632)&lt;0, (ABS(F632)+100)/ABS(F632), F632=0, 0), ""))</f>
        <v/>
      </c>
      <c r="H632" s="1"/>
      <c r="I632" s="4" t="str">
        <f>IF(Bet_Log[[#This Row],[Result ]]="", "", IF(Bet_Log[[#This Row],[Result ]]="Win", Bet_Log[[#This Row],[Stake]]*Bet_Log[[#This Row],[Decimal]]-Bet_Log[[#This Row],[Stake]], IF(Bet_Log[[#This Row],[Result ]]="Loss", -Bet_Log[[#This Row],[Stake]], IF(Bet_Log[[#This Row],[Result ]]="Push", 0, ""))))</f>
        <v/>
      </c>
      <c r="J632" s="2" t="str">
        <f>IF(Bet_Log[[#This Row],[Return]]="", "", J631 + Bet_Log[[#This Row],[Return]])</f>
        <v/>
      </c>
      <c r="K632" s="9"/>
    </row>
    <row r="633" spans="1:11" x14ac:dyDescent="0.2">
      <c r="A633" s="27"/>
      <c r="B633" s="1"/>
      <c r="C633" s="6"/>
      <c r="D633" s="1"/>
      <c r="E633" s="7"/>
      <c r="F633" s="8"/>
      <c r="G633" s="3" t="str" cm="1">
        <f t="array" ref="G633">IF(ISBLANK(F633), "", IFERROR(_xlfn.IFS(LEFT(F633,1)="+", (VALUE(MID(F633,2,LEN(F633)))+100)/100, VALUE(F633)&gt;0, (F633+100)/100, VALUE(F633)&lt;0, (ABS(F633)+100)/ABS(F633), F633=0, 0), ""))</f>
        <v/>
      </c>
      <c r="H633" s="1"/>
      <c r="I633" s="4" t="str">
        <f>IF(Bet_Log[[#This Row],[Result ]]="", "", IF(Bet_Log[[#This Row],[Result ]]="Win", Bet_Log[[#This Row],[Stake]]*Bet_Log[[#This Row],[Decimal]]-Bet_Log[[#This Row],[Stake]], IF(Bet_Log[[#This Row],[Result ]]="Loss", -Bet_Log[[#This Row],[Stake]], IF(Bet_Log[[#This Row],[Result ]]="Push", 0, ""))))</f>
        <v/>
      </c>
      <c r="J633" s="2" t="str">
        <f>IF(Bet_Log[[#This Row],[Return]]="", "", J632 + Bet_Log[[#This Row],[Return]])</f>
        <v/>
      </c>
      <c r="K633" s="9"/>
    </row>
    <row r="634" spans="1:11" x14ac:dyDescent="0.2">
      <c r="A634" s="27"/>
      <c r="B634" s="1"/>
      <c r="C634" s="6"/>
      <c r="D634" s="1"/>
      <c r="E634" s="7"/>
      <c r="F634" s="8"/>
      <c r="G634" s="3" t="str" cm="1">
        <f t="array" ref="G634">IF(ISBLANK(F634), "", IFERROR(_xlfn.IFS(LEFT(F634,1)="+", (VALUE(MID(F634,2,LEN(F634)))+100)/100, VALUE(F634)&gt;0, (F634+100)/100, VALUE(F634)&lt;0, (ABS(F634)+100)/ABS(F634), F634=0, 0), ""))</f>
        <v/>
      </c>
      <c r="H634" s="1"/>
      <c r="I634" s="4" t="str">
        <f>IF(Bet_Log[[#This Row],[Result ]]="", "", IF(Bet_Log[[#This Row],[Result ]]="Win", Bet_Log[[#This Row],[Stake]]*Bet_Log[[#This Row],[Decimal]]-Bet_Log[[#This Row],[Stake]], IF(Bet_Log[[#This Row],[Result ]]="Loss", -Bet_Log[[#This Row],[Stake]], IF(Bet_Log[[#This Row],[Result ]]="Push", 0, ""))))</f>
        <v/>
      </c>
      <c r="J634" s="2" t="str">
        <f>IF(Bet_Log[[#This Row],[Return]]="", "", J633 + Bet_Log[[#This Row],[Return]])</f>
        <v/>
      </c>
      <c r="K634" s="9"/>
    </row>
    <row r="635" spans="1:11" x14ac:dyDescent="0.2">
      <c r="A635" s="27"/>
      <c r="B635" s="1"/>
      <c r="C635" s="6"/>
      <c r="D635" s="1"/>
      <c r="E635" s="7"/>
      <c r="F635" s="8"/>
      <c r="G635" s="3" t="str" cm="1">
        <f t="array" ref="G635">IF(ISBLANK(F635), "", IFERROR(_xlfn.IFS(LEFT(F635,1)="+", (VALUE(MID(F635,2,LEN(F635)))+100)/100, VALUE(F635)&gt;0, (F635+100)/100, VALUE(F635)&lt;0, (ABS(F635)+100)/ABS(F635), F635=0, 0), ""))</f>
        <v/>
      </c>
      <c r="H635" s="1"/>
      <c r="I635" s="4" t="str">
        <f>IF(Bet_Log[[#This Row],[Result ]]="", "", IF(Bet_Log[[#This Row],[Result ]]="Win", Bet_Log[[#This Row],[Stake]]*Bet_Log[[#This Row],[Decimal]]-Bet_Log[[#This Row],[Stake]], IF(Bet_Log[[#This Row],[Result ]]="Loss", -Bet_Log[[#This Row],[Stake]], IF(Bet_Log[[#This Row],[Result ]]="Push", 0, ""))))</f>
        <v/>
      </c>
      <c r="J635" s="2" t="str">
        <f>IF(Bet_Log[[#This Row],[Return]]="", "", J634 + Bet_Log[[#This Row],[Return]])</f>
        <v/>
      </c>
      <c r="K635" s="9"/>
    </row>
    <row r="636" spans="1:11" x14ac:dyDescent="0.2">
      <c r="A636" s="27"/>
      <c r="B636" s="1"/>
      <c r="C636" s="6"/>
      <c r="D636" s="1"/>
      <c r="E636" s="7"/>
      <c r="F636" s="8"/>
      <c r="G636" s="3" t="str" cm="1">
        <f t="array" ref="G636">IF(ISBLANK(F636), "", IFERROR(_xlfn.IFS(LEFT(F636,1)="+", (VALUE(MID(F636,2,LEN(F636)))+100)/100, VALUE(F636)&gt;0, (F636+100)/100, VALUE(F636)&lt;0, (ABS(F636)+100)/ABS(F636), F636=0, 0), ""))</f>
        <v/>
      </c>
      <c r="H636" s="1"/>
      <c r="I636" s="4" t="str">
        <f>IF(Bet_Log[[#This Row],[Result ]]="", "", IF(Bet_Log[[#This Row],[Result ]]="Win", Bet_Log[[#This Row],[Stake]]*Bet_Log[[#This Row],[Decimal]]-Bet_Log[[#This Row],[Stake]], IF(Bet_Log[[#This Row],[Result ]]="Loss", -Bet_Log[[#This Row],[Stake]], IF(Bet_Log[[#This Row],[Result ]]="Push", 0, ""))))</f>
        <v/>
      </c>
      <c r="J636" s="2" t="str">
        <f>IF(Bet_Log[[#This Row],[Return]]="", "", J635 + Bet_Log[[#This Row],[Return]])</f>
        <v/>
      </c>
      <c r="K636" s="9"/>
    </row>
    <row r="637" spans="1:11" x14ac:dyDescent="0.2">
      <c r="A637" s="27"/>
      <c r="B637" s="1"/>
      <c r="C637" s="6"/>
      <c r="D637" s="1"/>
      <c r="E637" s="7"/>
      <c r="F637" s="8"/>
      <c r="G637" s="3" t="str" cm="1">
        <f t="array" ref="G637">IF(ISBLANK(F637), "", IFERROR(_xlfn.IFS(LEFT(F637,1)="+", (VALUE(MID(F637,2,LEN(F637)))+100)/100, VALUE(F637)&gt;0, (F637+100)/100, VALUE(F637)&lt;0, (ABS(F637)+100)/ABS(F637), F637=0, 0), ""))</f>
        <v/>
      </c>
      <c r="H637" s="1"/>
      <c r="I637" s="4" t="str">
        <f>IF(Bet_Log[[#This Row],[Result ]]="", "", IF(Bet_Log[[#This Row],[Result ]]="Win", Bet_Log[[#This Row],[Stake]]*Bet_Log[[#This Row],[Decimal]]-Bet_Log[[#This Row],[Stake]], IF(Bet_Log[[#This Row],[Result ]]="Loss", -Bet_Log[[#This Row],[Stake]], IF(Bet_Log[[#This Row],[Result ]]="Push", 0, ""))))</f>
        <v/>
      </c>
      <c r="J637" s="2" t="str">
        <f>IF(Bet_Log[[#This Row],[Return]]="", "", J636 + Bet_Log[[#This Row],[Return]])</f>
        <v/>
      </c>
      <c r="K637" s="9"/>
    </row>
    <row r="638" spans="1:11" x14ac:dyDescent="0.2">
      <c r="A638" s="27"/>
      <c r="B638" s="1"/>
      <c r="C638" s="6"/>
      <c r="D638" s="1"/>
      <c r="E638" s="7"/>
      <c r="F638" s="8"/>
      <c r="G638" s="3" t="str" cm="1">
        <f t="array" ref="G638">IF(ISBLANK(F638), "", IFERROR(_xlfn.IFS(LEFT(F638,1)="+", (VALUE(MID(F638,2,LEN(F638)))+100)/100, VALUE(F638)&gt;0, (F638+100)/100, VALUE(F638)&lt;0, (ABS(F638)+100)/ABS(F638), F638=0, 0), ""))</f>
        <v/>
      </c>
      <c r="H638" s="1"/>
      <c r="I638" s="4" t="str">
        <f>IF(Bet_Log[[#This Row],[Result ]]="", "", IF(Bet_Log[[#This Row],[Result ]]="Win", Bet_Log[[#This Row],[Stake]]*Bet_Log[[#This Row],[Decimal]]-Bet_Log[[#This Row],[Stake]], IF(Bet_Log[[#This Row],[Result ]]="Loss", -Bet_Log[[#This Row],[Stake]], IF(Bet_Log[[#This Row],[Result ]]="Push", 0, ""))))</f>
        <v/>
      </c>
      <c r="J638" s="2" t="str">
        <f>IF(Bet_Log[[#This Row],[Return]]="", "", J637 + Bet_Log[[#This Row],[Return]])</f>
        <v/>
      </c>
      <c r="K638" s="9"/>
    </row>
    <row r="639" spans="1:11" x14ac:dyDescent="0.2">
      <c r="A639" s="27"/>
      <c r="B639" s="1"/>
      <c r="C639" s="6"/>
      <c r="D639" s="1"/>
      <c r="E639" s="7"/>
      <c r="F639" s="8"/>
      <c r="G639" s="3" t="str" cm="1">
        <f t="array" ref="G639">IF(ISBLANK(F639), "", IFERROR(_xlfn.IFS(LEFT(F639,1)="+", (VALUE(MID(F639,2,LEN(F639)))+100)/100, VALUE(F639)&gt;0, (F639+100)/100, VALUE(F639)&lt;0, (ABS(F639)+100)/ABS(F639), F639=0, 0), ""))</f>
        <v/>
      </c>
      <c r="H639" s="1"/>
      <c r="I639" s="4" t="str">
        <f>IF(Bet_Log[[#This Row],[Result ]]="", "", IF(Bet_Log[[#This Row],[Result ]]="Win", Bet_Log[[#This Row],[Stake]]*Bet_Log[[#This Row],[Decimal]]-Bet_Log[[#This Row],[Stake]], IF(Bet_Log[[#This Row],[Result ]]="Loss", -Bet_Log[[#This Row],[Stake]], IF(Bet_Log[[#This Row],[Result ]]="Push", 0, ""))))</f>
        <v/>
      </c>
      <c r="J639" s="2" t="str">
        <f>IF(Bet_Log[[#This Row],[Return]]="", "", J638 + Bet_Log[[#This Row],[Return]])</f>
        <v/>
      </c>
      <c r="K639" s="9"/>
    </row>
    <row r="640" spans="1:11" x14ac:dyDescent="0.2">
      <c r="A640" s="27"/>
      <c r="B640" s="1"/>
      <c r="C640" s="6"/>
      <c r="D640" s="1"/>
      <c r="E640" s="7"/>
      <c r="F640" s="8"/>
      <c r="G640" s="3" t="str" cm="1">
        <f t="array" ref="G640">IF(ISBLANK(F640), "", IFERROR(_xlfn.IFS(LEFT(F640,1)="+", (VALUE(MID(F640,2,LEN(F640)))+100)/100, VALUE(F640)&gt;0, (F640+100)/100, VALUE(F640)&lt;0, (ABS(F640)+100)/ABS(F640), F640=0, 0), ""))</f>
        <v/>
      </c>
      <c r="H640" s="1"/>
      <c r="I640" s="4" t="str">
        <f>IF(Bet_Log[[#This Row],[Result ]]="", "", IF(Bet_Log[[#This Row],[Result ]]="Win", Bet_Log[[#This Row],[Stake]]*Bet_Log[[#This Row],[Decimal]]-Bet_Log[[#This Row],[Stake]], IF(Bet_Log[[#This Row],[Result ]]="Loss", -Bet_Log[[#This Row],[Stake]], IF(Bet_Log[[#This Row],[Result ]]="Push", 0, ""))))</f>
        <v/>
      </c>
      <c r="J640" s="2" t="str">
        <f>IF(Bet_Log[[#This Row],[Return]]="", "", J639 + Bet_Log[[#This Row],[Return]])</f>
        <v/>
      </c>
      <c r="K640" s="9"/>
    </row>
    <row r="641" spans="1:11" x14ac:dyDescent="0.2">
      <c r="A641" s="27"/>
      <c r="B641" s="1"/>
      <c r="C641" s="6"/>
      <c r="D641" s="1"/>
      <c r="E641" s="7"/>
      <c r="F641" s="8"/>
      <c r="G641" s="3" t="str" cm="1">
        <f t="array" ref="G641">IF(ISBLANK(F641), "", IFERROR(_xlfn.IFS(LEFT(F641,1)="+", (VALUE(MID(F641,2,LEN(F641)))+100)/100, VALUE(F641)&gt;0, (F641+100)/100, VALUE(F641)&lt;0, (ABS(F641)+100)/ABS(F641), F641=0, 0), ""))</f>
        <v/>
      </c>
      <c r="H641" s="1"/>
      <c r="I641" s="4" t="str">
        <f>IF(Bet_Log[[#This Row],[Result ]]="", "", IF(Bet_Log[[#This Row],[Result ]]="Win", Bet_Log[[#This Row],[Stake]]*Bet_Log[[#This Row],[Decimal]]-Bet_Log[[#This Row],[Stake]], IF(Bet_Log[[#This Row],[Result ]]="Loss", -Bet_Log[[#This Row],[Stake]], IF(Bet_Log[[#This Row],[Result ]]="Push", 0, ""))))</f>
        <v/>
      </c>
      <c r="J641" s="2" t="str">
        <f>IF(Bet_Log[[#This Row],[Return]]="", "", J640 + Bet_Log[[#This Row],[Return]])</f>
        <v/>
      </c>
      <c r="K641" s="9"/>
    </row>
    <row r="642" spans="1:11" x14ac:dyDescent="0.2">
      <c r="A642" s="27"/>
      <c r="B642" s="1"/>
      <c r="C642" s="6"/>
      <c r="D642" s="1"/>
      <c r="E642" s="7"/>
      <c r="F642" s="8"/>
      <c r="G642" s="3" t="str" cm="1">
        <f t="array" ref="G642">IF(ISBLANK(F642), "", IFERROR(_xlfn.IFS(LEFT(F642,1)="+", (VALUE(MID(F642,2,LEN(F642)))+100)/100, VALUE(F642)&gt;0, (F642+100)/100, VALUE(F642)&lt;0, (ABS(F642)+100)/ABS(F642), F642=0, 0), ""))</f>
        <v/>
      </c>
      <c r="H642" s="1"/>
      <c r="I642" s="4" t="str">
        <f>IF(Bet_Log[[#This Row],[Result ]]="", "", IF(Bet_Log[[#This Row],[Result ]]="Win", Bet_Log[[#This Row],[Stake]]*Bet_Log[[#This Row],[Decimal]]-Bet_Log[[#This Row],[Stake]], IF(Bet_Log[[#This Row],[Result ]]="Loss", -Bet_Log[[#This Row],[Stake]], IF(Bet_Log[[#This Row],[Result ]]="Push", 0, ""))))</f>
        <v/>
      </c>
      <c r="J642" s="2" t="str">
        <f>IF(Bet_Log[[#This Row],[Return]]="", "", J641 + Bet_Log[[#This Row],[Return]])</f>
        <v/>
      </c>
      <c r="K642" s="9"/>
    </row>
    <row r="643" spans="1:11" x14ac:dyDescent="0.2">
      <c r="A643" s="27"/>
      <c r="B643" s="1"/>
      <c r="C643" s="6"/>
      <c r="D643" s="1"/>
      <c r="E643" s="7"/>
      <c r="F643" s="8"/>
      <c r="G643" s="3" t="str" cm="1">
        <f t="array" ref="G643">IF(ISBLANK(F643), "", IFERROR(_xlfn.IFS(LEFT(F643,1)="+", (VALUE(MID(F643,2,LEN(F643)))+100)/100, VALUE(F643)&gt;0, (F643+100)/100, VALUE(F643)&lt;0, (ABS(F643)+100)/ABS(F643), F643=0, 0), ""))</f>
        <v/>
      </c>
      <c r="H643" s="1"/>
      <c r="I643" s="4" t="str">
        <f>IF(Bet_Log[[#This Row],[Result ]]="", "", IF(Bet_Log[[#This Row],[Result ]]="Win", Bet_Log[[#This Row],[Stake]]*Bet_Log[[#This Row],[Decimal]]-Bet_Log[[#This Row],[Stake]], IF(Bet_Log[[#This Row],[Result ]]="Loss", -Bet_Log[[#This Row],[Stake]], IF(Bet_Log[[#This Row],[Result ]]="Push", 0, ""))))</f>
        <v/>
      </c>
      <c r="J643" s="2" t="str">
        <f>IF(Bet_Log[[#This Row],[Return]]="", "", J642 + Bet_Log[[#This Row],[Return]])</f>
        <v/>
      </c>
      <c r="K643" s="9"/>
    </row>
    <row r="644" spans="1:11" x14ac:dyDescent="0.2">
      <c r="A644" s="27"/>
      <c r="B644" s="1"/>
      <c r="C644" s="6"/>
      <c r="D644" s="1"/>
      <c r="E644" s="7"/>
      <c r="F644" s="8"/>
      <c r="G644" s="3" t="str" cm="1">
        <f t="array" ref="G644">IF(ISBLANK(F644), "", IFERROR(_xlfn.IFS(LEFT(F644,1)="+", (VALUE(MID(F644,2,LEN(F644)))+100)/100, VALUE(F644)&gt;0, (F644+100)/100, VALUE(F644)&lt;0, (ABS(F644)+100)/ABS(F644), F644=0, 0), ""))</f>
        <v/>
      </c>
      <c r="H644" s="1"/>
      <c r="I644" s="4" t="str">
        <f>IF(Bet_Log[[#This Row],[Result ]]="", "", IF(Bet_Log[[#This Row],[Result ]]="Win", Bet_Log[[#This Row],[Stake]]*Bet_Log[[#This Row],[Decimal]]-Bet_Log[[#This Row],[Stake]], IF(Bet_Log[[#This Row],[Result ]]="Loss", -Bet_Log[[#This Row],[Stake]], IF(Bet_Log[[#This Row],[Result ]]="Push", 0, ""))))</f>
        <v/>
      </c>
      <c r="J644" s="2" t="str">
        <f>IF(Bet_Log[[#This Row],[Return]]="", "", J643 + Bet_Log[[#This Row],[Return]])</f>
        <v/>
      </c>
      <c r="K644" s="9"/>
    </row>
    <row r="645" spans="1:11" x14ac:dyDescent="0.2">
      <c r="A645" s="27"/>
      <c r="B645" s="1"/>
      <c r="C645" s="6"/>
      <c r="D645" s="1"/>
      <c r="E645" s="7"/>
      <c r="F645" s="8"/>
      <c r="G645" s="3" t="str" cm="1">
        <f t="array" ref="G645">IF(ISBLANK(F645), "", IFERROR(_xlfn.IFS(LEFT(F645,1)="+", (VALUE(MID(F645,2,LEN(F645)))+100)/100, VALUE(F645)&gt;0, (F645+100)/100, VALUE(F645)&lt;0, (ABS(F645)+100)/ABS(F645), F645=0, 0), ""))</f>
        <v/>
      </c>
      <c r="H645" s="1"/>
      <c r="I645" s="4" t="str">
        <f>IF(Bet_Log[[#This Row],[Result ]]="", "", IF(Bet_Log[[#This Row],[Result ]]="Win", Bet_Log[[#This Row],[Stake]]*Bet_Log[[#This Row],[Decimal]]-Bet_Log[[#This Row],[Stake]], IF(Bet_Log[[#This Row],[Result ]]="Loss", -Bet_Log[[#This Row],[Stake]], IF(Bet_Log[[#This Row],[Result ]]="Push", 0, ""))))</f>
        <v/>
      </c>
      <c r="J645" s="2" t="str">
        <f>IF(Bet_Log[[#This Row],[Return]]="", "", J644 + Bet_Log[[#This Row],[Return]])</f>
        <v/>
      </c>
      <c r="K645" s="9"/>
    </row>
    <row r="646" spans="1:11" x14ac:dyDescent="0.2">
      <c r="A646" s="27"/>
      <c r="B646" s="1"/>
      <c r="C646" s="6"/>
      <c r="D646" s="1"/>
      <c r="E646" s="7"/>
      <c r="F646" s="8"/>
      <c r="G646" s="3" t="str" cm="1">
        <f t="array" ref="G646">IF(ISBLANK(F646), "", IFERROR(_xlfn.IFS(LEFT(F646,1)="+", (VALUE(MID(F646,2,LEN(F646)))+100)/100, VALUE(F646)&gt;0, (F646+100)/100, VALUE(F646)&lt;0, (ABS(F646)+100)/ABS(F646), F646=0, 0), ""))</f>
        <v/>
      </c>
      <c r="H646" s="1"/>
      <c r="I646" s="4" t="str">
        <f>IF(Bet_Log[[#This Row],[Result ]]="", "", IF(Bet_Log[[#This Row],[Result ]]="Win", Bet_Log[[#This Row],[Stake]]*Bet_Log[[#This Row],[Decimal]]-Bet_Log[[#This Row],[Stake]], IF(Bet_Log[[#This Row],[Result ]]="Loss", -Bet_Log[[#This Row],[Stake]], IF(Bet_Log[[#This Row],[Result ]]="Push", 0, ""))))</f>
        <v/>
      </c>
      <c r="J646" s="2" t="str">
        <f>IF(Bet_Log[[#This Row],[Return]]="", "", J645 + Bet_Log[[#This Row],[Return]])</f>
        <v/>
      </c>
      <c r="K646" s="9"/>
    </row>
    <row r="647" spans="1:11" x14ac:dyDescent="0.2">
      <c r="A647" s="27"/>
      <c r="B647" s="1"/>
      <c r="C647" s="6"/>
      <c r="D647" s="1"/>
      <c r="E647" s="7"/>
      <c r="F647" s="8"/>
      <c r="G647" s="3" t="str" cm="1">
        <f t="array" ref="G647">IF(ISBLANK(F647), "", IFERROR(_xlfn.IFS(LEFT(F647,1)="+", (VALUE(MID(F647,2,LEN(F647)))+100)/100, VALUE(F647)&gt;0, (F647+100)/100, VALUE(F647)&lt;0, (ABS(F647)+100)/ABS(F647), F647=0, 0), ""))</f>
        <v/>
      </c>
      <c r="H647" s="1"/>
      <c r="I647" s="4" t="str">
        <f>IF(Bet_Log[[#This Row],[Result ]]="", "", IF(Bet_Log[[#This Row],[Result ]]="Win", Bet_Log[[#This Row],[Stake]]*Bet_Log[[#This Row],[Decimal]]-Bet_Log[[#This Row],[Stake]], IF(Bet_Log[[#This Row],[Result ]]="Loss", -Bet_Log[[#This Row],[Stake]], IF(Bet_Log[[#This Row],[Result ]]="Push", 0, ""))))</f>
        <v/>
      </c>
      <c r="J647" s="2" t="str">
        <f>IF(Bet_Log[[#This Row],[Return]]="", "", J646 + Bet_Log[[#This Row],[Return]])</f>
        <v/>
      </c>
      <c r="K647" s="9"/>
    </row>
    <row r="648" spans="1:11" x14ac:dyDescent="0.2">
      <c r="A648" s="27"/>
      <c r="B648" s="1"/>
      <c r="C648" s="6"/>
      <c r="D648" s="1"/>
      <c r="E648" s="7"/>
      <c r="F648" s="8"/>
      <c r="G648" s="3" t="str" cm="1">
        <f t="array" ref="G648">IF(ISBLANK(F648), "", IFERROR(_xlfn.IFS(LEFT(F648,1)="+", (VALUE(MID(F648,2,LEN(F648)))+100)/100, VALUE(F648)&gt;0, (F648+100)/100, VALUE(F648)&lt;0, (ABS(F648)+100)/ABS(F648), F648=0, 0), ""))</f>
        <v/>
      </c>
      <c r="H648" s="1"/>
      <c r="I648" s="4" t="str">
        <f>IF(Bet_Log[[#This Row],[Result ]]="", "", IF(Bet_Log[[#This Row],[Result ]]="Win", Bet_Log[[#This Row],[Stake]]*Bet_Log[[#This Row],[Decimal]]-Bet_Log[[#This Row],[Stake]], IF(Bet_Log[[#This Row],[Result ]]="Loss", -Bet_Log[[#This Row],[Stake]], IF(Bet_Log[[#This Row],[Result ]]="Push", 0, ""))))</f>
        <v/>
      </c>
      <c r="J648" s="2" t="str">
        <f>IF(Bet_Log[[#This Row],[Return]]="", "", J647 + Bet_Log[[#This Row],[Return]])</f>
        <v/>
      </c>
      <c r="K648" s="9"/>
    </row>
    <row r="649" spans="1:11" x14ac:dyDescent="0.2">
      <c r="A649" s="27"/>
      <c r="B649" s="1"/>
      <c r="C649" s="6"/>
      <c r="D649" s="1"/>
      <c r="E649" s="7"/>
      <c r="F649" s="8"/>
      <c r="G649" s="3" t="str" cm="1">
        <f t="array" ref="G649">IF(ISBLANK(F649), "", IFERROR(_xlfn.IFS(LEFT(F649,1)="+", (VALUE(MID(F649,2,LEN(F649)))+100)/100, VALUE(F649)&gt;0, (F649+100)/100, VALUE(F649)&lt;0, (ABS(F649)+100)/ABS(F649), F649=0, 0), ""))</f>
        <v/>
      </c>
      <c r="H649" s="1"/>
      <c r="I649" s="4" t="str">
        <f>IF(Bet_Log[[#This Row],[Result ]]="", "", IF(Bet_Log[[#This Row],[Result ]]="Win", Bet_Log[[#This Row],[Stake]]*Bet_Log[[#This Row],[Decimal]]-Bet_Log[[#This Row],[Stake]], IF(Bet_Log[[#This Row],[Result ]]="Loss", -Bet_Log[[#This Row],[Stake]], IF(Bet_Log[[#This Row],[Result ]]="Push", 0, ""))))</f>
        <v/>
      </c>
      <c r="J649" s="2" t="str">
        <f>IF(Bet_Log[[#This Row],[Return]]="", "", J648 + Bet_Log[[#This Row],[Return]])</f>
        <v/>
      </c>
      <c r="K649" s="9"/>
    </row>
    <row r="650" spans="1:11" x14ac:dyDescent="0.2">
      <c r="A650" s="27"/>
      <c r="B650" s="1"/>
      <c r="C650" s="6"/>
      <c r="D650" s="1"/>
      <c r="E650" s="7"/>
      <c r="F650" s="8"/>
      <c r="G650" s="3" t="str" cm="1">
        <f t="array" ref="G650">IF(ISBLANK(F650), "", IFERROR(_xlfn.IFS(LEFT(F650,1)="+", (VALUE(MID(F650,2,LEN(F650)))+100)/100, VALUE(F650)&gt;0, (F650+100)/100, VALUE(F650)&lt;0, (ABS(F650)+100)/ABS(F650), F650=0, 0), ""))</f>
        <v/>
      </c>
      <c r="H650" s="1"/>
      <c r="I650" s="4" t="str">
        <f>IF(Bet_Log[[#This Row],[Result ]]="", "", IF(Bet_Log[[#This Row],[Result ]]="Win", Bet_Log[[#This Row],[Stake]]*Bet_Log[[#This Row],[Decimal]]-Bet_Log[[#This Row],[Stake]], IF(Bet_Log[[#This Row],[Result ]]="Loss", -Bet_Log[[#This Row],[Stake]], IF(Bet_Log[[#This Row],[Result ]]="Push", 0, ""))))</f>
        <v/>
      </c>
      <c r="J650" s="2" t="str">
        <f>IF(Bet_Log[[#This Row],[Return]]="", "", J649 + Bet_Log[[#This Row],[Return]])</f>
        <v/>
      </c>
      <c r="K650" s="9"/>
    </row>
    <row r="651" spans="1:11" x14ac:dyDescent="0.2">
      <c r="A651" s="27"/>
      <c r="B651" s="1"/>
      <c r="C651" s="6"/>
      <c r="D651" s="1"/>
      <c r="E651" s="7"/>
      <c r="F651" s="8"/>
      <c r="G651" s="3" t="str" cm="1">
        <f t="array" ref="G651">IF(ISBLANK(F651), "", IFERROR(_xlfn.IFS(LEFT(F651,1)="+", (VALUE(MID(F651,2,LEN(F651)))+100)/100, VALUE(F651)&gt;0, (F651+100)/100, VALUE(F651)&lt;0, (ABS(F651)+100)/ABS(F651), F651=0, 0), ""))</f>
        <v/>
      </c>
      <c r="H651" s="1"/>
      <c r="I651" s="4" t="str">
        <f>IF(Bet_Log[[#This Row],[Result ]]="", "", IF(Bet_Log[[#This Row],[Result ]]="Win", Bet_Log[[#This Row],[Stake]]*Bet_Log[[#This Row],[Decimal]]-Bet_Log[[#This Row],[Stake]], IF(Bet_Log[[#This Row],[Result ]]="Loss", -Bet_Log[[#This Row],[Stake]], IF(Bet_Log[[#This Row],[Result ]]="Push", 0, ""))))</f>
        <v/>
      </c>
      <c r="J651" s="2" t="str">
        <f>IF(Bet_Log[[#This Row],[Return]]="", "", J650 + Bet_Log[[#This Row],[Return]])</f>
        <v/>
      </c>
      <c r="K651" s="9"/>
    </row>
    <row r="652" spans="1:11" x14ac:dyDescent="0.2">
      <c r="A652" s="27"/>
      <c r="B652" s="1"/>
      <c r="C652" s="6"/>
      <c r="D652" s="1"/>
      <c r="E652" s="7"/>
      <c r="F652" s="8"/>
      <c r="G652" s="3" t="str" cm="1">
        <f t="array" ref="G652">IF(ISBLANK(F652), "", IFERROR(_xlfn.IFS(LEFT(F652,1)="+", (VALUE(MID(F652,2,LEN(F652)))+100)/100, VALUE(F652)&gt;0, (F652+100)/100, VALUE(F652)&lt;0, (ABS(F652)+100)/ABS(F652), F652=0, 0), ""))</f>
        <v/>
      </c>
      <c r="H652" s="1"/>
      <c r="I652" s="4" t="str">
        <f>IF(Bet_Log[[#This Row],[Result ]]="", "", IF(Bet_Log[[#This Row],[Result ]]="Win", Bet_Log[[#This Row],[Stake]]*Bet_Log[[#This Row],[Decimal]]-Bet_Log[[#This Row],[Stake]], IF(Bet_Log[[#This Row],[Result ]]="Loss", -Bet_Log[[#This Row],[Stake]], IF(Bet_Log[[#This Row],[Result ]]="Push", 0, ""))))</f>
        <v/>
      </c>
      <c r="J652" s="2" t="str">
        <f>IF(Bet_Log[[#This Row],[Return]]="", "", J651 + Bet_Log[[#This Row],[Return]])</f>
        <v/>
      </c>
      <c r="K652" s="9"/>
    </row>
    <row r="653" spans="1:11" x14ac:dyDescent="0.2">
      <c r="A653" s="27"/>
      <c r="B653" s="1"/>
      <c r="C653" s="6"/>
      <c r="D653" s="1"/>
      <c r="E653" s="7"/>
      <c r="F653" s="8"/>
      <c r="G653" s="3" t="str" cm="1">
        <f t="array" ref="G653">IF(ISBLANK(F653), "", IFERROR(_xlfn.IFS(LEFT(F653,1)="+", (VALUE(MID(F653,2,LEN(F653)))+100)/100, VALUE(F653)&gt;0, (F653+100)/100, VALUE(F653)&lt;0, (ABS(F653)+100)/ABS(F653), F653=0, 0), ""))</f>
        <v/>
      </c>
      <c r="H653" s="1"/>
      <c r="I653" s="4" t="str">
        <f>IF(Bet_Log[[#This Row],[Result ]]="", "", IF(Bet_Log[[#This Row],[Result ]]="Win", Bet_Log[[#This Row],[Stake]]*Bet_Log[[#This Row],[Decimal]]-Bet_Log[[#This Row],[Stake]], IF(Bet_Log[[#This Row],[Result ]]="Loss", -Bet_Log[[#This Row],[Stake]], IF(Bet_Log[[#This Row],[Result ]]="Push", 0, ""))))</f>
        <v/>
      </c>
      <c r="J653" s="2" t="str">
        <f>IF(Bet_Log[[#This Row],[Return]]="", "", J652 + Bet_Log[[#This Row],[Return]])</f>
        <v/>
      </c>
      <c r="K653" s="9"/>
    </row>
    <row r="654" spans="1:11" x14ac:dyDescent="0.2">
      <c r="A654" s="27"/>
      <c r="B654" s="1"/>
      <c r="C654" s="6"/>
      <c r="D654" s="1"/>
      <c r="E654" s="7"/>
      <c r="F654" s="8"/>
      <c r="G654" s="3" t="str" cm="1">
        <f t="array" ref="G654">IF(ISBLANK(F654), "", IFERROR(_xlfn.IFS(LEFT(F654,1)="+", (VALUE(MID(F654,2,LEN(F654)))+100)/100, VALUE(F654)&gt;0, (F654+100)/100, VALUE(F654)&lt;0, (ABS(F654)+100)/ABS(F654), F654=0, 0), ""))</f>
        <v/>
      </c>
      <c r="H654" s="1"/>
      <c r="I654" s="4" t="str">
        <f>IF(Bet_Log[[#This Row],[Result ]]="", "", IF(Bet_Log[[#This Row],[Result ]]="Win", Bet_Log[[#This Row],[Stake]]*Bet_Log[[#This Row],[Decimal]]-Bet_Log[[#This Row],[Stake]], IF(Bet_Log[[#This Row],[Result ]]="Loss", -Bet_Log[[#This Row],[Stake]], IF(Bet_Log[[#This Row],[Result ]]="Push", 0, ""))))</f>
        <v/>
      </c>
      <c r="J654" s="2" t="str">
        <f>IF(Bet_Log[[#This Row],[Return]]="", "", J653 + Bet_Log[[#This Row],[Return]])</f>
        <v/>
      </c>
      <c r="K654" s="9"/>
    </row>
    <row r="655" spans="1:11" x14ac:dyDescent="0.2">
      <c r="A655" s="27"/>
      <c r="B655" s="1"/>
      <c r="C655" s="6"/>
      <c r="D655" s="1"/>
      <c r="E655" s="7"/>
      <c r="F655" s="8"/>
      <c r="G655" s="3" t="str" cm="1">
        <f t="array" ref="G655">IF(ISBLANK(F655), "", IFERROR(_xlfn.IFS(LEFT(F655,1)="+", (VALUE(MID(F655,2,LEN(F655)))+100)/100, VALUE(F655)&gt;0, (F655+100)/100, VALUE(F655)&lt;0, (ABS(F655)+100)/ABS(F655), F655=0, 0), ""))</f>
        <v/>
      </c>
      <c r="H655" s="1"/>
      <c r="I655" s="4" t="str">
        <f>IF(Bet_Log[[#This Row],[Result ]]="", "", IF(Bet_Log[[#This Row],[Result ]]="Win", Bet_Log[[#This Row],[Stake]]*Bet_Log[[#This Row],[Decimal]]-Bet_Log[[#This Row],[Stake]], IF(Bet_Log[[#This Row],[Result ]]="Loss", -Bet_Log[[#This Row],[Stake]], IF(Bet_Log[[#This Row],[Result ]]="Push", 0, ""))))</f>
        <v/>
      </c>
      <c r="J655" s="2" t="str">
        <f>IF(Bet_Log[[#This Row],[Return]]="", "", J654 + Bet_Log[[#This Row],[Return]])</f>
        <v/>
      </c>
      <c r="K655" s="9"/>
    </row>
    <row r="656" spans="1:11" x14ac:dyDescent="0.2">
      <c r="A656" s="27"/>
      <c r="B656" s="1"/>
      <c r="C656" s="6"/>
      <c r="D656" s="1"/>
      <c r="E656" s="7"/>
      <c r="F656" s="8"/>
      <c r="G656" s="3" t="str" cm="1">
        <f t="array" ref="G656">IF(ISBLANK(F656), "", IFERROR(_xlfn.IFS(LEFT(F656,1)="+", (VALUE(MID(F656,2,LEN(F656)))+100)/100, VALUE(F656)&gt;0, (F656+100)/100, VALUE(F656)&lt;0, (ABS(F656)+100)/ABS(F656), F656=0, 0), ""))</f>
        <v/>
      </c>
      <c r="H656" s="1"/>
      <c r="I656" s="4" t="str">
        <f>IF(Bet_Log[[#This Row],[Result ]]="", "", IF(Bet_Log[[#This Row],[Result ]]="Win", Bet_Log[[#This Row],[Stake]]*Bet_Log[[#This Row],[Decimal]]-Bet_Log[[#This Row],[Stake]], IF(Bet_Log[[#This Row],[Result ]]="Loss", -Bet_Log[[#This Row],[Stake]], IF(Bet_Log[[#This Row],[Result ]]="Push", 0, ""))))</f>
        <v/>
      </c>
      <c r="J656" s="2" t="str">
        <f>IF(Bet_Log[[#This Row],[Return]]="", "", J655 + Bet_Log[[#This Row],[Return]])</f>
        <v/>
      </c>
      <c r="K656" s="9"/>
    </row>
    <row r="657" spans="1:11" x14ac:dyDescent="0.2">
      <c r="A657" s="27"/>
      <c r="B657" s="1"/>
      <c r="C657" s="6"/>
      <c r="D657" s="1"/>
      <c r="E657" s="7"/>
      <c r="F657" s="8"/>
      <c r="G657" s="3" t="str" cm="1">
        <f t="array" ref="G657">IF(ISBLANK(F657), "", IFERROR(_xlfn.IFS(LEFT(F657,1)="+", (VALUE(MID(F657,2,LEN(F657)))+100)/100, VALUE(F657)&gt;0, (F657+100)/100, VALUE(F657)&lt;0, (ABS(F657)+100)/ABS(F657), F657=0, 0), ""))</f>
        <v/>
      </c>
      <c r="H657" s="1"/>
      <c r="I657" s="4" t="str">
        <f>IF(Bet_Log[[#This Row],[Result ]]="", "", IF(Bet_Log[[#This Row],[Result ]]="Win", Bet_Log[[#This Row],[Stake]]*Bet_Log[[#This Row],[Decimal]]-Bet_Log[[#This Row],[Stake]], IF(Bet_Log[[#This Row],[Result ]]="Loss", -Bet_Log[[#This Row],[Stake]], IF(Bet_Log[[#This Row],[Result ]]="Push", 0, ""))))</f>
        <v/>
      </c>
      <c r="J657" s="2" t="str">
        <f>IF(Bet_Log[[#This Row],[Return]]="", "", J656 + Bet_Log[[#This Row],[Return]])</f>
        <v/>
      </c>
      <c r="K657" s="9"/>
    </row>
    <row r="658" spans="1:11" x14ac:dyDescent="0.2">
      <c r="A658" s="27"/>
      <c r="B658" s="1"/>
      <c r="C658" s="6"/>
      <c r="D658" s="1"/>
      <c r="E658" s="7"/>
      <c r="F658" s="8"/>
      <c r="G658" s="3" t="str" cm="1">
        <f t="array" ref="G658">IF(ISBLANK(F658), "", IFERROR(_xlfn.IFS(LEFT(F658,1)="+", (VALUE(MID(F658,2,LEN(F658)))+100)/100, VALUE(F658)&gt;0, (F658+100)/100, VALUE(F658)&lt;0, (ABS(F658)+100)/ABS(F658), F658=0, 0), ""))</f>
        <v/>
      </c>
      <c r="H658" s="1"/>
      <c r="I658" s="4" t="str">
        <f>IF(Bet_Log[[#This Row],[Result ]]="", "", IF(Bet_Log[[#This Row],[Result ]]="Win", Bet_Log[[#This Row],[Stake]]*Bet_Log[[#This Row],[Decimal]]-Bet_Log[[#This Row],[Stake]], IF(Bet_Log[[#This Row],[Result ]]="Loss", -Bet_Log[[#This Row],[Stake]], IF(Bet_Log[[#This Row],[Result ]]="Push", 0, ""))))</f>
        <v/>
      </c>
      <c r="J658" s="2" t="str">
        <f>IF(Bet_Log[[#This Row],[Return]]="", "", J657 + Bet_Log[[#This Row],[Return]])</f>
        <v/>
      </c>
      <c r="K658" s="9"/>
    </row>
    <row r="659" spans="1:11" x14ac:dyDescent="0.2">
      <c r="A659" s="27"/>
      <c r="B659" s="1"/>
      <c r="C659" s="6"/>
      <c r="D659" s="1"/>
      <c r="E659" s="7"/>
      <c r="F659" s="8"/>
      <c r="G659" s="3" t="str" cm="1">
        <f t="array" ref="G659">IF(ISBLANK(F659), "", IFERROR(_xlfn.IFS(LEFT(F659,1)="+", (VALUE(MID(F659,2,LEN(F659)))+100)/100, VALUE(F659)&gt;0, (F659+100)/100, VALUE(F659)&lt;0, (ABS(F659)+100)/ABS(F659), F659=0, 0), ""))</f>
        <v/>
      </c>
      <c r="H659" s="1"/>
      <c r="I659" s="4" t="str">
        <f>IF(Bet_Log[[#This Row],[Result ]]="", "", IF(Bet_Log[[#This Row],[Result ]]="Win", Bet_Log[[#This Row],[Stake]]*Bet_Log[[#This Row],[Decimal]]-Bet_Log[[#This Row],[Stake]], IF(Bet_Log[[#This Row],[Result ]]="Loss", -Bet_Log[[#This Row],[Stake]], IF(Bet_Log[[#This Row],[Result ]]="Push", 0, ""))))</f>
        <v/>
      </c>
      <c r="J659" s="2" t="str">
        <f>IF(Bet_Log[[#This Row],[Return]]="", "", J658 + Bet_Log[[#This Row],[Return]])</f>
        <v/>
      </c>
      <c r="K659" s="9"/>
    </row>
    <row r="660" spans="1:11" x14ac:dyDescent="0.2">
      <c r="A660" s="27"/>
      <c r="B660" s="1"/>
      <c r="C660" s="6"/>
      <c r="D660" s="1"/>
      <c r="E660" s="7"/>
      <c r="F660" s="8"/>
      <c r="G660" s="3" t="str" cm="1">
        <f t="array" ref="G660">IF(ISBLANK(F660), "", IFERROR(_xlfn.IFS(LEFT(F660,1)="+", (VALUE(MID(F660,2,LEN(F660)))+100)/100, VALUE(F660)&gt;0, (F660+100)/100, VALUE(F660)&lt;0, (ABS(F660)+100)/ABS(F660), F660=0, 0), ""))</f>
        <v/>
      </c>
      <c r="H660" s="1"/>
      <c r="I660" s="4" t="str">
        <f>IF(Bet_Log[[#This Row],[Result ]]="", "", IF(Bet_Log[[#This Row],[Result ]]="Win", Bet_Log[[#This Row],[Stake]]*Bet_Log[[#This Row],[Decimal]]-Bet_Log[[#This Row],[Stake]], IF(Bet_Log[[#This Row],[Result ]]="Loss", -Bet_Log[[#This Row],[Stake]], IF(Bet_Log[[#This Row],[Result ]]="Push", 0, ""))))</f>
        <v/>
      </c>
      <c r="J660" s="2" t="str">
        <f>IF(Bet_Log[[#This Row],[Return]]="", "", J659 + Bet_Log[[#This Row],[Return]])</f>
        <v/>
      </c>
      <c r="K660" s="9"/>
    </row>
    <row r="661" spans="1:11" x14ac:dyDescent="0.2">
      <c r="A661" s="27"/>
      <c r="B661" s="1"/>
      <c r="C661" s="6"/>
      <c r="D661" s="1"/>
      <c r="E661" s="7"/>
      <c r="F661" s="8"/>
      <c r="G661" s="3" t="str" cm="1">
        <f t="array" ref="G661">IF(ISBLANK(F661), "", IFERROR(_xlfn.IFS(LEFT(F661,1)="+", (VALUE(MID(F661,2,LEN(F661)))+100)/100, VALUE(F661)&gt;0, (F661+100)/100, VALUE(F661)&lt;0, (ABS(F661)+100)/ABS(F661), F661=0, 0), ""))</f>
        <v/>
      </c>
      <c r="H661" s="1"/>
      <c r="I661" s="4" t="str">
        <f>IF(Bet_Log[[#This Row],[Result ]]="", "", IF(Bet_Log[[#This Row],[Result ]]="Win", Bet_Log[[#This Row],[Stake]]*Bet_Log[[#This Row],[Decimal]]-Bet_Log[[#This Row],[Stake]], IF(Bet_Log[[#This Row],[Result ]]="Loss", -Bet_Log[[#This Row],[Stake]], IF(Bet_Log[[#This Row],[Result ]]="Push", 0, ""))))</f>
        <v/>
      </c>
      <c r="J661" s="2" t="str">
        <f>IF(Bet_Log[[#This Row],[Return]]="", "", J660 + Bet_Log[[#This Row],[Return]])</f>
        <v/>
      </c>
      <c r="K661" s="9"/>
    </row>
    <row r="662" spans="1:11" x14ac:dyDescent="0.2">
      <c r="A662" s="27"/>
      <c r="B662" s="1"/>
      <c r="C662" s="6"/>
      <c r="D662" s="1"/>
      <c r="E662" s="7"/>
      <c r="F662" s="8"/>
      <c r="G662" s="3" t="str" cm="1">
        <f t="array" ref="G662">IF(ISBLANK(F662), "", IFERROR(_xlfn.IFS(LEFT(F662,1)="+", (VALUE(MID(F662,2,LEN(F662)))+100)/100, VALUE(F662)&gt;0, (F662+100)/100, VALUE(F662)&lt;0, (ABS(F662)+100)/ABS(F662), F662=0, 0), ""))</f>
        <v/>
      </c>
      <c r="H662" s="1"/>
      <c r="I662" s="4" t="str">
        <f>IF(Bet_Log[[#This Row],[Result ]]="", "", IF(Bet_Log[[#This Row],[Result ]]="Win", Bet_Log[[#This Row],[Stake]]*Bet_Log[[#This Row],[Decimal]]-Bet_Log[[#This Row],[Stake]], IF(Bet_Log[[#This Row],[Result ]]="Loss", -Bet_Log[[#This Row],[Stake]], IF(Bet_Log[[#This Row],[Result ]]="Push", 0, ""))))</f>
        <v/>
      </c>
      <c r="J662" s="2" t="str">
        <f>IF(Bet_Log[[#This Row],[Return]]="", "", J661 + Bet_Log[[#This Row],[Return]])</f>
        <v/>
      </c>
      <c r="K662" s="9"/>
    </row>
    <row r="663" spans="1:11" x14ac:dyDescent="0.2">
      <c r="A663" s="27"/>
      <c r="B663" s="1"/>
      <c r="C663" s="6"/>
      <c r="D663" s="1"/>
      <c r="E663" s="7"/>
      <c r="F663" s="8"/>
      <c r="G663" s="3" t="str" cm="1">
        <f t="array" ref="G663">IF(ISBLANK(F663), "", IFERROR(_xlfn.IFS(LEFT(F663,1)="+", (VALUE(MID(F663,2,LEN(F663)))+100)/100, VALUE(F663)&gt;0, (F663+100)/100, VALUE(F663)&lt;0, (ABS(F663)+100)/ABS(F663), F663=0, 0), ""))</f>
        <v/>
      </c>
      <c r="H663" s="1"/>
      <c r="I663" s="4" t="str">
        <f>IF(Bet_Log[[#This Row],[Result ]]="", "", IF(Bet_Log[[#This Row],[Result ]]="Win", Bet_Log[[#This Row],[Stake]]*Bet_Log[[#This Row],[Decimal]]-Bet_Log[[#This Row],[Stake]], IF(Bet_Log[[#This Row],[Result ]]="Loss", -Bet_Log[[#This Row],[Stake]], IF(Bet_Log[[#This Row],[Result ]]="Push", 0, ""))))</f>
        <v/>
      </c>
      <c r="J663" s="2" t="str">
        <f>IF(Bet_Log[[#This Row],[Return]]="", "", J662 + Bet_Log[[#This Row],[Return]])</f>
        <v/>
      </c>
      <c r="K663" s="9"/>
    </row>
    <row r="664" spans="1:11" x14ac:dyDescent="0.2">
      <c r="A664" s="27"/>
      <c r="B664" s="1"/>
      <c r="C664" s="6"/>
      <c r="D664" s="1"/>
      <c r="E664" s="7"/>
      <c r="F664" s="8"/>
      <c r="G664" s="3" t="str" cm="1">
        <f t="array" ref="G664">IF(ISBLANK(F664), "", IFERROR(_xlfn.IFS(LEFT(F664,1)="+", (VALUE(MID(F664,2,LEN(F664)))+100)/100, VALUE(F664)&gt;0, (F664+100)/100, VALUE(F664)&lt;0, (ABS(F664)+100)/ABS(F664), F664=0, 0), ""))</f>
        <v/>
      </c>
      <c r="H664" s="1"/>
      <c r="I664" s="4" t="str">
        <f>IF(Bet_Log[[#This Row],[Result ]]="", "", IF(Bet_Log[[#This Row],[Result ]]="Win", Bet_Log[[#This Row],[Stake]]*Bet_Log[[#This Row],[Decimal]]-Bet_Log[[#This Row],[Stake]], IF(Bet_Log[[#This Row],[Result ]]="Loss", -Bet_Log[[#This Row],[Stake]], IF(Bet_Log[[#This Row],[Result ]]="Push", 0, ""))))</f>
        <v/>
      </c>
      <c r="J664" s="2" t="str">
        <f>IF(Bet_Log[[#This Row],[Return]]="", "", J663 + Bet_Log[[#This Row],[Return]])</f>
        <v/>
      </c>
      <c r="K664" s="9"/>
    </row>
    <row r="665" spans="1:11" x14ac:dyDescent="0.2">
      <c r="A665" s="27"/>
      <c r="B665" s="1"/>
      <c r="C665" s="6"/>
      <c r="D665" s="1"/>
      <c r="E665" s="7"/>
      <c r="F665" s="8"/>
      <c r="G665" s="3" t="str" cm="1">
        <f t="array" ref="G665">IF(ISBLANK(F665), "", IFERROR(_xlfn.IFS(LEFT(F665,1)="+", (VALUE(MID(F665,2,LEN(F665)))+100)/100, VALUE(F665)&gt;0, (F665+100)/100, VALUE(F665)&lt;0, (ABS(F665)+100)/ABS(F665), F665=0, 0), ""))</f>
        <v/>
      </c>
      <c r="H665" s="1"/>
      <c r="I665" s="4" t="str">
        <f>IF(Bet_Log[[#This Row],[Result ]]="", "", IF(Bet_Log[[#This Row],[Result ]]="Win", Bet_Log[[#This Row],[Stake]]*Bet_Log[[#This Row],[Decimal]]-Bet_Log[[#This Row],[Stake]], IF(Bet_Log[[#This Row],[Result ]]="Loss", -Bet_Log[[#This Row],[Stake]], IF(Bet_Log[[#This Row],[Result ]]="Push", 0, ""))))</f>
        <v/>
      </c>
      <c r="J665" s="2" t="str">
        <f>IF(Bet_Log[[#This Row],[Return]]="", "", J664 + Bet_Log[[#This Row],[Return]])</f>
        <v/>
      </c>
      <c r="K665" s="9"/>
    </row>
    <row r="666" spans="1:11" x14ac:dyDescent="0.2">
      <c r="A666" s="27"/>
      <c r="B666" s="1"/>
      <c r="C666" s="6"/>
      <c r="D666" s="1"/>
      <c r="E666" s="7"/>
      <c r="F666" s="8"/>
      <c r="G666" s="3" t="str" cm="1">
        <f t="array" ref="G666">IF(ISBLANK(F666), "", IFERROR(_xlfn.IFS(LEFT(F666,1)="+", (VALUE(MID(F666,2,LEN(F666)))+100)/100, VALUE(F666)&gt;0, (F666+100)/100, VALUE(F666)&lt;0, (ABS(F666)+100)/ABS(F666), F666=0, 0), ""))</f>
        <v/>
      </c>
      <c r="H666" s="1"/>
      <c r="I666" s="4" t="str">
        <f>IF(Bet_Log[[#This Row],[Result ]]="", "", IF(Bet_Log[[#This Row],[Result ]]="Win", Bet_Log[[#This Row],[Stake]]*Bet_Log[[#This Row],[Decimal]]-Bet_Log[[#This Row],[Stake]], IF(Bet_Log[[#This Row],[Result ]]="Loss", -Bet_Log[[#This Row],[Stake]], IF(Bet_Log[[#This Row],[Result ]]="Push", 0, ""))))</f>
        <v/>
      </c>
      <c r="J666" s="2" t="str">
        <f>IF(Bet_Log[[#This Row],[Return]]="", "", J665 + Bet_Log[[#This Row],[Return]])</f>
        <v/>
      </c>
      <c r="K666" s="9"/>
    </row>
    <row r="667" spans="1:11" x14ac:dyDescent="0.2">
      <c r="A667" s="27"/>
      <c r="B667" s="1"/>
      <c r="C667" s="6"/>
      <c r="D667" s="1"/>
      <c r="E667" s="7"/>
      <c r="F667" s="8"/>
      <c r="G667" s="3" t="str" cm="1">
        <f t="array" ref="G667">IF(ISBLANK(F667), "", IFERROR(_xlfn.IFS(LEFT(F667,1)="+", (VALUE(MID(F667,2,LEN(F667)))+100)/100, VALUE(F667)&gt;0, (F667+100)/100, VALUE(F667)&lt;0, (ABS(F667)+100)/ABS(F667), F667=0, 0), ""))</f>
        <v/>
      </c>
      <c r="H667" s="1"/>
      <c r="I667" s="4" t="str">
        <f>IF(Bet_Log[[#This Row],[Result ]]="", "", IF(Bet_Log[[#This Row],[Result ]]="Win", Bet_Log[[#This Row],[Stake]]*Bet_Log[[#This Row],[Decimal]]-Bet_Log[[#This Row],[Stake]], IF(Bet_Log[[#This Row],[Result ]]="Loss", -Bet_Log[[#This Row],[Stake]], IF(Bet_Log[[#This Row],[Result ]]="Push", 0, ""))))</f>
        <v/>
      </c>
      <c r="J667" s="2" t="str">
        <f>IF(Bet_Log[[#This Row],[Return]]="", "", J666 + Bet_Log[[#This Row],[Return]])</f>
        <v/>
      </c>
      <c r="K667" s="9"/>
    </row>
    <row r="668" spans="1:11" x14ac:dyDescent="0.2">
      <c r="A668" s="27"/>
      <c r="B668" s="1"/>
      <c r="C668" s="6"/>
      <c r="D668" s="1"/>
      <c r="E668" s="7"/>
      <c r="F668" s="8"/>
      <c r="G668" s="3" t="str" cm="1">
        <f t="array" ref="G668">IF(ISBLANK(F668), "", IFERROR(_xlfn.IFS(LEFT(F668,1)="+", (VALUE(MID(F668,2,LEN(F668)))+100)/100, VALUE(F668)&gt;0, (F668+100)/100, VALUE(F668)&lt;0, (ABS(F668)+100)/ABS(F668), F668=0, 0), ""))</f>
        <v/>
      </c>
      <c r="H668" s="1"/>
      <c r="I668" s="4" t="str">
        <f>IF(Bet_Log[[#This Row],[Result ]]="", "", IF(Bet_Log[[#This Row],[Result ]]="Win", Bet_Log[[#This Row],[Stake]]*Bet_Log[[#This Row],[Decimal]]-Bet_Log[[#This Row],[Stake]], IF(Bet_Log[[#This Row],[Result ]]="Loss", -Bet_Log[[#This Row],[Stake]], IF(Bet_Log[[#This Row],[Result ]]="Push", 0, ""))))</f>
        <v/>
      </c>
      <c r="J668" s="2" t="str">
        <f>IF(Bet_Log[[#This Row],[Return]]="", "", J667 + Bet_Log[[#This Row],[Return]])</f>
        <v/>
      </c>
      <c r="K668" s="9"/>
    </row>
    <row r="669" spans="1:11" x14ac:dyDescent="0.2">
      <c r="A669" s="27"/>
      <c r="B669" s="1"/>
      <c r="C669" s="6"/>
      <c r="D669" s="1"/>
      <c r="E669" s="7"/>
      <c r="F669" s="8"/>
      <c r="G669" s="3" t="str" cm="1">
        <f t="array" ref="G669">IF(ISBLANK(F669), "", IFERROR(_xlfn.IFS(LEFT(F669,1)="+", (VALUE(MID(F669,2,LEN(F669)))+100)/100, VALUE(F669)&gt;0, (F669+100)/100, VALUE(F669)&lt;0, (ABS(F669)+100)/ABS(F669), F669=0, 0), ""))</f>
        <v/>
      </c>
      <c r="H669" s="1"/>
      <c r="I669" s="4" t="str">
        <f>IF(Bet_Log[[#This Row],[Result ]]="", "", IF(Bet_Log[[#This Row],[Result ]]="Win", Bet_Log[[#This Row],[Stake]]*Bet_Log[[#This Row],[Decimal]]-Bet_Log[[#This Row],[Stake]], IF(Bet_Log[[#This Row],[Result ]]="Loss", -Bet_Log[[#This Row],[Stake]], IF(Bet_Log[[#This Row],[Result ]]="Push", 0, ""))))</f>
        <v/>
      </c>
      <c r="J669" s="2" t="str">
        <f>IF(Bet_Log[[#This Row],[Return]]="", "", J668 + Bet_Log[[#This Row],[Return]])</f>
        <v/>
      </c>
      <c r="K669" s="9"/>
    </row>
    <row r="670" spans="1:11" x14ac:dyDescent="0.2">
      <c r="A670" s="27"/>
      <c r="B670" s="1"/>
      <c r="C670" s="6"/>
      <c r="D670" s="1"/>
      <c r="E670" s="7"/>
      <c r="F670" s="8"/>
      <c r="G670" s="3" t="str" cm="1">
        <f t="array" ref="G670">IF(ISBLANK(F670), "", IFERROR(_xlfn.IFS(LEFT(F670,1)="+", (VALUE(MID(F670,2,LEN(F670)))+100)/100, VALUE(F670)&gt;0, (F670+100)/100, VALUE(F670)&lt;0, (ABS(F670)+100)/ABS(F670), F670=0, 0), ""))</f>
        <v/>
      </c>
      <c r="H670" s="1"/>
      <c r="I670" s="4" t="str">
        <f>IF(Bet_Log[[#This Row],[Result ]]="", "", IF(Bet_Log[[#This Row],[Result ]]="Win", Bet_Log[[#This Row],[Stake]]*Bet_Log[[#This Row],[Decimal]]-Bet_Log[[#This Row],[Stake]], IF(Bet_Log[[#This Row],[Result ]]="Loss", -Bet_Log[[#This Row],[Stake]], IF(Bet_Log[[#This Row],[Result ]]="Push", 0, ""))))</f>
        <v/>
      </c>
      <c r="J670" s="2" t="str">
        <f>IF(Bet_Log[[#This Row],[Return]]="", "", J669 + Bet_Log[[#This Row],[Return]])</f>
        <v/>
      </c>
      <c r="K670" s="9"/>
    </row>
    <row r="671" spans="1:11" x14ac:dyDescent="0.2">
      <c r="A671" s="27"/>
      <c r="B671" s="1"/>
      <c r="C671" s="6"/>
      <c r="D671" s="1"/>
      <c r="E671" s="7"/>
      <c r="F671" s="8"/>
      <c r="G671" s="3" t="str" cm="1">
        <f t="array" ref="G671">IF(ISBLANK(F671), "", IFERROR(_xlfn.IFS(LEFT(F671,1)="+", (VALUE(MID(F671,2,LEN(F671)))+100)/100, VALUE(F671)&gt;0, (F671+100)/100, VALUE(F671)&lt;0, (ABS(F671)+100)/ABS(F671), F671=0, 0), ""))</f>
        <v/>
      </c>
      <c r="H671" s="1"/>
      <c r="I671" s="4" t="str">
        <f>IF(Bet_Log[[#This Row],[Result ]]="", "", IF(Bet_Log[[#This Row],[Result ]]="Win", Bet_Log[[#This Row],[Stake]]*Bet_Log[[#This Row],[Decimal]]-Bet_Log[[#This Row],[Stake]], IF(Bet_Log[[#This Row],[Result ]]="Loss", -Bet_Log[[#This Row],[Stake]], IF(Bet_Log[[#This Row],[Result ]]="Push", 0, ""))))</f>
        <v/>
      </c>
      <c r="J671" s="2" t="str">
        <f>IF(Bet_Log[[#This Row],[Return]]="", "", J670 + Bet_Log[[#This Row],[Return]])</f>
        <v/>
      </c>
      <c r="K671" s="9"/>
    </row>
    <row r="672" spans="1:11" x14ac:dyDescent="0.2">
      <c r="A672" s="27"/>
      <c r="B672" s="1"/>
      <c r="C672" s="6"/>
      <c r="D672" s="1"/>
      <c r="E672" s="7"/>
      <c r="F672" s="8"/>
      <c r="G672" s="3" t="str" cm="1">
        <f t="array" ref="G672">IF(ISBLANK(F672), "", IFERROR(_xlfn.IFS(LEFT(F672,1)="+", (VALUE(MID(F672,2,LEN(F672)))+100)/100, VALUE(F672)&gt;0, (F672+100)/100, VALUE(F672)&lt;0, (ABS(F672)+100)/ABS(F672), F672=0, 0), ""))</f>
        <v/>
      </c>
      <c r="H672" s="1"/>
      <c r="I672" s="4" t="str">
        <f>IF(Bet_Log[[#This Row],[Result ]]="", "", IF(Bet_Log[[#This Row],[Result ]]="Win", Bet_Log[[#This Row],[Stake]]*Bet_Log[[#This Row],[Decimal]]-Bet_Log[[#This Row],[Stake]], IF(Bet_Log[[#This Row],[Result ]]="Loss", -Bet_Log[[#This Row],[Stake]], IF(Bet_Log[[#This Row],[Result ]]="Push", 0, ""))))</f>
        <v/>
      </c>
      <c r="J672" s="2" t="str">
        <f>IF(Bet_Log[[#This Row],[Return]]="", "", J671 + Bet_Log[[#This Row],[Return]])</f>
        <v/>
      </c>
      <c r="K672" s="9"/>
    </row>
    <row r="673" spans="1:11" x14ac:dyDescent="0.2">
      <c r="A673" s="27"/>
      <c r="B673" s="1"/>
      <c r="C673" s="6"/>
      <c r="D673" s="1"/>
      <c r="E673" s="7"/>
      <c r="F673" s="8"/>
      <c r="G673" s="3" t="str" cm="1">
        <f t="array" ref="G673">IF(ISBLANK(F673), "", IFERROR(_xlfn.IFS(LEFT(F673,1)="+", (VALUE(MID(F673,2,LEN(F673)))+100)/100, VALUE(F673)&gt;0, (F673+100)/100, VALUE(F673)&lt;0, (ABS(F673)+100)/ABS(F673), F673=0, 0), ""))</f>
        <v/>
      </c>
      <c r="H673" s="1"/>
      <c r="I673" s="4" t="str">
        <f>IF(Bet_Log[[#This Row],[Result ]]="", "", IF(Bet_Log[[#This Row],[Result ]]="Win", Bet_Log[[#This Row],[Stake]]*Bet_Log[[#This Row],[Decimal]]-Bet_Log[[#This Row],[Stake]], IF(Bet_Log[[#This Row],[Result ]]="Loss", -Bet_Log[[#This Row],[Stake]], IF(Bet_Log[[#This Row],[Result ]]="Push", 0, ""))))</f>
        <v/>
      </c>
      <c r="J673" s="2" t="str">
        <f>IF(Bet_Log[[#This Row],[Return]]="", "", J672 + Bet_Log[[#This Row],[Return]])</f>
        <v/>
      </c>
      <c r="K673" s="9"/>
    </row>
    <row r="674" spans="1:11" x14ac:dyDescent="0.2">
      <c r="A674" s="27"/>
      <c r="B674" s="1"/>
      <c r="C674" s="6"/>
      <c r="D674" s="1"/>
      <c r="E674" s="7"/>
      <c r="F674" s="8"/>
      <c r="G674" s="3" t="str" cm="1">
        <f t="array" ref="G674">IF(ISBLANK(F674), "", IFERROR(_xlfn.IFS(LEFT(F674,1)="+", (VALUE(MID(F674,2,LEN(F674)))+100)/100, VALUE(F674)&gt;0, (F674+100)/100, VALUE(F674)&lt;0, (ABS(F674)+100)/ABS(F674), F674=0, 0), ""))</f>
        <v/>
      </c>
      <c r="H674" s="1"/>
      <c r="I674" s="4" t="str">
        <f>IF(Bet_Log[[#This Row],[Result ]]="", "", IF(Bet_Log[[#This Row],[Result ]]="Win", Bet_Log[[#This Row],[Stake]]*Bet_Log[[#This Row],[Decimal]]-Bet_Log[[#This Row],[Stake]], IF(Bet_Log[[#This Row],[Result ]]="Loss", -Bet_Log[[#This Row],[Stake]], IF(Bet_Log[[#This Row],[Result ]]="Push", 0, ""))))</f>
        <v/>
      </c>
      <c r="J674" s="2" t="str">
        <f>IF(Bet_Log[[#This Row],[Return]]="", "", J673 + Bet_Log[[#This Row],[Return]])</f>
        <v/>
      </c>
      <c r="K674" s="9"/>
    </row>
    <row r="675" spans="1:11" x14ac:dyDescent="0.2">
      <c r="A675" s="27"/>
      <c r="B675" s="1"/>
      <c r="C675" s="6"/>
      <c r="D675" s="1"/>
      <c r="E675" s="7"/>
      <c r="F675" s="8"/>
      <c r="G675" s="3" t="str" cm="1">
        <f t="array" ref="G675">IF(ISBLANK(F675), "", IFERROR(_xlfn.IFS(LEFT(F675,1)="+", (VALUE(MID(F675,2,LEN(F675)))+100)/100, VALUE(F675)&gt;0, (F675+100)/100, VALUE(F675)&lt;0, (ABS(F675)+100)/ABS(F675), F675=0, 0), ""))</f>
        <v/>
      </c>
      <c r="H675" s="1"/>
      <c r="I675" s="4" t="str">
        <f>IF(Bet_Log[[#This Row],[Result ]]="", "", IF(Bet_Log[[#This Row],[Result ]]="Win", Bet_Log[[#This Row],[Stake]]*Bet_Log[[#This Row],[Decimal]]-Bet_Log[[#This Row],[Stake]], IF(Bet_Log[[#This Row],[Result ]]="Loss", -Bet_Log[[#This Row],[Stake]], IF(Bet_Log[[#This Row],[Result ]]="Push", 0, ""))))</f>
        <v/>
      </c>
      <c r="J675" s="2" t="str">
        <f>IF(Bet_Log[[#This Row],[Return]]="", "", J674 + Bet_Log[[#This Row],[Return]])</f>
        <v/>
      </c>
      <c r="K675" s="9"/>
    </row>
    <row r="676" spans="1:11" x14ac:dyDescent="0.2">
      <c r="A676" s="27"/>
      <c r="B676" s="1"/>
      <c r="C676" s="6"/>
      <c r="D676" s="1"/>
      <c r="E676" s="7"/>
      <c r="F676" s="8"/>
      <c r="G676" s="3" t="str" cm="1">
        <f t="array" ref="G676">IF(ISBLANK(F676), "", IFERROR(_xlfn.IFS(LEFT(F676,1)="+", (VALUE(MID(F676,2,LEN(F676)))+100)/100, VALUE(F676)&gt;0, (F676+100)/100, VALUE(F676)&lt;0, (ABS(F676)+100)/ABS(F676), F676=0, 0), ""))</f>
        <v/>
      </c>
      <c r="H676" s="1"/>
      <c r="I676" s="4" t="str">
        <f>IF(Bet_Log[[#This Row],[Result ]]="", "", IF(Bet_Log[[#This Row],[Result ]]="Win", Bet_Log[[#This Row],[Stake]]*Bet_Log[[#This Row],[Decimal]]-Bet_Log[[#This Row],[Stake]], IF(Bet_Log[[#This Row],[Result ]]="Loss", -Bet_Log[[#This Row],[Stake]], IF(Bet_Log[[#This Row],[Result ]]="Push", 0, ""))))</f>
        <v/>
      </c>
      <c r="J676" s="2" t="str">
        <f>IF(Bet_Log[[#This Row],[Return]]="", "", J675 + Bet_Log[[#This Row],[Return]])</f>
        <v/>
      </c>
      <c r="K676" s="9"/>
    </row>
    <row r="677" spans="1:11" x14ac:dyDescent="0.2">
      <c r="A677" s="27"/>
      <c r="B677" s="1"/>
      <c r="C677" s="6"/>
      <c r="D677" s="1"/>
      <c r="E677" s="7"/>
      <c r="F677" s="8"/>
      <c r="G677" s="3" t="str" cm="1">
        <f t="array" ref="G677">IF(ISBLANK(F677), "", IFERROR(_xlfn.IFS(LEFT(F677,1)="+", (VALUE(MID(F677,2,LEN(F677)))+100)/100, VALUE(F677)&gt;0, (F677+100)/100, VALUE(F677)&lt;0, (ABS(F677)+100)/ABS(F677), F677=0, 0), ""))</f>
        <v/>
      </c>
      <c r="H677" s="1"/>
      <c r="I677" s="4" t="str">
        <f>IF(Bet_Log[[#This Row],[Result ]]="", "", IF(Bet_Log[[#This Row],[Result ]]="Win", Bet_Log[[#This Row],[Stake]]*Bet_Log[[#This Row],[Decimal]]-Bet_Log[[#This Row],[Stake]], IF(Bet_Log[[#This Row],[Result ]]="Loss", -Bet_Log[[#This Row],[Stake]], IF(Bet_Log[[#This Row],[Result ]]="Push", 0, ""))))</f>
        <v/>
      </c>
      <c r="J677" s="2" t="str">
        <f>IF(Bet_Log[[#This Row],[Return]]="", "", J676 + Bet_Log[[#This Row],[Return]])</f>
        <v/>
      </c>
      <c r="K677" s="9"/>
    </row>
    <row r="678" spans="1:11" x14ac:dyDescent="0.2">
      <c r="A678" s="27"/>
      <c r="B678" s="1"/>
      <c r="C678" s="6"/>
      <c r="D678" s="1"/>
      <c r="E678" s="7"/>
      <c r="F678" s="8"/>
      <c r="G678" s="3" t="str" cm="1">
        <f t="array" ref="G678">IF(ISBLANK(F678), "", IFERROR(_xlfn.IFS(LEFT(F678,1)="+", (VALUE(MID(F678,2,LEN(F678)))+100)/100, VALUE(F678)&gt;0, (F678+100)/100, VALUE(F678)&lt;0, (ABS(F678)+100)/ABS(F678), F678=0, 0), ""))</f>
        <v/>
      </c>
      <c r="H678" s="1"/>
      <c r="I678" s="4" t="str">
        <f>IF(Bet_Log[[#This Row],[Result ]]="", "", IF(Bet_Log[[#This Row],[Result ]]="Win", Bet_Log[[#This Row],[Stake]]*Bet_Log[[#This Row],[Decimal]]-Bet_Log[[#This Row],[Stake]], IF(Bet_Log[[#This Row],[Result ]]="Loss", -Bet_Log[[#This Row],[Stake]], IF(Bet_Log[[#This Row],[Result ]]="Push", 0, ""))))</f>
        <v/>
      </c>
      <c r="J678" s="2" t="str">
        <f>IF(Bet_Log[[#This Row],[Return]]="", "", J677 + Bet_Log[[#This Row],[Return]])</f>
        <v/>
      </c>
      <c r="K678" s="9"/>
    </row>
    <row r="679" spans="1:11" x14ac:dyDescent="0.2">
      <c r="A679" s="27"/>
      <c r="B679" s="1"/>
      <c r="C679" s="6"/>
      <c r="D679" s="1"/>
      <c r="E679" s="7"/>
      <c r="F679" s="8"/>
      <c r="G679" s="3" t="str" cm="1">
        <f t="array" ref="G679">IF(ISBLANK(F679), "", IFERROR(_xlfn.IFS(LEFT(F679,1)="+", (VALUE(MID(F679,2,LEN(F679)))+100)/100, VALUE(F679)&gt;0, (F679+100)/100, VALUE(F679)&lt;0, (ABS(F679)+100)/ABS(F679), F679=0, 0), ""))</f>
        <v/>
      </c>
      <c r="H679" s="1"/>
      <c r="I679" s="4" t="str">
        <f>IF(Bet_Log[[#This Row],[Result ]]="", "", IF(Bet_Log[[#This Row],[Result ]]="Win", Bet_Log[[#This Row],[Stake]]*Bet_Log[[#This Row],[Decimal]]-Bet_Log[[#This Row],[Stake]], IF(Bet_Log[[#This Row],[Result ]]="Loss", -Bet_Log[[#This Row],[Stake]], IF(Bet_Log[[#This Row],[Result ]]="Push", 0, ""))))</f>
        <v/>
      </c>
      <c r="J679" s="2" t="str">
        <f>IF(Bet_Log[[#This Row],[Return]]="", "", J678 + Bet_Log[[#This Row],[Return]])</f>
        <v/>
      </c>
      <c r="K679" s="9"/>
    </row>
    <row r="680" spans="1:11" x14ac:dyDescent="0.2">
      <c r="A680" s="27"/>
      <c r="B680" s="1"/>
      <c r="C680" s="6"/>
      <c r="D680" s="1"/>
      <c r="E680" s="7"/>
      <c r="F680" s="8"/>
      <c r="G680" s="3" t="str" cm="1">
        <f t="array" ref="G680">IF(ISBLANK(F680), "", IFERROR(_xlfn.IFS(LEFT(F680,1)="+", (VALUE(MID(F680,2,LEN(F680)))+100)/100, VALUE(F680)&gt;0, (F680+100)/100, VALUE(F680)&lt;0, (ABS(F680)+100)/ABS(F680), F680=0, 0), ""))</f>
        <v/>
      </c>
      <c r="H680" s="1"/>
      <c r="I680" s="4" t="str">
        <f>IF(Bet_Log[[#This Row],[Result ]]="", "", IF(Bet_Log[[#This Row],[Result ]]="Win", Bet_Log[[#This Row],[Stake]]*Bet_Log[[#This Row],[Decimal]]-Bet_Log[[#This Row],[Stake]], IF(Bet_Log[[#This Row],[Result ]]="Loss", -Bet_Log[[#This Row],[Stake]], IF(Bet_Log[[#This Row],[Result ]]="Push", 0, ""))))</f>
        <v/>
      </c>
      <c r="J680" s="2" t="str">
        <f>IF(Bet_Log[[#This Row],[Return]]="", "", J679 + Bet_Log[[#This Row],[Return]])</f>
        <v/>
      </c>
      <c r="K680" s="9"/>
    </row>
    <row r="681" spans="1:11" x14ac:dyDescent="0.2">
      <c r="A681" s="27"/>
      <c r="B681" s="1"/>
      <c r="C681" s="6"/>
      <c r="D681" s="1"/>
      <c r="E681" s="7"/>
      <c r="F681" s="8"/>
      <c r="G681" s="3" t="str" cm="1">
        <f t="array" ref="G681">IF(ISBLANK(F681), "", IFERROR(_xlfn.IFS(LEFT(F681,1)="+", (VALUE(MID(F681,2,LEN(F681)))+100)/100, VALUE(F681)&gt;0, (F681+100)/100, VALUE(F681)&lt;0, (ABS(F681)+100)/ABS(F681), F681=0, 0), ""))</f>
        <v/>
      </c>
      <c r="H681" s="1"/>
      <c r="I681" s="4" t="str">
        <f>IF(Bet_Log[[#This Row],[Result ]]="", "", IF(Bet_Log[[#This Row],[Result ]]="Win", Bet_Log[[#This Row],[Stake]]*Bet_Log[[#This Row],[Decimal]]-Bet_Log[[#This Row],[Stake]], IF(Bet_Log[[#This Row],[Result ]]="Loss", -Bet_Log[[#This Row],[Stake]], IF(Bet_Log[[#This Row],[Result ]]="Push", 0, ""))))</f>
        <v/>
      </c>
      <c r="J681" s="2" t="str">
        <f>IF(Bet_Log[[#This Row],[Return]]="", "", J680 + Bet_Log[[#This Row],[Return]])</f>
        <v/>
      </c>
      <c r="K681" s="9"/>
    </row>
    <row r="682" spans="1:11" x14ac:dyDescent="0.2">
      <c r="A682" s="27"/>
      <c r="B682" s="1"/>
      <c r="C682" s="6"/>
      <c r="D682" s="1"/>
      <c r="E682" s="7"/>
      <c r="F682" s="8"/>
      <c r="G682" s="3" t="str" cm="1">
        <f t="array" ref="G682">IF(ISBLANK(F682), "", IFERROR(_xlfn.IFS(LEFT(F682,1)="+", (VALUE(MID(F682,2,LEN(F682)))+100)/100, VALUE(F682)&gt;0, (F682+100)/100, VALUE(F682)&lt;0, (ABS(F682)+100)/ABS(F682), F682=0, 0), ""))</f>
        <v/>
      </c>
      <c r="H682" s="1"/>
      <c r="I682" s="4" t="str">
        <f>IF(Bet_Log[[#This Row],[Result ]]="", "", IF(Bet_Log[[#This Row],[Result ]]="Win", Bet_Log[[#This Row],[Stake]]*Bet_Log[[#This Row],[Decimal]]-Bet_Log[[#This Row],[Stake]], IF(Bet_Log[[#This Row],[Result ]]="Loss", -Bet_Log[[#This Row],[Stake]], IF(Bet_Log[[#This Row],[Result ]]="Push", 0, ""))))</f>
        <v/>
      </c>
      <c r="J682" s="2" t="str">
        <f>IF(Bet_Log[[#This Row],[Return]]="", "", J681 + Bet_Log[[#This Row],[Return]])</f>
        <v/>
      </c>
      <c r="K682" s="9"/>
    </row>
    <row r="683" spans="1:11" x14ac:dyDescent="0.2">
      <c r="A683" s="27"/>
      <c r="B683" s="1"/>
      <c r="C683" s="6"/>
      <c r="D683" s="1"/>
      <c r="E683" s="7"/>
      <c r="F683" s="8"/>
      <c r="G683" s="3" t="str" cm="1">
        <f t="array" ref="G683">IF(ISBLANK(F683), "", IFERROR(_xlfn.IFS(LEFT(F683,1)="+", (VALUE(MID(F683,2,LEN(F683)))+100)/100, VALUE(F683)&gt;0, (F683+100)/100, VALUE(F683)&lt;0, (ABS(F683)+100)/ABS(F683), F683=0, 0), ""))</f>
        <v/>
      </c>
      <c r="H683" s="1"/>
      <c r="I683" s="4" t="str">
        <f>IF(Bet_Log[[#This Row],[Result ]]="", "", IF(Bet_Log[[#This Row],[Result ]]="Win", Bet_Log[[#This Row],[Stake]]*Bet_Log[[#This Row],[Decimal]]-Bet_Log[[#This Row],[Stake]], IF(Bet_Log[[#This Row],[Result ]]="Loss", -Bet_Log[[#This Row],[Stake]], IF(Bet_Log[[#This Row],[Result ]]="Push", 0, ""))))</f>
        <v/>
      </c>
      <c r="J683" s="2" t="str">
        <f>IF(Bet_Log[[#This Row],[Return]]="", "", J682 + Bet_Log[[#This Row],[Return]])</f>
        <v/>
      </c>
      <c r="K683" s="9"/>
    </row>
    <row r="684" spans="1:11" x14ac:dyDescent="0.2">
      <c r="A684" s="27"/>
      <c r="B684" s="1"/>
      <c r="C684" s="6"/>
      <c r="D684" s="1"/>
      <c r="E684" s="7"/>
      <c r="F684" s="8"/>
      <c r="G684" s="3" t="str" cm="1">
        <f t="array" ref="G684">IF(ISBLANK(F684), "", IFERROR(_xlfn.IFS(LEFT(F684,1)="+", (VALUE(MID(F684,2,LEN(F684)))+100)/100, VALUE(F684)&gt;0, (F684+100)/100, VALUE(F684)&lt;0, (ABS(F684)+100)/ABS(F684), F684=0, 0), ""))</f>
        <v/>
      </c>
      <c r="H684" s="1"/>
      <c r="I684" s="4" t="str">
        <f>IF(Bet_Log[[#This Row],[Result ]]="", "", IF(Bet_Log[[#This Row],[Result ]]="Win", Bet_Log[[#This Row],[Stake]]*Bet_Log[[#This Row],[Decimal]]-Bet_Log[[#This Row],[Stake]], IF(Bet_Log[[#This Row],[Result ]]="Loss", -Bet_Log[[#This Row],[Stake]], IF(Bet_Log[[#This Row],[Result ]]="Push", 0, ""))))</f>
        <v/>
      </c>
      <c r="J684" s="2" t="str">
        <f>IF(Bet_Log[[#This Row],[Return]]="", "", J683 + Bet_Log[[#This Row],[Return]])</f>
        <v/>
      </c>
      <c r="K684" s="9"/>
    </row>
    <row r="685" spans="1:11" x14ac:dyDescent="0.2">
      <c r="A685" s="27"/>
      <c r="B685" s="1"/>
      <c r="C685" s="6"/>
      <c r="D685" s="1"/>
      <c r="E685" s="7"/>
      <c r="F685" s="8"/>
      <c r="G685" s="3" t="str" cm="1">
        <f t="array" ref="G685">IF(ISBLANK(F685), "", IFERROR(_xlfn.IFS(LEFT(F685,1)="+", (VALUE(MID(F685,2,LEN(F685)))+100)/100, VALUE(F685)&gt;0, (F685+100)/100, VALUE(F685)&lt;0, (ABS(F685)+100)/ABS(F685), F685=0, 0), ""))</f>
        <v/>
      </c>
      <c r="H685" s="1"/>
      <c r="I685" s="4" t="str">
        <f>IF(Bet_Log[[#This Row],[Result ]]="", "", IF(Bet_Log[[#This Row],[Result ]]="Win", Bet_Log[[#This Row],[Stake]]*Bet_Log[[#This Row],[Decimal]]-Bet_Log[[#This Row],[Stake]], IF(Bet_Log[[#This Row],[Result ]]="Loss", -Bet_Log[[#This Row],[Stake]], IF(Bet_Log[[#This Row],[Result ]]="Push", 0, ""))))</f>
        <v/>
      </c>
      <c r="J685" s="2" t="str">
        <f>IF(Bet_Log[[#This Row],[Return]]="", "", J684 + Bet_Log[[#This Row],[Return]])</f>
        <v/>
      </c>
      <c r="K685" s="9"/>
    </row>
    <row r="686" spans="1:11" x14ac:dyDescent="0.2">
      <c r="A686" s="27"/>
      <c r="B686" s="1"/>
      <c r="C686" s="6"/>
      <c r="D686" s="1"/>
      <c r="E686" s="7"/>
      <c r="F686" s="8"/>
      <c r="G686" s="3" t="str" cm="1">
        <f t="array" ref="G686">IF(ISBLANK(F686), "", IFERROR(_xlfn.IFS(LEFT(F686,1)="+", (VALUE(MID(F686,2,LEN(F686)))+100)/100, VALUE(F686)&gt;0, (F686+100)/100, VALUE(F686)&lt;0, (ABS(F686)+100)/ABS(F686), F686=0, 0), ""))</f>
        <v/>
      </c>
      <c r="H686" s="1"/>
      <c r="I686" s="4" t="str">
        <f>IF(Bet_Log[[#This Row],[Result ]]="", "", IF(Bet_Log[[#This Row],[Result ]]="Win", Bet_Log[[#This Row],[Stake]]*Bet_Log[[#This Row],[Decimal]]-Bet_Log[[#This Row],[Stake]], IF(Bet_Log[[#This Row],[Result ]]="Loss", -Bet_Log[[#This Row],[Stake]], IF(Bet_Log[[#This Row],[Result ]]="Push", 0, ""))))</f>
        <v/>
      </c>
      <c r="J686" s="2" t="str">
        <f>IF(Bet_Log[[#This Row],[Return]]="", "", J685 + Bet_Log[[#This Row],[Return]])</f>
        <v/>
      </c>
      <c r="K686" s="9"/>
    </row>
    <row r="687" spans="1:11" x14ac:dyDescent="0.2">
      <c r="A687" s="27"/>
      <c r="B687" s="1"/>
      <c r="C687" s="6"/>
      <c r="D687" s="1"/>
      <c r="E687" s="7"/>
      <c r="F687" s="8"/>
      <c r="G687" s="3" t="str" cm="1">
        <f t="array" ref="G687">IF(ISBLANK(F687), "", IFERROR(_xlfn.IFS(LEFT(F687,1)="+", (VALUE(MID(F687,2,LEN(F687)))+100)/100, VALUE(F687)&gt;0, (F687+100)/100, VALUE(F687)&lt;0, (ABS(F687)+100)/ABS(F687), F687=0, 0), ""))</f>
        <v/>
      </c>
      <c r="H687" s="1"/>
      <c r="I687" s="4" t="str">
        <f>IF(Bet_Log[[#This Row],[Result ]]="", "", IF(Bet_Log[[#This Row],[Result ]]="Win", Bet_Log[[#This Row],[Stake]]*Bet_Log[[#This Row],[Decimal]]-Bet_Log[[#This Row],[Stake]], IF(Bet_Log[[#This Row],[Result ]]="Loss", -Bet_Log[[#This Row],[Stake]], IF(Bet_Log[[#This Row],[Result ]]="Push", 0, ""))))</f>
        <v/>
      </c>
      <c r="J687" s="2" t="str">
        <f>IF(Bet_Log[[#This Row],[Return]]="", "", J686 + Bet_Log[[#This Row],[Return]])</f>
        <v/>
      </c>
      <c r="K687" s="9"/>
    </row>
    <row r="688" spans="1:11" x14ac:dyDescent="0.2">
      <c r="A688" s="27"/>
      <c r="B688" s="1"/>
      <c r="C688" s="6"/>
      <c r="D688" s="1"/>
      <c r="E688" s="7"/>
      <c r="F688" s="8"/>
      <c r="G688" s="3" t="str" cm="1">
        <f t="array" ref="G688">IF(ISBLANK(F688), "", IFERROR(_xlfn.IFS(LEFT(F688,1)="+", (VALUE(MID(F688,2,LEN(F688)))+100)/100, VALUE(F688)&gt;0, (F688+100)/100, VALUE(F688)&lt;0, (ABS(F688)+100)/ABS(F688), F688=0, 0), ""))</f>
        <v/>
      </c>
      <c r="H688" s="1"/>
      <c r="I688" s="4" t="str">
        <f>IF(Bet_Log[[#This Row],[Result ]]="", "", IF(Bet_Log[[#This Row],[Result ]]="Win", Bet_Log[[#This Row],[Stake]]*Bet_Log[[#This Row],[Decimal]]-Bet_Log[[#This Row],[Stake]], IF(Bet_Log[[#This Row],[Result ]]="Loss", -Bet_Log[[#This Row],[Stake]], IF(Bet_Log[[#This Row],[Result ]]="Push", 0, ""))))</f>
        <v/>
      </c>
      <c r="J688" s="2" t="str">
        <f>IF(Bet_Log[[#This Row],[Return]]="", "", J687 + Bet_Log[[#This Row],[Return]])</f>
        <v/>
      </c>
      <c r="K688" s="9"/>
    </row>
    <row r="689" spans="1:11" x14ac:dyDescent="0.2">
      <c r="A689" s="27"/>
      <c r="B689" s="1"/>
      <c r="C689" s="6"/>
      <c r="D689" s="1"/>
      <c r="E689" s="7"/>
      <c r="F689" s="8"/>
      <c r="G689" s="3" t="str" cm="1">
        <f t="array" ref="G689">IF(ISBLANK(F689), "", IFERROR(_xlfn.IFS(LEFT(F689,1)="+", (VALUE(MID(F689,2,LEN(F689)))+100)/100, VALUE(F689)&gt;0, (F689+100)/100, VALUE(F689)&lt;0, (ABS(F689)+100)/ABS(F689), F689=0, 0), ""))</f>
        <v/>
      </c>
      <c r="H689" s="1"/>
      <c r="I689" s="4" t="str">
        <f>IF(Bet_Log[[#This Row],[Result ]]="", "", IF(Bet_Log[[#This Row],[Result ]]="Win", Bet_Log[[#This Row],[Stake]]*Bet_Log[[#This Row],[Decimal]]-Bet_Log[[#This Row],[Stake]], IF(Bet_Log[[#This Row],[Result ]]="Loss", -Bet_Log[[#This Row],[Stake]], IF(Bet_Log[[#This Row],[Result ]]="Push", 0, ""))))</f>
        <v/>
      </c>
      <c r="J689" s="2" t="str">
        <f>IF(Bet_Log[[#This Row],[Return]]="", "", J688 + Bet_Log[[#This Row],[Return]])</f>
        <v/>
      </c>
      <c r="K689" s="9"/>
    </row>
    <row r="690" spans="1:11" x14ac:dyDescent="0.2">
      <c r="A690" s="27"/>
      <c r="B690" s="1"/>
      <c r="C690" s="6"/>
      <c r="D690" s="1"/>
      <c r="E690" s="7"/>
      <c r="F690" s="8"/>
      <c r="G690" s="3" t="str" cm="1">
        <f t="array" ref="G690">IF(ISBLANK(F690), "", IFERROR(_xlfn.IFS(LEFT(F690,1)="+", (VALUE(MID(F690,2,LEN(F690)))+100)/100, VALUE(F690)&gt;0, (F690+100)/100, VALUE(F690)&lt;0, (ABS(F690)+100)/ABS(F690), F690=0, 0), ""))</f>
        <v/>
      </c>
      <c r="H690" s="1"/>
      <c r="I690" s="4" t="str">
        <f>IF(Bet_Log[[#This Row],[Result ]]="", "", IF(Bet_Log[[#This Row],[Result ]]="Win", Bet_Log[[#This Row],[Stake]]*Bet_Log[[#This Row],[Decimal]]-Bet_Log[[#This Row],[Stake]], IF(Bet_Log[[#This Row],[Result ]]="Loss", -Bet_Log[[#This Row],[Stake]], IF(Bet_Log[[#This Row],[Result ]]="Push", 0, ""))))</f>
        <v/>
      </c>
      <c r="J690" s="2" t="str">
        <f>IF(Bet_Log[[#This Row],[Return]]="", "", J689 + Bet_Log[[#This Row],[Return]])</f>
        <v/>
      </c>
      <c r="K690" s="9"/>
    </row>
    <row r="691" spans="1:11" x14ac:dyDescent="0.2">
      <c r="A691" s="27"/>
      <c r="B691" s="1"/>
      <c r="C691" s="6"/>
      <c r="D691" s="1"/>
      <c r="E691" s="7"/>
      <c r="F691" s="8"/>
      <c r="G691" s="3" t="str" cm="1">
        <f t="array" ref="G691">IF(ISBLANK(F691), "", IFERROR(_xlfn.IFS(LEFT(F691,1)="+", (VALUE(MID(F691,2,LEN(F691)))+100)/100, VALUE(F691)&gt;0, (F691+100)/100, VALUE(F691)&lt;0, (ABS(F691)+100)/ABS(F691), F691=0, 0), ""))</f>
        <v/>
      </c>
      <c r="H691" s="1"/>
      <c r="I691" s="4" t="str">
        <f>IF(Bet_Log[[#This Row],[Result ]]="", "", IF(Bet_Log[[#This Row],[Result ]]="Win", Bet_Log[[#This Row],[Stake]]*Bet_Log[[#This Row],[Decimal]]-Bet_Log[[#This Row],[Stake]], IF(Bet_Log[[#This Row],[Result ]]="Loss", -Bet_Log[[#This Row],[Stake]], IF(Bet_Log[[#This Row],[Result ]]="Push", 0, ""))))</f>
        <v/>
      </c>
      <c r="J691" s="2" t="str">
        <f>IF(Bet_Log[[#This Row],[Return]]="", "", J690 + Bet_Log[[#This Row],[Return]])</f>
        <v/>
      </c>
      <c r="K691" s="9"/>
    </row>
    <row r="692" spans="1:11" x14ac:dyDescent="0.2">
      <c r="A692" s="27"/>
      <c r="B692" s="1"/>
      <c r="C692" s="6"/>
      <c r="D692" s="1"/>
      <c r="E692" s="7"/>
      <c r="F692" s="8"/>
      <c r="G692" s="3" t="str" cm="1">
        <f t="array" ref="G692">IF(ISBLANK(F692), "", IFERROR(_xlfn.IFS(LEFT(F692,1)="+", (VALUE(MID(F692,2,LEN(F692)))+100)/100, VALUE(F692)&gt;0, (F692+100)/100, VALUE(F692)&lt;0, (ABS(F692)+100)/ABS(F692), F692=0, 0), ""))</f>
        <v/>
      </c>
      <c r="H692" s="1"/>
      <c r="I692" s="4" t="str">
        <f>IF(Bet_Log[[#This Row],[Result ]]="", "", IF(Bet_Log[[#This Row],[Result ]]="Win", Bet_Log[[#This Row],[Stake]]*Bet_Log[[#This Row],[Decimal]]-Bet_Log[[#This Row],[Stake]], IF(Bet_Log[[#This Row],[Result ]]="Loss", -Bet_Log[[#This Row],[Stake]], IF(Bet_Log[[#This Row],[Result ]]="Push", 0, ""))))</f>
        <v/>
      </c>
      <c r="J692" s="2" t="str">
        <f>IF(Bet_Log[[#This Row],[Return]]="", "", J691 + Bet_Log[[#This Row],[Return]])</f>
        <v/>
      </c>
      <c r="K692" s="9"/>
    </row>
    <row r="693" spans="1:11" x14ac:dyDescent="0.2">
      <c r="A693" s="27"/>
      <c r="B693" s="1"/>
      <c r="C693" s="6"/>
      <c r="D693" s="1"/>
      <c r="E693" s="7"/>
      <c r="F693" s="8"/>
      <c r="G693" s="3" t="str" cm="1">
        <f t="array" ref="G693">IF(ISBLANK(F693), "", IFERROR(_xlfn.IFS(LEFT(F693,1)="+", (VALUE(MID(F693,2,LEN(F693)))+100)/100, VALUE(F693)&gt;0, (F693+100)/100, VALUE(F693)&lt;0, (ABS(F693)+100)/ABS(F693), F693=0, 0), ""))</f>
        <v/>
      </c>
      <c r="H693" s="1"/>
      <c r="I693" s="4" t="str">
        <f>IF(Bet_Log[[#This Row],[Result ]]="", "", IF(Bet_Log[[#This Row],[Result ]]="Win", Bet_Log[[#This Row],[Stake]]*Bet_Log[[#This Row],[Decimal]]-Bet_Log[[#This Row],[Stake]], IF(Bet_Log[[#This Row],[Result ]]="Loss", -Bet_Log[[#This Row],[Stake]], IF(Bet_Log[[#This Row],[Result ]]="Push", 0, ""))))</f>
        <v/>
      </c>
      <c r="J693" s="2" t="str">
        <f>IF(Bet_Log[[#This Row],[Return]]="", "", J692 + Bet_Log[[#This Row],[Return]])</f>
        <v/>
      </c>
      <c r="K693" s="9"/>
    </row>
    <row r="694" spans="1:11" x14ac:dyDescent="0.2">
      <c r="A694" s="27"/>
      <c r="B694" s="1"/>
      <c r="C694" s="6"/>
      <c r="D694" s="1"/>
      <c r="E694" s="7"/>
      <c r="F694" s="8"/>
      <c r="G694" s="3" t="str" cm="1">
        <f t="array" ref="G694">IF(ISBLANK(F694), "", IFERROR(_xlfn.IFS(LEFT(F694,1)="+", (VALUE(MID(F694,2,LEN(F694)))+100)/100, VALUE(F694)&gt;0, (F694+100)/100, VALUE(F694)&lt;0, (ABS(F694)+100)/ABS(F694), F694=0, 0), ""))</f>
        <v/>
      </c>
      <c r="H694" s="1"/>
      <c r="I694" s="4" t="str">
        <f>IF(Bet_Log[[#This Row],[Result ]]="", "", IF(Bet_Log[[#This Row],[Result ]]="Win", Bet_Log[[#This Row],[Stake]]*Bet_Log[[#This Row],[Decimal]]-Bet_Log[[#This Row],[Stake]], IF(Bet_Log[[#This Row],[Result ]]="Loss", -Bet_Log[[#This Row],[Stake]], IF(Bet_Log[[#This Row],[Result ]]="Push", 0, ""))))</f>
        <v/>
      </c>
      <c r="J694" s="2" t="str">
        <f>IF(Bet_Log[[#This Row],[Return]]="", "", J693 + Bet_Log[[#This Row],[Return]])</f>
        <v/>
      </c>
      <c r="K694" s="9"/>
    </row>
    <row r="695" spans="1:11" x14ac:dyDescent="0.2">
      <c r="A695" s="27"/>
      <c r="B695" s="1"/>
      <c r="C695" s="6"/>
      <c r="D695" s="1"/>
      <c r="E695" s="7"/>
      <c r="F695" s="8"/>
      <c r="G695" s="3" t="str" cm="1">
        <f t="array" ref="G695">IF(ISBLANK(F695), "", IFERROR(_xlfn.IFS(LEFT(F695,1)="+", (VALUE(MID(F695,2,LEN(F695)))+100)/100, VALUE(F695)&gt;0, (F695+100)/100, VALUE(F695)&lt;0, (ABS(F695)+100)/ABS(F695), F695=0, 0), ""))</f>
        <v/>
      </c>
      <c r="H695" s="1"/>
      <c r="I695" s="4" t="str">
        <f>IF(Bet_Log[[#This Row],[Result ]]="", "", IF(Bet_Log[[#This Row],[Result ]]="Win", Bet_Log[[#This Row],[Stake]]*Bet_Log[[#This Row],[Decimal]]-Bet_Log[[#This Row],[Stake]], IF(Bet_Log[[#This Row],[Result ]]="Loss", -Bet_Log[[#This Row],[Stake]], IF(Bet_Log[[#This Row],[Result ]]="Push", 0, ""))))</f>
        <v/>
      </c>
      <c r="J695" s="2" t="str">
        <f>IF(Bet_Log[[#This Row],[Return]]="", "", J694 + Bet_Log[[#This Row],[Return]])</f>
        <v/>
      </c>
      <c r="K695" s="9"/>
    </row>
    <row r="696" spans="1:11" x14ac:dyDescent="0.2">
      <c r="A696" s="27"/>
      <c r="B696" s="1"/>
      <c r="C696" s="6"/>
      <c r="D696" s="1"/>
      <c r="E696" s="7"/>
      <c r="F696" s="8"/>
      <c r="G696" s="3" t="str" cm="1">
        <f t="array" ref="G696">IF(ISBLANK(F696), "", IFERROR(_xlfn.IFS(LEFT(F696,1)="+", (VALUE(MID(F696,2,LEN(F696)))+100)/100, VALUE(F696)&gt;0, (F696+100)/100, VALUE(F696)&lt;0, (ABS(F696)+100)/ABS(F696), F696=0, 0), ""))</f>
        <v/>
      </c>
      <c r="H696" s="1"/>
      <c r="I696" s="4" t="str">
        <f>IF(Bet_Log[[#This Row],[Result ]]="", "", IF(Bet_Log[[#This Row],[Result ]]="Win", Bet_Log[[#This Row],[Stake]]*Bet_Log[[#This Row],[Decimal]]-Bet_Log[[#This Row],[Stake]], IF(Bet_Log[[#This Row],[Result ]]="Loss", -Bet_Log[[#This Row],[Stake]], IF(Bet_Log[[#This Row],[Result ]]="Push", 0, ""))))</f>
        <v/>
      </c>
      <c r="J696" s="2" t="str">
        <f>IF(Bet_Log[[#This Row],[Return]]="", "", J695 + Bet_Log[[#This Row],[Return]])</f>
        <v/>
      </c>
      <c r="K696" s="9"/>
    </row>
    <row r="697" spans="1:11" x14ac:dyDescent="0.2">
      <c r="A697" s="27"/>
      <c r="B697" s="1"/>
      <c r="C697" s="6"/>
      <c r="D697" s="1"/>
      <c r="E697" s="7"/>
      <c r="F697" s="8"/>
      <c r="G697" s="3" t="str" cm="1">
        <f t="array" ref="G697">IF(ISBLANK(F697), "", IFERROR(_xlfn.IFS(LEFT(F697,1)="+", (VALUE(MID(F697,2,LEN(F697)))+100)/100, VALUE(F697)&gt;0, (F697+100)/100, VALUE(F697)&lt;0, (ABS(F697)+100)/ABS(F697), F697=0, 0), ""))</f>
        <v/>
      </c>
      <c r="H697" s="1"/>
      <c r="I697" s="4" t="str">
        <f>IF(Bet_Log[[#This Row],[Result ]]="", "", IF(Bet_Log[[#This Row],[Result ]]="Win", Bet_Log[[#This Row],[Stake]]*Bet_Log[[#This Row],[Decimal]]-Bet_Log[[#This Row],[Stake]], IF(Bet_Log[[#This Row],[Result ]]="Loss", -Bet_Log[[#This Row],[Stake]], IF(Bet_Log[[#This Row],[Result ]]="Push", 0, ""))))</f>
        <v/>
      </c>
      <c r="J697" s="2" t="str">
        <f>IF(Bet_Log[[#This Row],[Return]]="", "", J696 + Bet_Log[[#This Row],[Return]])</f>
        <v/>
      </c>
      <c r="K697" s="9"/>
    </row>
    <row r="698" spans="1:11" x14ac:dyDescent="0.2">
      <c r="A698" s="27"/>
      <c r="B698" s="1"/>
      <c r="C698" s="6"/>
      <c r="D698" s="1"/>
      <c r="E698" s="7"/>
      <c r="F698" s="8"/>
      <c r="G698" s="3" t="str" cm="1">
        <f t="array" ref="G698">IF(ISBLANK(F698), "", IFERROR(_xlfn.IFS(LEFT(F698,1)="+", (VALUE(MID(F698,2,LEN(F698)))+100)/100, VALUE(F698)&gt;0, (F698+100)/100, VALUE(F698)&lt;0, (ABS(F698)+100)/ABS(F698), F698=0, 0), ""))</f>
        <v/>
      </c>
      <c r="H698" s="1"/>
      <c r="I698" s="4" t="str">
        <f>IF(Bet_Log[[#This Row],[Result ]]="", "", IF(Bet_Log[[#This Row],[Result ]]="Win", Bet_Log[[#This Row],[Stake]]*Bet_Log[[#This Row],[Decimal]]-Bet_Log[[#This Row],[Stake]], IF(Bet_Log[[#This Row],[Result ]]="Loss", -Bet_Log[[#This Row],[Stake]], IF(Bet_Log[[#This Row],[Result ]]="Push", 0, ""))))</f>
        <v/>
      </c>
      <c r="J698" s="2" t="str">
        <f>IF(Bet_Log[[#This Row],[Return]]="", "", J697 + Bet_Log[[#This Row],[Return]])</f>
        <v/>
      </c>
      <c r="K698" s="9"/>
    </row>
    <row r="699" spans="1:11" x14ac:dyDescent="0.2">
      <c r="A699" s="27"/>
      <c r="B699" s="1"/>
      <c r="C699" s="6"/>
      <c r="D699" s="1"/>
      <c r="E699" s="7"/>
      <c r="F699" s="8"/>
      <c r="G699" s="3" t="str" cm="1">
        <f t="array" ref="G699">IF(ISBLANK(F699), "", IFERROR(_xlfn.IFS(LEFT(F699,1)="+", (VALUE(MID(F699,2,LEN(F699)))+100)/100, VALUE(F699)&gt;0, (F699+100)/100, VALUE(F699)&lt;0, (ABS(F699)+100)/ABS(F699), F699=0, 0), ""))</f>
        <v/>
      </c>
      <c r="H699" s="1"/>
      <c r="I699" s="4" t="str">
        <f>IF(Bet_Log[[#This Row],[Result ]]="", "", IF(Bet_Log[[#This Row],[Result ]]="Win", Bet_Log[[#This Row],[Stake]]*Bet_Log[[#This Row],[Decimal]]-Bet_Log[[#This Row],[Stake]], IF(Bet_Log[[#This Row],[Result ]]="Loss", -Bet_Log[[#This Row],[Stake]], IF(Bet_Log[[#This Row],[Result ]]="Push", 0, ""))))</f>
        <v/>
      </c>
      <c r="J699" s="2" t="str">
        <f>IF(Bet_Log[[#This Row],[Return]]="", "", J698 + Bet_Log[[#This Row],[Return]])</f>
        <v/>
      </c>
      <c r="K699" s="9"/>
    </row>
    <row r="700" spans="1:11" x14ac:dyDescent="0.2">
      <c r="A700" s="27"/>
      <c r="B700" s="1"/>
      <c r="C700" s="6"/>
      <c r="D700" s="1"/>
      <c r="E700" s="7"/>
      <c r="F700" s="8"/>
      <c r="G700" s="3" t="str" cm="1">
        <f t="array" ref="G700">IF(ISBLANK(F700), "", IFERROR(_xlfn.IFS(LEFT(F700,1)="+", (VALUE(MID(F700,2,LEN(F700)))+100)/100, VALUE(F700)&gt;0, (F700+100)/100, VALUE(F700)&lt;0, (ABS(F700)+100)/ABS(F700), F700=0, 0), ""))</f>
        <v/>
      </c>
      <c r="H700" s="1"/>
      <c r="I700" s="4" t="str">
        <f>IF(Bet_Log[[#This Row],[Result ]]="", "", IF(Bet_Log[[#This Row],[Result ]]="Win", Bet_Log[[#This Row],[Stake]]*Bet_Log[[#This Row],[Decimal]]-Bet_Log[[#This Row],[Stake]], IF(Bet_Log[[#This Row],[Result ]]="Loss", -Bet_Log[[#This Row],[Stake]], IF(Bet_Log[[#This Row],[Result ]]="Push", 0, ""))))</f>
        <v/>
      </c>
      <c r="J700" s="2" t="str">
        <f>IF(Bet_Log[[#This Row],[Return]]="", "", J699 + Bet_Log[[#This Row],[Return]])</f>
        <v/>
      </c>
      <c r="K700" s="9"/>
    </row>
    <row r="701" spans="1:11" x14ac:dyDescent="0.2">
      <c r="A701" s="27"/>
      <c r="B701" s="1"/>
      <c r="C701" s="6"/>
      <c r="D701" s="1"/>
      <c r="E701" s="7"/>
      <c r="F701" s="8"/>
      <c r="G701" s="3" t="str" cm="1">
        <f t="array" ref="G701">IF(ISBLANK(F701), "", IFERROR(_xlfn.IFS(LEFT(F701,1)="+", (VALUE(MID(F701,2,LEN(F701)))+100)/100, VALUE(F701)&gt;0, (F701+100)/100, VALUE(F701)&lt;0, (ABS(F701)+100)/ABS(F701), F701=0, 0), ""))</f>
        <v/>
      </c>
      <c r="H701" s="1"/>
      <c r="I701" s="4" t="str">
        <f>IF(Bet_Log[[#This Row],[Result ]]="", "", IF(Bet_Log[[#This Row],[Result ]]="Win", Bet_Log[[#This Row],[Stake]]*Bet_Log[[#This Row],[Decimal]]-Bet_Log[[#This Row],[Stake]], IF(Bet_Log[[#This Row],[Result ]]="Loss", -Bet_Log[[#This Row],[Stake]], IF(Bet_Log[[#This Row],[Result ]]="Push", 0, ""))))</f>
        <v/>
      </c>
      <c r="J701" s="2" t="str">
        <f>IF(Bet_Log[[#This Row],[Return]]="", "", J700 + Bet_Log[[#This Row],[Return]])</f>
        <v/>
      </c>
      <c r="K701" s="9"/>
    </row>
    <row r="702" spans="1:11" x14ac:dyDescent="0.2">
      <c r="A702" s="27"/>
      <c r="B702" s="1"/>
      <c r="C702" s="6"/>
      <c r="D702" s="1"/>
      <c r="E702" s="7"/>
      <c r="F702" s="8"/>
      <c r="G702" s="3" t="str" cm="1">
        <f t="array" ref="G702">IF(ISBLANK(F702), "", IFERROR(_xlfn.IFS(LEFT(F702,1)="+", (VALUE(MID(F702,2,LEN(F702)))+100)/100, VALUE(F702)&gt;0, (F702+100)/100, VALUE(F702)&lt;0, (ABS(F702)+100)/ABS(F702), F702=0, 0), ""))</f>
        <v/>
      </c>
      <c r="H702" s="1"/>
      <c r="I702" s="4" t="str">
        <f>IF(Bet_Log[[#This Row],[Result ]]="", "", IF(Bet_Log[[#This Row],[Result ]]="Win", Bet_Log[[#This Row],[Stake]]*Bet_Log[[#This Row],[Decimal]]-Bet_Log[[#This Row],[Stake]], IF(Bet_Log[[#This Row],[Result ]]="Loss", -Bet_Log[[#This Row],[Stake]], IF(Bet_Log[[#This Row],[Result ]]="Push", 0, ""))))</f>
        <v/>
      </c>
      <c r="J702" s="2" t="str">
        <f>IF(Bet_Log[[#This Row],[Return]]="", "", J701 + Bet_Log[[#This Row],[Return]])</f>
        <v/>
      </c>
      <c r="K702" s="9"/>
    </row>
    <row r="703" spans="1:11" x14ac:dyDescent="0.2">
      <c r="A703" s="27"/>
      <c r="B703" s="1"/>
      <c r="C703" s="6"/>
      <c r="D703" s="1"/>
      <c r="E703" s="7"/>
      <c r="F703" s="8"/>
      <c r="G703" s="3" t="str" cm="1">
        <f t="array" ref="G703">IF(ISBLANK(F703), "", IFERROR(_xlfn.IFS(LEFT(F703,1)="+", (VALUE(MID(F703,2,LEN(F703)))+100)/100, VALUE(F703)&gt;0, (F703+100)/100, VALUE(F703)&lt;0, (ABS(F703)+100)/ABS(F703), F703=0, 0), ""))</f>
        <v/>
      </c>
      <c r="H703" s="1"/>
      <c r="I703" s="4" t="str">
        <f>IF(Bet_Log[[#This Row],[Result ]]="", "", IF(Bet_Log[[#This Row],[Result ]]="Win", Bet_Log[[#This Row],[Stake]]*Bet_Log[[#This Row],[Decimal]]-Bet_Log[[#This Row],[Stake]], IF(Bet_Log[[#This Row],[Result ]]="Loss", -Bet_Log[[#This Row],[Stake]], IF(Bet_Log[[#This Row],[Result ]]="Push", 0, ""))))</f>
        <v/>
      </c>
      <c r="J703" s="2" t="str">
        <f>IF(Bet_Log[[#This Row],[Return]]="", "", J702 + Bet_Log[[#This Row],[Return]])</f>
        <v/>
      </c>
      <c r="K703" s="9"/>
    </row>
    <row r="704" spans="1:11" x14ac:dyDescent="0.2">
      <c r="A704" s="27"/>
      <c r="B704" s="1"/>
      <c r="C704" s="6"/>
      <c r="D704" s="1"/>
      <c r="E704" s="7"/>
      <c r="F704" s="8"/>
      <c r="G704" s="3" t="str" cm="1">
        <f t="array" ref="G704">IF(ISBLANK(F704), "", IFERROR(_xlfn.IFS(LEFT(F704,1)="+", (VALUE(MID(F704,2,LEN(F704)))+100)/100, VALUE(F704)&gt;0, (F704+100)/100, VALUE(F704)&lt;0, (ABS(F704)+100)/ABS(F704), F704=0, 0), ""))</f>
        <v/>
      </c>
      <c r="H704" s="1"/>
      <c r="I704" s="4" t="str">
        <f>IF(Bet_Log[[#This Row],[Result ]]="", "", IF(Bet_Log[[#This Row],[Result ]]="Win", Bet_Log[[#This Row],[Stake]]*Bet_Log[[#This Row],[Decimal]]-Bet_Log[[#This Row],[Stake]], IF(Bet_Log[[#This Row],[Result ]]="Loss", -Bet_Log[[#This Row],[Stake]], IF(Bet_Log[[#This Row],[Result ]]="Push", 0, ""))))</f>
        <v/>
      </c>
      <c r="J704" s="2" t="str">
        <f>IF(Bet_Log[[#This Row],[Return]]="", "", J703 + Bet_Log[[#This Row],[Return]])</f>
        <v/>
      </c>
      <c r="K704" s="9"/>
    </row>
    <row r="705" spans="1:11" x14ac:dyDescent="0.2">
      <c r="A705" s="27"/>
      <c r="B705" s="1"/>
      <c r="C705" s="6"/>
      <c r="D705" s="1"/>
      <c r="E705" s="7"/>
      <c r="F705" s="8"/>
      <c r="G705" s="3" t="str" cm="1">
        <f t="array" ref="G705">IF(ISBLANK(F705), "", IFERROR(_xlfn.IFS(LEFT(F705,1)="+", (VALUE(MID(F705,2,LEN(F705)))+100)/100, VALUE(F705)&gt;0, (F705+100)/100, VALUE(F705)&lt;0, (ABS(F705)+100)/ABS(F705), F705=0, 0), ""))</f>
        <v/>
      </c>
      <c r="H705" s="1"/>
      <c r="I705" s="4" t="str">
        <f>IF(Bet_Log[[#This Row],[Result ]]="", "", IF(Bet_Log[[#This Row],[Result ]]="Win", Bet_Log[[#This Row],[Stake]]*Bet_Log[[#This Row],[Decimal]]-Bet_Log[[#This Row],[Stake]], IF(Bet_Log[[#This Row],[Result ]]="Loss", -Bet_Log[[#This Row],[Stake]], IF(Bet_Log[[#This Row],[Result ]]="Push", 0, ""))))</f>
        <v/>
      </c>
      <c r="J705" s="2" t="str">
        <f>IF(Bet_Log[[#This Row],[Return]]="", "", J704 + Bet_Log[[#This Row],[Return]])</f>
        <v/>
      </c>
      <c r="K705" s="9"/>
    </row>
    <row r="706" spans="1:11" x14ac:dyDescent="0.2">
      <c r="A706" s="27"/>
      <c r="B706" s="1"/>
      <c r="C706" s="6"/>
      <c r="D706" s="1"/>
      <c r="E706" s="7"/>
      <c r="F706" s="8"/>
      <c r="G706" s="3" t="str" cm="1">
        <f t="array" ref="G706">IF(ISBLANK(F706), "", IFERROR(_xlfn.IFS(LEFT(F706,1)="+", (VALUE(MID(F706,2,LEN(F706)))+100)/100, VALUE(F706)&gt;0, (F706+100)/100, VALUE(F706)&lt;0, (ABS(F706)+100)/ABS(F706), F706=0, 0), ""))</f>
        <v/>
      </c>
      <c r="H706" s="1"/>
      <c r="I706" s="4" t="str">
        <f>IF(Bet_Log[[#This Row],[Result ]]="", "", IF(Bet_Log[[#This Row],[Result ]]="Win", Bet_Log[[#This Row],[Stake]]*Bet_Log[[#This Row],[Decimal]]-Bet_Log[[#This Row],[Stake]], IF(Bet_Log[[#This Row],[Result ]]="Loss", -Bet_Log[[#This Row],[Stake]], IF(Bet_Log[[#This Row],[Result ]]="Push", 0, ""))))</f>
        <v/>
      </c>
      <c r="J706" s="2" t="str">
        <f>IF(Bet_Log[[#This Row],[Return]]="", "", J705 + Bet_Log[[#This Row],[Return]])</f>
        <v/>
      </c>
      <c r="K706" s="9"/>
    </row>
    <row r="707" spans="1:11" x14ac:dyDescent="0.2">
      <c r="A707" s="27"/>
      <c r="B707" s="1"/>
      <c r="C707" s="6"/>
      <c r="D707" s="1"/>
      <c r="E707" s="7"/>
      <c r="F707" s="8"/>
      <c r="G707" s="3" t="str" cm="1">
        <f t="array" ref="G707">IF(ISBLANK(F707), "", IFERROR(_xlfn.IFS(LEFT(F707,1)="+", (VALUE(MID(F707,2,LEN(F707)))+100)/100, VALUE(F707)&gt;0, (F707+100)/100, VALUE(F707)&lt;0, (ABS(F707)+100)/ABS(F707), F707=0, 0), ""))</f>
        <v/>
      </c>
      <c r="H707" s="1"/>
      <c r="I707" s="4" t="str">
        <f>IF(Bet_Log[[#This Row],[Result ]]="", "", IF(Bet_Log[[#This Row],[Result ]]="Win", Bet_Log[[#This Row],[Stake]]*Bet_Log[[#This Row],[Decimal]]-Bet_Log[[#This Row],[Stake]], IF(Bet_Log[[#This Row],[Result ]]="Loss", -Bet_Log[[#This Row],[Stake]], IF(Bet_Log[[#This Row],[Result ]]="Push", 0, ""))))</f>
        <v/>
      </c>
      <c r="J707" s="2" t="str">
        <f>IF(Bet_Log[[#This Row],[Return]]="", "", J706 + Bet_Log[[#This Row],[Return]])</f>
        <v/>
      </c>
      <c r="K707" s="9"/>
    </row>
    <row r="708" spans="1:11" x14ac:dyDescent="0.2">
      <c r="A708" s="27"/>
      <c r="B708" s="1"/>
      <c r="C708" s="6"/>
      <c r="D708" s="1"/>
      <c r="E708" s="7"/>
      <c r="F708" s="8"/>
      <c r="G708" s="3" t="str" cm="1">
        <f t="array" ref="G708">IF(ISBLANK(F708), "", IFERROR(_xlfn.IFS(LEFT(F708,1)="+", (VALUE(MID(F708,2,LEN(F708)))+100)/100, VALUE(F708)&gt;0, (F708+100)/100, VALUE(F708)&lt;0, (ABS(F708)+100)/ABS(F708), F708=0, 0), ""))</f>
        <v/>
      </c>
      <c r="H708" s="1"/>
      <c r="I708" s="4" t="str">
        <f>IF(Bet_Log[[#This Row],[Result ]]="", "", IF(Bet_Log[[#This Row],[Result ]]="Win", Bet_Log[[#This Row],[Stake]]*Bet_Log[[#This Row],[Decimal]]-Bet_Log[[#This Row],[Stake]], IF(Bet_Log[[#This Row],[Result ]]="Loss", -Bet_Log[[#This Row],[Stake]], IF(Bet_Log[[#This Row],[Result ]]="Push", 0, ""))))</f>
        <v/>
      </c>
      <c r="J708" s="2" t="str">
        <f>IF(Bet_Log[[#This Row],[Return]]="", "", J707 + Bet_Log[[#This Row],[Return]])</f>
        <v/>
      </c>
      <c r="K708" s="9"/>
    </row>
    <row r="709" spans="1:11" x14ac:dyDescent="0.2">
      <c r="A709" s="27"/>
      <c r="B709" s="1"/>
      <c r="C709" s="6"/>
      <c r="D709" s="1"/>
      <c r="E709" s="7"/>
      <c r="F709" s="8"/>
      <c r="G709" s="3" t="str" cm="1">
        <f t="array" ref="G709">IF(ISBLANK(F709), "", IFERROR(_xlfn.IFS(LEFT(F709,1)="+", (VALUE(MID(F709,2,LEN(F709)))+100)/100, VALUE(F709)&gt;0, (F709+100)/100, VALUE(F709)&lt;0, (ABS(F709)+100)/ABS(F709), F709=0, 0), ""))</f>
        <v/>
      </c>
      <c r="H709" s="1"/>
      <c r="I709" s="4" t="str">
        <f>IF(Bet_Log[[#This Row],[Result ]]="", "", IF(Bet_Log[[#This Row],[Result ]]="Win", Bet_Log[[#This Row],[Stake]]*Bet_Log[[#This Row],[Decimal]]-Bet_Log[[#This Row],[Stake]], IF(Bet_Log[[#This Row],[Result ]]="Loss", -Bet_Log[[#This Row],[Stake]], IF(Bet_Log[[#This Row],[Result ]]="Push", 0, ""))))</f>
        <v/>
      </c>
      <c r="J709" s="2" t="str">
        <f>IF(Bet_Log[[#This Row],[Return]]="", "", J708 + Bet_Log[[#This Row],[Return]])</f>
        <v/>
      </c>
      <c r="K709" s="9"/>
    </row>
    <row r="710" spans="1:11" x14ac:dyDescent="0.2">
      <c r="A710" s="27"/>
      <c r="B710" s="1"/>
      <c r="C710" s="6"/>
      <c r="D710" s="1"/>
      <c r="E710" s="7"/>
      <c r="F710" s="8"/>
      <c r="G710" s="3" t="str" cm="1">
        <f t="array" ref="G710">IF(ISBLANK(F710), "", IFERROR(_xlfn.IFS(LEFT(F710,1)="+", (VALUE(MID(F710,2,LEN(F710)))+100)/100, VALUE(F710)&gt;0, (F710+100)/100, VALUE(F710)&lt;0, (ABS(F710)+100)/ABS(F710), F710=0, 0), ""))</f>
        <v/>
      </c>
      <c r="H710" s="1"/>
      <c r="I710" s="4" t="str">
        <f>IF(Bet_Log[[#This Row],[Result ]]="", "", IF(Bet_Log[[#This Row],[Result ]]="Win", Bet_Log[[#This Row],[Stake]]*Bet_Log[[#This Row],[Decimal]]-Bet_Log[[#This Row],[Stake]], IF(Bet_Log[[#This Row],[Result ]]="Loss", -Bet_Log[[#This Row],[Stake]], IF(Bet_Log[[#This Row],[Result ]]="Push", 0, ""))))</f>
        <v/>
      </c>
      <c r="J710" s="2" t="str">
        <f>IF(Bet_Log[[#This Row],[Return]]="", "", J709 + Bet_Log[[#This Row],[Return]])</f>
        <v/>
      </c>
      <c r="K710" s="9"/>
    </row>
    <row r="711" spans="1:11" x14ac:dyDescent="0.2">
      <c r="A711" s="27"/>
      <c r="B711" s="1"/>
      <c r="C711" s="6"/>
      <c r="D711" s="1"/>
      <c r="E711" s="7"/>
      <c r="F711" s="8"/>
      <c r="G711" s="3" t="str" cm="1">
        <f t="array" ref="G711">IF(ISBLANK(F711), "", IFERROR(_xlfn.IFS(LEFT(F711,1)="+", (VALUE(MID(F711,2,LEN(F711)))+100)/100, VALUE(F711)&gt;0, (F711+100)/100, VALUE(F711)&lt;0, (ABS(F711)+100)/ABS(F711), F711=0, 0), ""))</f>
        <v/>
      </c>
      <c r="H711" s="1"/>
      <c r="I711" s="4" t="str">
        <f>IF(Bet_Log[[#This Row],[Result ]]="", "", IF(Bet_Log[[#This Row],[Result ]]="Win", Bet_Log[[#This Row],[Stake]]*Bet_Log[[#This Row],[Decimal]]-Bet_Log[[#This Row],[Stake]], IF(Bet_Log[[#This Row],[Result ]]="Loss", -Bet_Log[[#This Row],[Stake]], IF(Bet_Log[[#This Row],[Result ]]="Push", 0, ""))))</f>
        <v/>
      </c>
      <c r="J711" s="2" t="str">
        <f>IF(Bet_Log[[#This Row],[Return]]="", "", J710 + Bet_Log[[#This Row],[Return]])</f>
        <v/>
      </c>
      <c r="K711" s="9"/>
    </row>
    <row r="712" spans="1:11" x14ac:dyDescent="0.2">
      <c r="A712" s="27"/>
      <c r="B712" s="1"/>
      <c r="C712" s="6"/>
      <c r="D712" s="1"/>
      <c r="E712" s="7"/>
      <c r="F712" s="8"/>
      <c r="G712" s="3" t="str" cm="1">
        <f t="array" ref="G712">IF(ISBLANK(F712), "", IFERROR(_xlfn.IFS(LEFT(F712,1)="+", (VALUE(MID(F712,2,LEN(F712)))+100)/100, VALUE(F712)&gt;0, (F712+100)/100, VALUE(F712)&lt;0, (ABS(F712)+100)/ABS(F712), F712=0, 0), ""))</f>
        <v/>
      </c>
      <c r="H712" s="1"/>
      <c r="I712" s="4" t="str">
        <f>IF(Bet_Log[[#This Row],[Result ]]="", "", IF(Bet_Log[[#This Row],[Result ]]="Win", Bet_Log[[#This Row],[Stake]]*Bet_Log[[#This Row],[Decimal]]-Bet_Log[[#This Row],[Stake]], IF(Bet_Log[[#This Row],[Result ]]="Loss", -Bet_Log[[#This Row],[Stake]], IF(Bet_Log[[#This Row],[Result ]]="Push", 0, ""))))</f>
        <v/>
      </c>
      <c r="J712" s="2" t="str">
        <f>IF(Bet_Log[[#This Row],[Return]]="", "", J711 + Bet_Log[[#This Row],[Return]])</f>
        <v/>
      </c>
      <c r="K712" s="9"/>
    </row>
    <row r="713" spans="1:11" x14ac:dyDescent="0.2">
      <c r="A713" s="27"/>
      <c r="B713" s="1"/>
      <c r="C713" s="6"/>
      <c r="D713" s="1"/>
      <c r="E713" s="7"/>
      <c r="F713" s="8"/>
      <c r="G713" s="3" t="str" cm="1">
        <f t="array" ref="G713">IF(ISBLANK(F713), "", IFERROR(_xlfn.IFS(LEFT(F713,1)="+", (VALUE(MID(F713,2,LEN(F713)))+100)/100, VALUE(F713)&gt;0, (F713+100)/100, VALUE(F713)&lt;0, (ABS(F713)+100)/ABS(F713), F713=0, 0), ""))</f>
        <v/>
      </c>
      <c r="H713" s="1"/>
      <c r="I713" s="4" t="str">
        <f>IF(Bet_Log[[#This Row],[Result ]]="", "", IF(Bet_Log[[#This Row],[Result ]]="Win", Bet_Log[[#This Row],[Stake]]*Bet_Log[[#This Row],[Decimal]]-Bet_Log[[#This Row],[Stake]], IF(Bet_Log[[#This Row],[Result ]]="Loss", -Bet_Log[[#This Row],[Stake]], IF(Bet_Log[[#This Row],[Result ]]="Push", 0, ""))))</f>
        <v/>
      </c>
      <c r="J713" s="2" t="str">
        <f>IF(Bet_Log[[#This Row],[Return]]="", "", J712 + Bet_Log[[#This Row],[Return]])</f>
        <v/>
      </c>
      <c r="K713" s="9"/>
    </row>
    <row r="714" spans="1:11" x14ac:dyDescent="0.2">
      <c r="A714" s="27"/>
      <c r="B714" s="1"/>
      <c r="C714" s="6"/>
      <c r="D714" s="1"/>
      <c r="E714" s="7"/>
      <c r="F714" s="8"/>
      <c r="G714" s="3" t="str" cm="1">
        <f t="array" ref="G714">IF(ISBLANK(F714), "", IFERROR(_xlfn.IFS(LEFT(F714,1)="+", (VALUE(MID(F714,2,LEN(F714)))+100)/100, VALUE(F714)&gt;0, (F714+100)/100, VALUE(F714)&lt;0, (ABS(F714)+100)/ABS(F714), F714=0, 0), ""))</f>
        <v/>
      </c>
      <c r="H714" s="1"/>
      <c r="I714" s="4" t="str">
        <f>IF(Bet_Log[[#This Row],[Result ]]="", "", IF(Bet_Log[[#This Row],[Result ]]="Win", Bet_Log[[#This Row],[Stake]]*Bet_Log[[#This Row],[Decimal]]-Bet_Log[[#This Row],[Stake]], IF(Bet_Log[[#This Row],[Result ]]="Loss", -Bet_Log[[#This Row],[Stake]], IF(Bet_Log[[#This Row],[Result ]]="Push", 0, ""))))</f>
        <v/>
      </c>
      <c r="J714" s="2" t="str">
        <f>IF(Bet_Log[[#This Row],[Return]]="", "", J713 + Bet_Log[[#This Row],[Return]])</f>
        <v/>
      </c>
      <c r="K714" s="9"/>
    </row>
    <row r="715" spans="1:11" x14ac:dyDescent="0.2">
      <c r="A715" s="27"/>
      <c r="B715" s="1"/>
      <c r="C715" s="6"/>
      <c r="D715" s="1"/>
      <c r="E715" s="7"/>
      <c r="F715" s="8"/>
      <c r="G715" s="3" t="str" cm="1">
        <f t="array" ref="G715">IF(ISBLANK(F715), "", IFERROR(_xlfn.IFS(LEFT(F715,1)="+", (VALUE(MID(F715,2,LEN(F715)))+100)/100, VALUE(F715)&gt;0, (F715+100)/100, VALUE(F715)&lt;0, (ABS(F715)+100)/ABS(F715), F715=0, 0), ""))</f>
        <v/>
      </c>
      <c r="H715" s="1"/>
      <c r="I715" s="4" t="str">
        <f>IF(Bet_Log[[#This Row],[Result ]]="", "", IF(Bet_Log[[#This Row],[Result ]]="Win", Bet_Log[[#This Row],[Stake]]*Bet_Log[[#This Row],[Decimal]]-Bet_Log[[#This Row],[Stake]], IF(Bet_Log[[#This Row],[Result ]]="Loss", -Bet_Log[[#This Row],[Stake]], IF(Bet_Log[[#This Row],[Result ]]="Push", 0, ""))))</f>
        <v/>
      </c>
      <c r="J715" s="2" t="str">
        <f>IF(Bet_Log[[#This Row],[Return]]="", "", J714 + Bet_Log[[#This Row],[Return]])</f>
        <v/>
      </c>
      <c r="K715" s="9"/>
    </row>
    <row r="716" spans="1:11" x14ac:dyDescent="0.2">
      <c r="A716" s="27"/>
      <c r="B716" s="1"/>
      <c r="C716" s="6"/>
      <c r="D716" s="1"/>
      <c r="E716" s="7"/>
      <c r="F716" s="8"/>
      <c r="G716" s="3" t="str" cm="1">
        <f t="array" ref="G716">IF(ISBLANK(F716), "", IFERROR(_xlfn.IFS(LEFT(F716,1)="+", (VALUE(MID(F716,2,LEN(F716)))+100)/100, VALUE(F716)&gt;0, (F716+100)/100, VALUE(F716)&lt;0, (ABS(F716)+100)/ABS(F716), F716=0, 0), ""))</f>
        <v/>
      </c>
      <c r="H716" s="1"/>
      <c r="I716" s="4" t="str">
        <f>IF(Bet_Log[[#This Row],[Result ]]="", "", IF(Bet_Log[[#This Row],[Result ]]="Win", Bet_Log[[#This Row],[Stake]]*Bet_Log[[#This Row],[Decimal]]-Bet_Log[[#This Row],[Stake]], IF(Bet_Log[[#This Row],[Result ]]="Loss", -Bet_Log[[#This Row],[Stake]], IF(Bet_Log[[#This Row],[Result ]]="Push", 0, ""))))</f>
        <v/>
      </c>
      <c r="J716" s="2" t="str">
        <f>IF(Bet_Log[[#This Row],[Return]]="", "", J715 + Bet_Log[[#This Row],[Return]])</f>
        <v/>
      </c>
      <c r="K716" s="9"/>
    </row>
    <row r="717" spans="1:11" x14ac:dyDescent="0.2">
      <c r="A717" s="27"/>
      <c r="B717" s="1"/>
      <c r="C717" s="6"/>
      <c r="D717" s="1"/>
      <c r="E717" s="7"/>
      <c r="F717" s="8"/>
      <c r="G717" s="3" t="str" cm="1">
        <f t="array" ref="G717">IF(ISBLANK(F717), "", IFERROR(_xlfn.IFS(LEFT(F717,1)="+", (VALUE(MID(F717,2,LEN(F717)))+100)/100, VALUE(F717)&gt;0, (F717+100)/100, VALUE(F717)&lt;0, (ABS(F717)+100)/ABS(F717), F717=0, 0), ""))</f>
        <v/>
      </c>
      <c r="H717" s="1"/>
      <c r="I717" s="4" t="str">
        <f>IF(Bet_Log[[#This Row],[Result ]]="", "", IF(Bet_Log[[#This Row],[Result ]]="Win", Bet_Log[[#This Row],[Stake]]*Bet_Log[[#This Row],[Decimal]]-Bet_Log[[#This Row],[Stake]], IF(Bet_Log[[#This Row],[Result ]]="Loss", -Bet_Log[[#This Row],[Stake]], IF(Bet_Log[[#This Row],[Result ]]="Push", 0, ""))))</f>
        <v/>
      </c>
      <c r="J717" s="2" t="str">
        <f>IF(Bet_Log[[#This Row],[Return]]="", "", J716 + Bet_Log[[#This Row],[Return]])</f>
        <v/>
      </c>
      <c r="K717" s="9"/>
    </row>
    <row r="718" spans="1:11" x14ac:dyDescent="0.2">
      <c r="A718" s="27"/>
      <c r="B718" s="1"/>
      <c r="C718" s="6"/>
      <c r="D718" s="1"/>
      <c r="E718" s="7"/>
      <c r="F718" s="8"/>
      <c r="G718" s="3" t="str" cm="1">
        <f t="array" ref="G718">IF(ISBLANK(F718), "", IFERROR(_xlfn.IFS(LEFT(F718,1)="+", (VALUE(MID(F718,2,LEN(F718)))+100)/100, VALUE(F718)&gt;0, (F718+100)/100, VALUE(F718)&lt;0, (ABS(F718)+100)/ABS(F718), F718=0, 0), ""))</f>
        <v/>
      </c>
      <c r="H718" s="1"/>
      <c r="I718" s="4" t="str">
        <f>IF(Bet_Log[[#This Row],[Result ]]="", "", IF(Bet_Log[[#This Row],[Result ]]="Win", Bet_Log[[#This Row],[Stake]]*Bet_Log[[#This Row],[Decimal]]-Bet_Log[[#This Row],[Stake]], IF(Bet_Log[[#This Row],[Result ]]="Loss", -Bet_Log[[#This Row],[Stake]], IF(Bet_Log[[#This Row],[Result ]]="Push", 0, ""))))</f>
        <v/>
      </c>
      <c r="J718" s="2" t="str">
        <f>IF(Bet_Log[[#This Row],[Return]]="", "", J717 + Bet_Log[[#This Row],[Return]])</f>
        <v/>
      </c>
      <c r="K718" s="9"/>
    </row>
    <row r="719" spans="1:11" x14ac:dyDescent="0.2">
      <c r="A719" s="27"/>
      <c r="B719" s="1"/>
      <c r="C719" s="6"/>
      <c r="D719" s="1"/>
      <c r="E719" s="7"/>
      <c r="F719" s="8"/>
      <c r="G719" s="3" t="str" cm="1">
        <f t="array" ref="G719">IF(ISBLANK(F719), "", IFERROR(_xlfn.IFS(LEFT(F719,1)="+", (VALUE(MID(F719,2,LEN(F719)))+100)/100, VALUE(F719)&gt;0, (F719+100)/100, VALUE(F719)&lt;0, (ABS(F719)+100)/ABS(F719), F719=0, 0), ""))</f>
        <v/>
      </c>
      <c r="H719" s="1"/>
      <c r="I719" s="4" t="str">
        <f>IF(Bet_Log[[#This Row],[Result ]]="", "", IF(Bet_Log[[#This Row],[Result ]]="Win", Bet_Log[[#This Row],[Stake]]*Bet_Log[[#This Row],[Decimal]]-Bet_Log[[#This Row],[Stake]], IF(Bet_Log[[#This Row],[Result ]]="Loss", -Bet_Log[[#This Row],[Stake]], IF(Bet_Log[[#This Row],[Result ]]="Push", 0, ""))))</f>
        <v/>
      </c>
      <c r="J719" s="2" t="str">
        <f>IF(Bet_Log[[#This Row],[Return]]="", "", J718 + Bet_Log[[#This Row],[Return]])</f>
        <v/>
      </c>
      <c r="K719" s="9"/>
    </row>
    <row r="720" spans="1:11" x14ac:dyDescent="0.2">
      <c r="A720" s="27"/>
      <c r="B720" s="1"/>
      <c r="C720" s="6"/>
      <c r="D720" s="1"/>
      <c r="E720" s="7"/>
      <c r="F720" s="8"/>
      <c r="G720" s="3" t="str" cm="1">
        <f t="array" ref="G720">IF(ISBLANK(F720), "", IFERROR(_xlfn.IFS(LEFT(F720,1)="+", (VALUE(MID(F720,2,LEN(F720)))+100)/100, VALUE(F720)&gt;0, (F720+100)/100, VALUE(F720)&lt;0, (ABS(F720)+100)/ABS(F720), F720=0, 0), ""))</f>
        <v/>
      </c>
      <c r="H720" s="1"/>
      <c r="I720" s="4" t="str">
        <f>IF(Bet_Log[[#This Row],[Result ]]="", "", IF(Bet_Log[[#This Row],[Result ]]="Win", Bet_Log[[#This Row],[Stake]]*Bet_Log[[#This Row],[Decimal]]-Bet_Log[[#This Row],[Stake]], IF(Bet_Log[[#This Row],[Result ]]="Loss", -Bet_Log[[#This Row],[Stake]], IF(Bet_Log[[#This Row],[Result ]]="Push", 0, ""))))</f>
        <v/>
      </c>
      <c r="J720" s="2" t="str">
        <f>IF(Bet_Log[[#This Row],[Return]]="", "", J719 + Bet_Log[[#This Row],[Return]])</f>
        <v/>
      </c>
      <c r="K720" s="9"/>
    </row>
    <row r="721" spans="1:11" x14ac:dyDescent="0.2">
      <c r="A721" s="27"/>
      <c r="B721" s="1"/>
      <c r="C721" s="6"/>
      <c r="D721" s="1"/>
      <c r="E721" s="7"/>
      <c r="F721" s="8"/>
      <c r="G721" s="3" t="str" cm="1">
        <f t="array" ref="G721">IF(ISBLANK(F721), "", IFERROR(_xlfn.IFS(LEFT(F721,1)="+", (VALUE(MID(F721,2,LEN(F721)))+100)/100, VALUE(F721)&gt;0, (F721+100)/100, VALUE(F721)&lt;0, (ABS(F721)+100)/ABS(F721), F721=0, 0), ""))</f>
        <v/>
      </c>
      <c r="H721" s="1"/>
      <c r="I721" s="4" t="str">
        <f>IF(Bet_Log[[#This Row],[Result ]]="", "", IF(Bet_Log[[#This Row],[Result ]]="Win", Bet_Log[[#This Row],[Stake]]*Bet_Log[[#This Row],[Decimal]]-Bet_Log[[#This Row],[Stake]], IF(Bet_Log[[#This Row],[Result ]]="Loss", -Bet_Log[[#This Row],[Stake]], IF(Bet_Log[[#This Row],[Result ]]="Push", 0, ""))))</f>
        <v/>
      </c>
      <c r="J721" s="2" t="str">
        <f>IF(Bet_Log[[#This Row],[Return]]="", "", J720 + Bet_Log[[#This Row],[Return]])</f>
        <v/>
      </c>
      <c r="K721" s="9"/>
    </row>
    <row r="722" spans="1:11" x14ac:dyDescent="0.2">
      <c r="A722" s="27"/>
      <c r="B722" s="1"/>
      <c r="C722" s="6"/>
      <c r="D722" s="1"/>
      <c r="E722" s="7"/>
      <c r="F722" s="8"/>
      <c r="G722" s="3" t="str" cm="1">
        <f t="array" ref="G722">IF(ISBLANK(F722), "", IFERROR(_xlfn.IFS(LEFT(F722,1)="+", (VALUE(MID(F722,2,LEN(F722)))+100)/100, VALUE(F722)&gt;0, (F722+100)/100, VALUE(F722)&lt;0, (ABS(F722)+100)/ABS(F722), F722=0, 0), ""))</f>
        <v/>
      </c>
      <c r="H722" s="1"/>
      <c r="I722" s="4" t="str">
        <f>IF(Bet_Log[[#This Row],[Result ]]="", "", IF(Bet_Log[[#This Row],[Result ]]="Win", Bet_Log[[#This Row],[Stake]]*Bet_Log[[#This Row],[Decimal]]-Bet_Log[[#This Row],[Stake]], IF(Bet_Log[[#This Row],[Result ]]="Loss", -Bet_Log[[#This Row],[Stake]], IF(Bet_Log[[#This Row],[Result ]]="Push", 0, ""))))</f>
        <v/>
      </c>
      <c r="J722" s="2" t="str">
        <f>IF(Bet_Log[[#This Row],[Return]]="", "", J721 + Bet_Log[[#This Row],[Return]])</f>
        <v/>
      </c>
      <c r="K722" s="9"/>
    </row>
    <row r="723" spans="1:11" x14ac:dyDescent="0.2">
      <c r="A723" s="27"/>
      <c r="B723" s="1"/>
      <c r="C723" s="6"/>
      <c r="D723" s="1"/>
      <c r="E723" s="7"/>
      <c r="F723" s="8"/>
      <c r="G723" s="3" t="str" cm="1">
        <f t="array" ref="G723">IF(ISBLANK(F723), "", IFERROR(_xlfn.IFS(LEFT(F723,1)="+", (VALUE(MID(F723,2,LEN(F723)))+100)/100, VALUE(F723)&gt;0, (F723+100)/100, VALUE(F723)&lt;0, (ABS(F723)+100)/ABS(F723), F723=0, 0), ""))</f>
        <v/>
      </c>
      <c r="H723" s="1"/>
      <c r="I723" s="4" t="str">
        <f>IF(Bet_Log[[#This Row],[Result ]]="", "", IF(Bet_Log[[#This Row],[Result ]]="Win", Bet_Log[[#This Row],[Stake]]*Bet_Log[[#This Row],[Decimal]]-Bet_Log[[#This Row],[Stake]], IF(Bet_Log[[#This Row],[Result ]]="Loss", -Bet_Log[[#This Row],[Stake]], IF(Bet_Log[[#This Row],[Result ]]="Push", 0, ""))))</f>
        <v/>
      </c>
      <c r="J723" s="2" t="str">
        <f>IF(Bet_Log[[#This Row],[Return]]="", "", J722 + Bet_Log[[#This Row],[Return]])</f>
        <v/>
      </c>
      <c r="K723" s="9"/>
    </row>
    <row r="724" spans="1:11" x14ac:dyDescent="0.2">
      <c r="A724" s="27"/>
      <c r="B724" s="1"/>
      <c r="C724" s="6"/>
      <c r="D724" s="1"/>
      <c r="E724" s="7"/>
      <c r="F724" s="8"/>
      <c r="G724" s="3" t="str" cm="1">
        <f t="array" ref="G724">IF(ISBLANK(F724), "", IFERROR(_xlfn.IFS(LEFT(F724,1)="+", (VALUE(MID(F724,2,LEN(F724)))+100)/100, VALUE(F724)&gt;0, (F724+100)/100, VALUE(F724)&lt;0, (ABS(F724)+100)/ABS(F724), F724=0, 0), ""))</f>
        <v/>
      </c>
      <c r="H724" s="1"/>
      <c r="I724" s="4" t="str">
        <f>IF(Bet_Log[[#This Row],[Result ]]="", "", IF(Bet_Log[[#This Row],[Result ]]="Win", Bet_Log[[#This Row],[Stake]]*Bet_Log[[#This Row],[Decimal]]-Bet_Log[[#This Row],[Stake]], IF(Bet_Log[[#This Row],[Result ]]="Loss", -Bet_Log[[#This Row],[Stake]], IF(Bet_Log[[#This Row],[Result ]]="Push", 0, ""))))</f>
        <v/>
      </c>
      <c r="J724" s="2" t="str">
        <f>IF(Bet_Log[[#This Row],[Return]]="", "", J723 + Bet_Log[[#This Row],[Return]])</f>
        <v/>
      </c>
      <c r="K724" s="9"/>
    </row>
    <row r="725" spans="1:11" x14ac:dyDescent="0.2">
      <c r="A725" s="27"/>
      <c r="B725" s="1"/>
      <c r="C725" s="6"/>
      <c r="D725" s="1"/>
      <c r="E725" s="7"/>
      <c r="F725" s="8"/>
      <c r="G725" s="3" t="str" cm="1">
        <f t="array" ref="G725">IF(ISBLANK(F725), "", IFERROR(_xlfn.IFS(LEFT(F725,1)="+", (VALUE(MID(F725,2,LEN(F725)))+100)/100, VALUE(F725)&gt;0, (F725+100)/100, VALUE(F725)&lt;0, (ABS(F725)+100)/ABS(F725), F725=0, 0), ""))</f>
        <v/>
      </c>
      <c r="H725" s="1"/>
      <c r="I725" s="4" t="str">
        <f>IF(Bet_Log[[#This Row],[Result ]]="", "", IF(Bet_Log[[#This Row],[Result ]]="Win", Bet_Log[[#This Row],[Stake]]*Bet_Log[[#This Row],[Decimal]]-Bet_Log[[#This Row],[Stake]], IF(Bet_Log[[#This Row],[Result ]]="Loss", -Bet_Log[[#This Row],[Stake]], IF(Bet_Log[[#This Row],[Result ]]="Push", 0, ""))))</f>
        <v/>
      </c>
      <c r="J725" s="2" t="str">
        <f>IF(Bet_Log[[#This Row],[Return]]="", "", J724 + Bet_Log[[#This Row],[Return]])</f>
        <v/>
      </c>
      <c r="K725" s="9"/>
    </row>
    <row r="726" spans="1:11" x14ac:dyDescent="0.2">
      <c r="A726" s="27"/>
      <c r="B726" s="1"/>
      <c r="C726" s="6"/>
      <c r="D726" s="1"/>
      <c r="E726" s="7"/>
      <c r="F726" s="8"/>
      <c r="G726" s="3" t="str" cm="1">
        <f t="array" ref="G726">IF(ISBLANK(F726), "", IFERROR(_xlfn.IFS(LEFT(F726,1)="+", (VALUE(MID(F726,2,LEN(F726)))+100)/100, VALUE(F726)&gt;0, (F726+100)/100, VALUE(F726)&lt;0, (ABS(F726)+100)/ABS(F726), F726=0, 0), ""))</f>
        <v/>
      </c>
      <c r="H726" s="1"/>
      <c r="I726" s="4" t="str">
        <f>IF(Bet_Log[[#This Row],[Result ]]="", "", IF(Bet_Log[[#This Row],[Result ]]="Win", Bet_Log[[#This Row],[Stake]]*Bet_Log[[#This Row],[Decimal]]-Bet_Log[[#This Row],[Stake]], IF(Bet_Log[[#This Row],[Result ]]="Loss", -Bet_Log[[#This Row],[Stake]], IF(Bet_Log[[#This Row],[Result ]]="Push", 0, ""))))</f>
        <v/>
      </c>
      <c r="J726" s="2" t="str">
        <f>IF(Bet_Log[[#This Row],[Return]]="", "", J725 + Bet_Log[[#This Row],[Return]])</f>
        <v/>
      </c>
      <c r="K726" s="9"/>
    </row>
    <row r="727" spans="1:11" x14ac:dyDescent="0.2">
      <c r="A727" s="27"/>
      <c r="B727" s="1"/>
      <c r="C727" s="6"/>
      <c r="D727" s="1"/>
      <c r="E727" s="7"/>
      <c r="F727" s="8"/>
      <c r="G727" s="3" t="str" cm="1">
        <f t="array" ref="G727">IF(ISBLANK(F727), "", IFERROR(_xlfn.IFS(LEFT(F727,1)="+", (VALUE(MID(F727,2,LEN(F727)))+100)/100, VALUE(F727)&gt;0, (F727+100)/100, VALUE(F727)&lt;0, (ABS(F727)+100)/ABS(F727), F727=0, 0), ""))</f>
        <v/>
      </c>
      <c r="H727" s="1"/>
      <c r="I727" s="4" t="str">
        <f>IF(Bet_Log[[#This Row],[Result ]]="", "", IF(Bet_Log[[#This Row],[Result ]]="Win", Bet_Log[[#This Row],[Stake]]*Bet_Log[[#This Row],[Decimal]]-Bet_Log[[#This Row],[Stake]], IF(Bet_Log[[#This Row],[Result ]]="Loss", -Bet_Log[[#This Row],[Stake]], IF(Bet_Log[[#This Row],[Result ]]="Push", 0, ""))))</f>
        <v/>
      </c>
      <c r="J727" s="2" t="str">
        <f>IF(Bet_Log[[#This Row],[Return]]="", "", J726 + Bet_Log[[#This Row],[Return]])</f>
        <v/>
      </c>
      <c r="K727" s="9"/>
    </row>
    <row r="728" spans="1:11" x14ac:dyDescent="0.2">
      <c r="A728" s="27"/>
      <c r="B728" s="1"/>
      <c r="C728" s="6"/>
      <c r="D728" s="1"/>
      <c r="E728" s="7"/>
      <c r="F728" s="8"/>
      <c r="G728" s="3" t="str" cm="1">
        <f t="array" ref="G728">IF(ISBLANK(F728), "", IFERROR(_xlfn.IFS(LEFT(F728,1)="+", (VALUE(MID(F728,2,LEN(F728)))+100)/100, VALUE(F728)&gt;0, (F728+100)/100, VALUE(F728)&lt;0, (ABS(F728)+100)/ABS(F728), F728=0, 0), ""))</f>
        <v/>
      </c>
      <c r="H728" s="1"/>
      <c r="I728" s="4" t="str">
        <f>IF(Bet_Log[[#This Row],[Result ]]="", "", IF(Bet_Log[[#This Row],[Result ]]="Win", Bet_Log[[#This Row],[Stake]]*Bet_Log[[#This Row],[Decimal]]-Bet_Log[[#This Row],[Stake]], IF(Bet_Log[[#This Row],[Result ]]="Loss", -Bet_Log[[#This Row],[Stake]], IF(Bet_Log[[#This Row],[Result ]]="Push", 0, ""))))</f>
        <v/>
      </c>
      <c r="J728" s="2" t="str">
        <f>IF(Bet_Log[[#This Row],[Return]]="", "", J727 + Bet_Log[[#This Row],[Return]])</f>
        <v/>
      </c>
      <c r="K728" s="9"/>
    </row>
    <row r="729" spans="1:11" x14ac:dyDescent="0.2">
      <c r="A729" s="27"/>
      <c r="B729" s="1"/>
      <c r="C729" s="6"/>
      <c r="D729" s="1"/>
      <c r="E729" s="7"/>
      <c r="F729" s="8"/>
      <c r="G729" s="3" t="str" cm="1">
        <f t="array" ref="G729">IF(ISBLANK(F729), "", IFERROR(_xlfn.IFS(LEFT(F729,1)="+", (VALUE(MID(F729,2,LEN(F729)))+100)/100, VALUE(F729)&gt;0, (F729+100)/100, VALUE(F729)&lt;0, (ABS(F729)+100)/ABS(F729), F729=0, 0), ""))</f>
        <v/>
      </c>
      <c r="H729" s="1"/>
      <c r="I729" s="4" t="str">
        <f>IF(Bet_Log[[#This Row],[Result ]]="", "", IF(Bet_Log[[#This Row],[Result ]]="Win", Bet_Log[[#This Row],[Stake]]*Bet_Log[[#This Row],[Decimal]]-Bet_Log[[#This Row],[Stake]], IF(Bet_Log[[#This Row],[Result ]]="Loss", -Bet_Log[[#This Row],[Stake]], IF(Bet_Log[[#This Row],[Result ]]="Push", 0, ""))))</f>
        <v/>
      </c>
      <c r="J729" s="2" t="str">
        <f>IF(Bet_Log[[#This Row],[Return]]="", "", J728 + Bet_Log[[#This Row],[Return]])</f>
        <v/>
      </c>
      <c r="K729" s="9"/>
    </row>
    <row r="730" spans="1:11" x14ac:dyDescent="0.2">
      <c r="A730" s="27"/>
      <c r="B730" s="1"/>
      <c r="C730" s="6"/>
      <c r="D730" s="1"/>
      <c r="E730" s="7"/>
      <c r="F730" s="8"/>
      <c r="G730" s="3" t="str" cm="1">
        <f t="array" ref="G730">IF(ISBLANK(F730), "", IFERROR(_xlfn.IFS(LEFT(F730,1)="+", (VALUE(MID(F730,2,LEN(F730)))+100)/100, VALUE(F730)&gt;0, (F730+100)/100, VALUE(F730)&lt;0, (ABS(F730)+100)/ABS(F730), F730=0, 0), ""))</f>
        <v/>
      </c>
      <c r="H730" s="1"/>
      <c r="I730" s="4" t="str">
        <f>IF(Bet_Log[[#This Row],[Result ]]="", "", IF(Bet_Log[[#This Row],[Result ]]="Win", Bet_Log[[#This Row],[Stake]]*Bet_Log[[#This Row],[Decimal]]-Bet_Log[[#This Row],[Stake]], IF(Bet_Log[[#This Row],[Result ]]="Loss", -Bet_Log[[#This Row],[Stake]], IF(Bet_Log[[#This Row],[Result ]]="Push", 0, ""))))</f>
        <v/>
      </c>
      <c r="J730" s="2" t="str">
        <f>IF(Bet_Log[[#This Row],[Return]]="", "", J729 + Bet_Log[[#This Row],[Return]])</f>
        <v/>
      </c>
      <c r="K730" s="9"/>
    </row>
    <row r="731" spans="1:11" x14ac:dyDescent="0.2">
      <c r="A731" s="27"/>
      <c r="B731" s="1"/>
      <c r="C731" s="6"/>
      <c r="D731" s="1"/>
      <c r="E731" s="7"/>
      <c r="F731" s="8"/>
      <c r="G731" s="3" t="str" cm="1">
        <f t="array" ref="G731">IF(ISBLANK(F731), "", IFERROR(_xlfn.IFS(LEFT(F731,1)="+", (VALUE(MID(F731,2,LEN(F731)))+100)/100, VALUE(F731)&gt;0, (F731+100)/100, VALUE(F731)&lt;0, (ABS(F731)+100)/ABS(F731), F731=0, 0), ""))</f>
        <v/>
      </c>
      <c r="H731" s="1"/>
      <c r="I731" s="4" t="str">
        <f>IF(Bet_Log[[#This Row],[Result ]]="", "", IF(Bet_Log[[#This Row],[Result ]]="Win", Bet_Log[[#This Row],[Stake]]*Bet_Log[[#This Row],[Decimal]]-Bet_Log[[#This Row],[Stake]], IF(Bet_Log[[#This Row],[Result ]]="Loss", -Bet_Log[[#This Row],[Stake]], IF(Bet_Log[[#This Row],[Result ]]="Push", 0, ""))))</f>
        <v/>
      </c>
      <c r="J731" s="2" t="str">
        <f>IF(Bet_Log[[#This Row],[Return]]="", "", J730 + Bet_Log[[#This Row],[Return]])</f>
        <v/>
      </c>
      <c r="K731" s="9"/>
    </row>
    <row r="732" spans="1:11" x14ac:dyDescent="0.2">
      <c r="A732" s="27"/>
      <c r="B732" s="1"/>
      <c r="C732" s="6"/>
      <c r="D732" s="1"/>
      <c r="E732" s="7"/>
      <c r="F732" s="8"/>
      <c r="G732" s="3" t="str" cm="1">
        <f t="array" ref="G732">IF(ISBLANK(F732), "", IFERROR(_xlfn.IFS(LEFT(F732,1)="+", (VALUE(MID(F732,2,LEN(F732)))+100)/100, VALUE(F732)&gt;0, (F732+100)/100, VALUE(F732)&lt;0, (ABS(F732)+100)/ABS(F732), F732=0, 0), ""))</f>
        <v/>
      </c>
      <c r="H732" s="1"/>
      <c r="I732" s="4" t="str">
        <f>IF(Bet_Log[[#This Row],[Result ]]="", "", IF(Bet_Log[[#This Row],[Result ]]="Win", Bet_Log[[#This Row],[Stake]]*Bet_Log[[#This Row],[Decimal]]-Bet_Log[[#This Row],[Stake]], IF(Bet_Log[[#This Row],[Result ]]="Loss", -Bet_Log[[#This Row],[Stake]], IF(Bet_Log[[#This Row],[Result ]]="Push", 0, ""))))</f>
        <v/>
      </c>
      <c r="J732" s="2" t="str">
        <f>IF(Bet_Log[[#This Row],[Return]]="", "", J731 + Bet_Log[[#This Row],[Return]])</f>
        <v/>
      </c>
      <c r="K732" s="9"/>
    </row>
    <row r="733" spans="1:11" x14ac:dyDescent="0.2">
      <c r="A733" s="27"/>
      <c r="B733" s="1"/>
      <c r="C733" s="6"/>
      <c r="D733" s="1"/>
      <c r="E733" s="7"/>
      <c r="F733" s="8"/>
      <c r="G733" s="3" t="str" cm="1">
        <f t="array" ref="G733">IF(ISBLANK(F733), "", IFERROR(_xlfn.IFS(LEFT(F733,1)="+", (VALUE(MID(F733,2,LEN(F733)))+100)/100, VALUE(F733)&gt;0, (F733+100)/100, VALUE(F733)&lt;0, (ABS(F733)+100)/ABS(F733), F733=0, 0), ""))</f>
        <v/>
      </c>
      <c r="H733" s="1"/>
      <c r="I733" s="4" t="str">
        <f>IF(Bet_Log[[#This Row],[Result ]]="", "", IF(Bet_Log[[#This Row],[Result ]]="Win", Bet_Log[[#This Row],[Stake]]*Bet_Log[[#This Row],[Decimal]]-Bet_Log[[#This Row],[Stake]], IF(Bet_Log[[#This Row],[Result ]]="Loss", -Bet_Log[[#This Row],[Stake]], IF(Bet_Log[[#This Row],[Result ]]="Push", 0, ""))))</f>
        <v/>
      </c>
      <c r="J733" s="2" t="str">
        <f>IF(Bet_Log[[#This Row],[Return]]="", "", J732 + Bet_Log[[#This Row],[Return]])</f>
        <v/>
      </c>
      <c r="K733" s="9"/>
    </row>
    <row r="734" spans="1:11" x14ac:dyDescent="0.2">
      <c r="A734" s="27"/>
      <c r="B734" s="1"/>
      <c r="C734" s="6"/>
      <c r="D734" s="1"/>
      <c r="E734" s="7"/>
      <c r="F734" s="8"/>
      <c r="G734" s="3" t="str" cm="1">
        <f t="array" ref="G734">IF(ISBLANK(F734), "", IFERROR(_xlfn.IFS(LEFT(F734,1)="+", (VALUE(MID(F734,2,LEN(F734)))+100)/100, VALUE(F734)&gt;0, (F734+100)/100, VALUE(F734)&lt;0, (ABS(F734)+100)/ABS(F734), F734=0, 0), ""))</f>
        <v/>
      </c>
      <c r="H734" s="1"/>
      <c r="I734" s="4" t="str">
        <f>IF(Bet_Log[[#This Row],[Result ]]="", "", IF(Bet_Log[[#This Row],[Result ]]="Win", Bet_Log[[#This Row],[Stake]]*Bet_Log[[#This Row],[Decimal]]-Bet_Log[[#This Row],[Stake]], IF(Bet_Log[[#This Row],[Result ]]="Loss", -Bet_Log[[#This Row],[Stake]], IF(Bet_Log[[#This Row],[Result ]]="Push", 0, ""))))</f>
        <v/>
      </c>
      <c r="J734" s="2" t="str">
        <f>IF(Bet_Log[[#This Row],[Return]]="", "", J733 + Bet_Log[[#This Row],[Return]])</f>
        <v/>
      </c>
      <c r="K734" s="9"/>
    </row>
    <row r="735" spans="1:11" x14ac:dyDescent="0.2">
      <c r="A735" s="27"/>
      <c r="B735" s="1"/>
      <c r="C735" s="6"/>
      <c r="D735" s="1"/>
      <c r="E735" s="7"/>
      <c r="F735" s="8"/>
      <c r="G735" s="3" t="str" cm="1">
        <f t="array" ref="G735">IF(ISBLANK(F735), "", IFERROR(_xlfn.IFS(LEFT(F735,1)="+", (VALUE(MID(F735,2,LEN(F735)))+100)/100, VALUE(F735)&gt;0, (F735+100)/100, VALUE(F735)&lt;0, (ABS(F735)+100)/ABS(F735), F735=0, 0), ""))</f>
        <v/>
      </c>
      <c r="H735" s="1"/>
      <c r="I735" s="4" t="str">
        <f>IF(Bet_Log[[#This Row],[Result ]]="", "", IF(Bet_Log[[#This Row],[Result ]]="Win", Bet_Log[[#This Row],[Stake]]*Bet_Log[[#This Row],[Decimal]]-Bet_Log[[#This Row],[Stake]], IF(Bet_Log[[#This Row],[Result ]]="Loss", -Bet_Log[[#This Row],[Stake]], IF(Bet_Log[[#This Row],[Result ]]="Push", 0, ""))))</f>
        <v/>
      </c>
      <c r="J735" s="2" t="str">
        <f>IF(Bet_Log[[#This Row],[Return]]="", "", J734 + Bet_Log[[#This Row],[Return]])</f>
        <v/>
      </c>
      <c r="K735" s="9"/>
    </row>
    <row r="736" spans="1:11" x14ac:dyDescent="0.2">
      <c r="A736" s="27"/>
      <c r="B736" s="1"/>
      <c r="C736" s="6"/>
      <c r="D736" s="1"/>
      <c r="E736" s="7"/>
      <c r="F736" s="8"/>
      <c r="G736" s="3" t="str" cm="1">
        <f t="array" ref="G736">IF(ISBLANK(F736), "", IFERROR(_xlfn.IFS(LEFT(F736,1)="+", (VALUE(MID(F736,2,LEN(F736)))+100)/100, VALUE(F736)&gt;0, (F736+100)/100, VALUE(F736)&lt;0, (ABS(F736)+100)/ABS(F736), F736=0, 0), ""))</f>
        <v/>
      </c>
      <c r="H736" s="1"/>
      <c r="I736" s="4" t="str">
        <f>IF(Bet_Log[[#This Row],[Result ]]="", "", IF(Bet_Log[[#This Row],[Result ]]="Win", Bet_Log[[#This Row],[Stake]]*Bet_Log[[#This Row],[Decimal]]-Bet_Log[[#This Row],[Stake]], IF(Bet_Log[[#This Row],[Result ]]="Loss", -Bet_Log[[#This Row],[Stake]], IF(Bet_Log[[#This Row],[Result ]]="Push", 0, ""))))</f>
        <v/>
      </c>
      <c r="J736" s="2" t="str">
        <f>IF(Bet_Log[[#This Row],[Return]]="", "", J735 + Bet_Log[[#This Row],[Return]])</f>
        <v/>
      </c>
      <c r="K736" s="9"/>
    </row>
    <row r="737" spans="1:11" x14ac:dyDescent="0.2">
      <c r="A737" s="27"/>
      <c r="B737" s="1"/>
      <c r="C737" s="6"/>
      <c r="D737" s="1"/>
      <c r="E737" s="7"/>
      <c r="F737" s="8"/>
      <c r="G737" s="3" t="str" cm="1">
        <f t="array" ref="G737">IF(ISBLANK(F737), "", IFERROR(_xlfn.IFS(LEFT(F737,1)="+", (VALUE(MID(F737,2,LEN(F737)))+100)/100, VALUE(F737)&gt;0, (F737+100)/100, VALUE(F737)&lt;0, (ABS(F737)+100)/ABS(F737), F737=0, 0), ""))</f>
        <v/>
      </c>
      <c r="H737" s="1"/>
      <c r="I737" s="4" t="str">
        <f>IF(Bet_Log[[#This Row],[Result ]]="", "", IF(Bet_Log[[#This Row],[Result ]]="Win", Bet_Log[[#This Row],[Stake]]*Bet_Log[[#This Row],[Decimal]]-Bet_Log[[#This Row],[Stake]], IF(Bet_Log[[#This Row],[Result ]]="Loss", -Bet_Log[[#This Row],[Stake]], IF(Bet_Log[[#This Row],[Result ]]="Push", 0, ""))))</f>
        <v/>
      </c>
      <c r="J737" s="2" t="str">
        <f>IF(Bet_Log[[#This Row],[Return]]="", "", J736 + Bet_Log[[#This Row],[Return]])</f>
        <v/>
      </c>
      <c r="K737" s="9"/>
    </row>
    <row r="738" spans="1:11" x14ac:dyDescent="0.2">
      <c r="A738" s="27"/>
      <c r="B738" s="1"/>
      <c r="C738" s="6"/>
      <c r="D738" s="1"/>
      <c r="E738" s="7"/>
      <c r="F738" s="8"/>
      <c r="G738" s="3" t="str" cm="1">
        <f t="array" ref="G738">IF(ISBLANK(F738), "", IFERROR(_xlfn.IFS(LEFT(F738,1)="+", (VALUE(MID(F738,2,LEN(F738)))+100)/100, VALUE(F738)&gt;0, (F738+100)/100, VALUE(F738)&lt;0, (ABS(F738)+100)/ABS(F738), F738=0, 0), ""))</f>
        <v/>
      </c>
      <c r="H738" s="1"/>
      <c r="I738" s="4" t="str">
        <f>IF(Bet_Log[[#This Row],[Result ]]="", "", IF(Bet_Log[[#This Row],[Result ]]="Win", Bet_Log[[#This Row],[Stake]]*Bet_Log[[#This Row],[Decimal]]-Bet_Log[[#This Row],[Stake]], IF(Bet_Log[[#This Row],[Result ]]="Loss", -Bet_Log[[#This Row],[Stake]], IF(Bet_Log[[#This Row],[Result ]]="Push", 0, ""))))</f>
        <v/>
      </c>
      <c r="J738" s="2" t="str">
        <f>IF(Bet_Log[[#This Row],[Return]]="", "", J737 + Bet_Log[[#This Row],[Return]])</f>
        <v/>
      </c>
      <c r="K738" s="9"/>
    </row>
    <row r="739" spans="1:11" x14ac:dyDescent="0.2">
      <c r="A739" s="27"/>
      <c r="B739" s="1"/>
      <c r="C739" s="6"/>
      <c r="D739" s="1"/>
      <c r="E739" s="7"/>
      <c r="F739" s="8"/>
      <c r="G739" s="3" t="str" cm="1">
        <f t="array" ref="G739">IF(ISBLANK(F739), "", IFERROR(_xlfn.IFS(LEFT(F739,1)="+", (VALUE(MID(F739,2,LEN(F739)))+100)/100, VALUE(F739)&gt;0, (F739+100)/100, VALUE(F739)&lt;0, (ABS(F739)+100)/ABS(F739), F739=0, 0), ""))</f>
        <v/>
      </c>
      <c r="H739" s="1"/>
      <c r="I739" s="4" t="str">
        <f>IF(Bet_Log[[#This Row],[Result ]]="", "", IF(Bet_Log[[#This Row],[Result ]]="Win", Bet_Log[[#This Row],[Stake]]*Bet_Log[[#This Row],[Decimal]]-Bet_Log[[#This Row],[Stake]], IF(Bet_Log[[#This Row],[Result ]]="Loss", -Bet_Log[[#This Row],[Stake]], IF(Bet_Log[[#This Row],[Result ]]="Push", 0, ""))))</f>
        <v/>
      </c>
      <c r="J739" s="2" t="str">
        <f>IF(Bet_Log[[#This Row],[Return]]="", "", J738 + Bet_Log[[#This Row],[Return]])</f>
        <v/>
      </c>
      <c r="K739" s="9"/>
    </row>
    <row r="740" spans="1:11" x14ac:dyDescent="0.2">
      <c r="A740" s="27"/>
      <c r="B740" s="1"/>
      <c r="C740" s="6"/>
      <c r="D740" s="1"/>
      <c r="E740" s="7"/>
      <c r="F740" s="8"/>
      <c r="G740" s="3" t="str" cm="1">
        <f t="array" ref="G740">IF(ISBLANK(F740), "", IFERROR(_xlfn.IFS(LEFT(F740,1)="+", (VALUE(MID(F740,2,LEN(F740)))+100)/100, VALUE(F740)&gt;0, (F740+100)/100, VALUE(F740)&lt;0, (ABS(F740)+100)/ABS(F740), F740=0, 0), ""))</f>
        <v/>
      </c>
      <c r="H740" s="1"/>
      <c r="I740" s="4" t="str">
        <f>IF(Bet_Log[[#This Row],[Result ]]="", "", IF(Bet_Log[[#This Row],[Result ]]="Win", Bet_Log[[#This Row],[Stake]]*Bet_Log[[#This Row],[Decimal]]-Bet_Log[[#This Row],[Stake]], IF(Bet_Log[[#This Row],[Result ]]="Loss", -Bet_Log[[#This Row],[Stake]], IF(Bet_Log[[#This Row],[Result ]]="Push", 0, ""))))</f>
        <v/>
      </c>
      <c r="J740" s="2" t="str">
        <f>IF(Bet_Log[[#This Row],[Return]]="", "", J739 + Bet_Log[[#This Row],[Return]])</f>
        <v/>
      </c>
      <c r="K740" s="9"/>
    </row>
    <row r="741" spans="1:11" x14ac:dyDescent="0.2">
      <c r="A741" s="27"/>
      <c r="B741" s="1"/>
      <c r="C741" s="6"/>
      <c r="D741" s="1"/>
      <c r="E741" s="7"/>
      <c r="F741" s="8"/>
      <c r="G741" s="3" t="str" cm="1">
        <f t="array" ref="G741">IF(ISBLANK(F741), "", IFERROR(_xlfn.IFS(LEFT(F741,1)="+", (VALUE(MID(F741,2,LEN(F741)))+100)/100, VALUE(F741)&gt;0, (F741+100)/100, VALUE(F741)&lt;0, (ABS(F741)+100)/ABS(F741), F741=0, 0), ""))</f>
        <v/>
      </c>
      <c r="H741" s="1"/>
      <c r="I741" s="4" t="str">
        <f>IF(Bet_Log[[#This Row],[Result ]]="", "", IF(Bet_Log[[#This Row],[Result ]]="Win", Bet_Log[[#This Row],[Stake]]*Bet_Log[[#This Row],[Decimal]]-Bet_Log[[#This Row],[Stake]], IF(Bet_Log[[#This Row],[Result ]]="Loss", -Bet_Log[[#This Row],[Stake]], IF(Bet_Log[[#This Row],[Result ]]="Push", 0, ""))))</f>
        <v/>
      </c>
      <c r="J741" s="2" t="str">
        <f>IF(Bet_Log[[#This Row],[Return]]="", "", J740 + Bet_Log[[#This Row],[Return]])</f>
        <v/>
      </c>
      <c r="K741" s="9"/>
    </row>
    <row r="742" spans="1:11" x14ac:dyDescent="0.2">
      <c r="A742" s="27"/>
      <c r="B742" s="1"/>
      <c r="C742" s="6"/>
      <c r="D742" s="1"/>
      <c r="E742" s="7"/>
      <c r="F742" s="8"/>
      <c r="G742" s="3" t="str" cm="1">
        <f t="array" ref="G742">IF(ISBLANK(F742), "", IFERROR(_xlfn.IFS(LEFT(F742,1)="+", (VALUE(MID(F742,2,LEN(F742)))+100)/100, VALUE(F742)&gt;0, (F742+100)/100, VALUE(F742)&lt;0, (ABS(F742)+100)/ABS(F742), F742=0, 0), ""))</f>
        <v/>
      </c>
      <c r="H742" s="1"/>
      <c r="I742" s="4" t="str">
        <f>IF(Bet_Log[[#This Row],[Result ]]="", "", IF(Bet_Log[[#This Row],[Result ]]="Win", Bet_Log[[#This Row],[Stake]]*Bet_Log[[#This Row],[Decimal]]-Bet_Log[[#This Row],[Stake]], IF(Bet_Log[[#This Row],[Result ]]="Loss", -Bet_Log[[#This Row],[Stake]], IF(Bet_Log[[#This Row],[Result ]]="Push", 0, ""))))</f>
        <v/>
      </c>
      <c r="J742" s="2" t="str">
        <f>IF(Bet_Log[[#This Row],[Return]]="", "", J741 + Bet_Log[[#This Row],[Return]])</f>
        <v/>
      </c>
      <c r="K742" s="9"/>
    </row>
    <row r="743" spans="1:11" x14ac:dyDescent="0.2">
      <c r="A743" s="27"/>
      <c r="B743" s="1"/>
      <c r="C743" s="6"/>
      <c r="D743" s="1"/>
      <c r="E743" s="7"/>
      <c r="F743" s="8"/>
      <c r="G743" s="3" t="str" cm="1">
        <f t="array" ref="G743">IF(ISBLANK(F743), "", IFERROR(_xlfn.IFS(LEFT(F743,1)="+", (VALUE(MID(F743,2,LEN(F743)))+100)/100, VALUE(F743)&gt;0, (F743+100)/100, VALUE(F743)&lt;0, (ABS(F743)+100)/ABS(F743), F743=0, 0), ""))</f>
        <v/>
      </c>
      <c r="H743" s="1"/>
      <c r="I743" s="4" t="str">
        <f>IF(Bet_Log[[#This Row],[Result ]]="", "", IF(Bet_Log[[#This Row],[Result ]]="Win", Bet_Log[[#This Row],[Stake]]*Bet_Log[[#This Row],[Decimal]]-Bet_Log[[#This Row],[Stake]], IF(Bet_Log[[#This Row],[Result ]]="Loss", -Bet_Log[[#This Row],[Stake]], IF(Bet_Log[[#This Row],[Result ]]="Push", 0, ""))))</f>
        <v/>
      </c>
      <c r="J743" s="2" t="str">
        <f>IF(Bet_Log[[#This Row],[Return]]="", "", J742 + Bet_Log[[#This Row],[Return]])</f>
        <v/>
      </c>
      <c r="K743" s="9"/>
    </row>
    <row r="744" spans="1:11" x14ac:dyDescent="0.2">
      <c r="A744" s="27"/>
      <c r="B744" s="1"/>
      <c r="C744" s="6"/>
      <c r="D744" s="1"/>
      <c r="E744" s="7"/>
      <c r="F744" s="8"/>
      <c r="G744" s="3" t="str" cm="1">
        <f t="array" ref="G744">IF(ISBLANK(F744), "", IFERROR(_xlfn.IFS(LEFT(F744,1)="+", (VALUE(MID(F744,2,LEN(F744)))+100)/100, VALUE(F744)&gt;0, (F744+100)/100, VALUE(F744)&lt;0, (ABS(F744)+100)/ABS(F744), F744=0, 0), ""))</f>
        <v/>
      </c>
      <c r="H744" s="1"/>
      <c r="I744" s="4" t="str">
        <f>IF(Bet_Log[[#This Row],[Result ]]="", "", IF(Bet_Log[[#This Row],[Result ]]="Win", Bet_Log[[#This Row],[Stake]]*Bet_Log[[#This Row],[Decimal]]-Bet_Log[[#This Row],[Stake]], IF(Bet_Log[[#This Row],[Result ]]="Loss", -Bet_Log[[#This Row],[Stake]], IF(Bet_Log[[#This Row],[Result ]]="Push", 0, ""))))</f>
        <v/>
      </c>
      <c r="J744" s="2" t="str">
        <f>IF(Bet_Log[[#This Row],[Return]]="", "", J743 + Bet_Log[[#This Row],[Return]])</f>
        <v/>
      </c>
      <c r="K744" s="9"/>
    </row>
    <row r="745" spans="1:11" x14ac:dyDescent="0.2">
      <c r="A745" s="27"/>
      <c r="B745" s="1"/>
      <c r="C745" s="6"/>
      <c r="D745" s="1"/>
      <c r="E745" s="7"/>
      <c r="F745" s="8"/>
      <c r="G745" s="3" t="str" cm="1">
        <f t="array" ref="G745">IF(ISBLANK(F745), "", IFERROR(_xlfn.IFS(LEFT(F745,1)="+", (VALUE(MID(F745,2,LEN(F745)))+100)/100, VALUE(F745)&gt;0, (F745+100)/100, VALUE(F745)&lt;0, (ABS(F745)+100)/ABS(F745), F745=0, 0), ""))</f>
        <v/>
      </c>
      <c r="H745" s="1"/>
      <c r="I745" s="4" t="str">
        <f>IF(Bet_Log[[#This Row],[Result ]]="", "", IF(Bet_Log[[#This Row],[Result ]]="Win", Bet_Log[[#This Row],[Stake]]*Bet_Log[[#This Row],[Decimal]]-Bet_Log[[#This Row],[Stake]], IF(Bet_Log[[#This Row],[Result ]]="Loss", -Bet_Log[[#This Row],[Stake]], IF(Bet_Log[[#This Row],[Result ]]="Push", 0, ""))))</f>
        <v/>
      </c>
      <c r="J745" s="2" t="str">
        <f>IF(Bet_Log[[#This Row],[Return]]="", "", J744 + Bet_Log[[#This Row],[Return]])</f>
        <v/>
      </c>
      <c r="K745" s="9"/>
    </row>
    <row r="746" spans="1:11" x14ac:dyDescent="0.2">
      <c r="A746" s="27"/>
      <c r="B746" s="1"/>
      <c r="C746" s="6"/>
      <c r="D746" s="1"/>
      <c r="E746" s="7"/>
      <c r="F746" s="8"/>
      <c r="G746" s="3" t="str" cm="1">
        <f t="array" ref="G746">IF(ISBLANK(F746), "", IFERROR(_xlfn.IFS(LEFT(F746,1)="+", (VALUE(MID(F746,2,LEN(F746)))+100)/100, VALUE(F746)&gt;0, (F746+100)/100, VALUE(F746)&lt;0, (ABS(F746)+100)/ABS(F746), F746=0, 0), ""))</f>
        <v/>
      </c>
      <c r="H746" s="1"/>
      <c r="I746" s="4" t="str">
        <f>IF(Bet_Log[[#This Row],[Result ]]="", "", IF(Bet_Log[[#This Row],[Result ]]="Win", Bet_Log[[#This Row],[Stake]]*Bet_Log[[#This Row],[Decimal]]-Bet_Log[[#This Row],[Stake]], IF(Bet_Log[[#This Row],[Result ]]="Loss", -Bet_Log[[#This Row],[Stake]], IF(Bet_Log[[#This Row],[Result ]]="Push", 0, ""))))</f>
        <v/>
      </c>
      <c r="J746" s="2" t="str">
        <f>IF(Bet_Log[[#This Row],[Return]]="", "", J745 + Bet_Log[[#This Row],[Return]])</f>
        <v/>
      </c>
      <c r="K746" s="9"/>
    </row>
    <row r="747" spans="1:11" x14ac:dyDescent="0.2">
      <c r="A747" s="27"/>
      <c r="B747" s="1"/>
      <c r="C747" s="6"/>
      <c r="D747" s="1"/>
      <c r="E747" s="7"/>
      <c r="F747" s="8"/>
      <c r="G747" s="3" t="str" cm="1">
        <f t="array" ref="G747">IF(ISBLANK(F747), "", IFERROR(_xlfn.IFS(LEFT(F747,1)="+", (VALUE(MID(F747,2,LEN(F747)))+100)/100, VALUE(F747)&gt;0, (F747+100)/100, VALUE(F747)&lt;0, (ABS(F747)+100)/ABS(F747), F747=0, 0), ""))</f>
        <v/>
      </c>
      <c r="H747" s="1"/>
      <c r="I747" s="4" t="str">
        <f>IF(Bet_Log[[#This Row],[Result ]]="", "", IF(Bet_Log[[#This Row],[Result ]]="Win", Bet_Log[[#This Row],[Stake]]*Bet_Log[[#This Row],[Decimal]]-Bet_Log[[#This Row],[Stake]], IF(Bet_Log[[#This Row],[Result ]]="Loss", -Bet_Log[[#This Row],[Stake]], IF(Bet_Log[[#This Row],[Result ]]="Push", 0, ""))))</f>
        <v/>
      </c>
      <c r="J747" s="2" t="str">
        <f>IF(Bet_Log[[#This Row],[Return]]="", "", J746 + Bet_Log[[#This Row],[Return]])</f>
        <v/>
      </c>
      <c r="K747" s="9"/>
    </row>
    <row r="748" spans="1:11" x14ac:dyDescent="0.2">
      <c r="A748" s="27"/>
      <c r="B748" s="1"/>
      <c r="C748" s="6"/>
      <c r="D748" s="1"/>
      <c r="E748" s="7"/>
      <c r="F748" s="8"/>
      <c r="G748" s="3" t="str" cm="1">
        <f t="array" ref="G748">IF(ISBLANK(F748), "", IFERROR(_xlfn.IFS(LEFT(F748,1)="+", (VALUE(MID(F748,2,LEN(F748)))+100)/100, VALUE(F748)&gt;0, (F748+100)/100, VALUE(F748)&lt;0, (ABS(F748)+100)/ABS(F748), F748=0, 0), ""))</f>
        <v/>
      </c>
      <c r="H748" s="1"/>
      <c r="I748" s="4" t="str">
        <f>IF(Bet_Log[[#This Row],[Result ]]="", "", IF(Bet_Log[[#This Row],[Result ]]="Win", Bet_Log[[#This Row],[Stake]]*Bet_Log[[#This Row],[Decimal]]-Bet_Log[[#This Row],[Stake]], IF(Bet_Log[[#This Row],[Result ]]="Loss", -Bet_Log[[#This Row],[Stake]], IF(Bet_Log[[#This Row],[Result ]]="Push", 0, ""))))</f>
        <v/>
      </c>
      <c r="J748" s="2" t="str">
        <f>IF(Bet_Log[[#This Row],[Return]]="", "", J747 + Bet_Log[[#This Row],[Return]])</f>
        <v/>
      </c>
      <c r="K748" s="9"/>
    </row>
    <row r="749" spans="1:11" x14ac:dyDescent="0.2">
      <c r="A749" s="27"/>
      <c r="B749" s="1"/>
      <c r="C749" s="6"/>
      <c r="D749" s="1"/>
      <c r="E749" s="7"/>
      <c r="F749" s="8"/>
      <c r="G749" s="3" t="str" cm="1">
        <f t="array" ref="G749">IF(ISBLANK(F749), "", IFERROR(_xlfn.IFS(LEFT(F749,1)="+", (VALUE(MID(F749,2,LEN(F749)))+100)/100, VALUE(F749)&gt;0, (F749+100)/100, VALUE(F749)&lt;0, (ABS(F749)+100)/ABS(F749), F749=0, 0), ""))</f>
        <v/>
      </c>
      <c r="H749" s="1"/>
      <c r="I749" s="4" t="str">
        <f>IF(Bet_Log[[#This Row],[Result ]]="", "", IF(Bet_Log[[#This Row],[Result ]]="Win", Bet_Log[[#This Row],[Stake]]*Bet_Log[[#This Row],[Decimal]]-Bet_Log[[#This Row],[Stake]], IF(Bet_Log[[#This Row],[Result ]]="Loss", -Bet_Log[[#This Row],[Stake]], IF(Bet_Log[[#This Row],[Result ]]="Push", 0, ""))))</f>
        <v/>
      </c>
      <c r="J749" s="2" t="str">
        <f>IF(Bet_Log[[#This Row],[Return]]="", "", J748 + Bet_Log[[#This Row],[Return]])</f>
        <v/>
      </c>
      <c r="K749" s="9"/>
    </row>
    <row r="750" spans="1:11" x14ac:dyDescent="0.2">
      <c r="A750" s="27"/>
      <c r="B750" s="1"/>
      <c r="C750" s="6"/>
      <c r="D750" s="1"/>
      <c r="E750" s="7"/>
      <c r="F750" s="8"/>
      <c r="G750" s="3" t="str" cm="1">
        <f t="array" ref="G750">IF(ISBLANK(F750), "", IFERROR(_xlfn.IFS(LEFT(F750,1)="+", (VALUE(MID(F750,2,LEN(F750)))+100)/100, VALUE(F750)&gt;0, (F750+100)/100, VALUE(F750)&lt;0, (ABS(F750)+100)/ABS(F750), F750=0, 0), ""))</f>
        <v/>
      </c>
      <c r="H750" s="1"/>
      <c r="I750" s="4" t="str">
        <f>IF(Bet_Log[[#This Row],[Result ]]="", "", IF(Bet_Log[[#This Row],[Result ]]="Win", Bet_Log[[#This Row],[Stake]]*Bet_Log[[#This Row],[Decimal]]-Bet_Log[[#This Row],[Stake]], IF(Bet_Log[[#This Row],[Result ]]="Loss", -Bet_Log[[#This Row],[Stake]], IF(Bet_Log[[#This Row],[Result ]]="Push", 0, ""))))</f>
        <v/>
      </c>
      <c r="J750" s="2" t="str">
        <f>IF(Bet_Log[[#This Row],[Return]]="", "", J749 + Bet_Log[[#This Row],[Return]])</f>
        <v/>
      </c>
      <c r="K750" s="9"/>
    </row>
    <row r="751" spans="1:11" x14ac:dyDescent="0.2">
      <c r="A751" s="27"/>
      <c r="B751" s="1"/>
      <c r="C751" s="6"/>
      <c r="D751" s="1"/>
      <c r="E751" s="7"/>
      <c r="F751" s="8"/>
      <c r="G751" s="3" t="str" cm="1">
        <f t="array" ref="G751">IF(ISBLANK(F751), "", IFERROR(_xlfn.IFS(LEFT(F751,1)="+", (VALUE(MID(F751,2,LEN(F751)))+100)/100, VALUE(F751)&gt;0, (F751+100)/100, VALUE(F751)&lt;0, (ABS(F751)+100)/ABS(F751), F751=0, 0), ""))</f>
        <v/>
      </c>
      <c r="H751" s="1"/>
      <c r="I751" s="4" t="str">
        <f>IF(Bet_Log[[#This Row],[Result ]]="", "", IF(Bet_Log[[#This Row],[Result ]]="Win", Bet_Log[[#This Row],[Stake]]*Bet_Log[[#This Row],[Decimal]]-Bet_Log[[#This Row],[Stake]], IF(Bet_Log[[#This Row],[Result ]]="Loss", -Bet_Log[[#This Row],[Stake]], IF(Bet_Log[[#This Row],[Result ]]="Push", 0, ""))))</f>
        <v/>
      </c>
      <c r="J751" s="2" t="str">
        <f>IF(Bet_Log[[#This Row],[Return]]="", "", J750 + Bet_Log[[#This Row],[Return]])</f>
        <v/>
      </c>
      <c r="K751" s="9"/>
    </row>
    <row r="752" spans="1:11" x14ac:dyDescent="0.2">
      <c r="A752" s="27"/>
      <c r="B752" s="1"/>
      <c r="C752" s="6"/>
      <c r="D752" s="1"/>
      <c r="E752" s="7"/>
      <c r="F752" s="8"/>
      <c r="G752" s="3" t="str" cm="1">
        <f t="array" ref="G752">IF(ISBLANK(F752), "", IFERROR(_xlfn.IFS(LEFT(F752,1)="+", (VALUE(MID(F752,2,LEN(F752)))+100)/100, VALUE(F752)&gt;0, (F752+100)/100, VALUE(F752)&lt;0, (ABS(F752)+100)/ABS(F752), F752=0, 0), ""))</f>
        <v/>
      </c>
      <c r="H752" s="1"/>
      <c r="I752" s="4" t="str">
        <f>IF(Bet_Log[[#This Row],[Result ]]="", "", IF(Bet_Log[[#This Row],[Result ]]="Win", Bet_Log[[#This Row],[Stake]]*Bet_Log[[#This Row],[Decimal]]-Bet_Log[[#This Row],[Stake]], IF(Bet_Log[[#This Row],[Result ]]="Loss", -Bet_Log[[#This Row],[Stake]], IF(Bet_Log[[#This Row],[Result ]]="Push", 0, ""))))</f>
        <v/>
      </c>
      <c r="J752" s="2" t="str">
        <f>IF(Bet_Log[[#This Row],[Return]]="", "", J751 + Bet_Log[[#This Row],[Return]])</f>
        <v/>
      </c>
      <c r="K752" s="9"/>
    </row>
    <row r="753" spans="1:11" x14ac:dyDescent="0.2">
      <c r="A753" s="27"/>
      <c r="B753" s="1"/>
      <c r="C753" s="6"/>
      <c r="D753" s="1"/>
      <c r="E753" s="7"/>
      <c r="F753" s="8"/>
      <c r="G753" s="3" t="str" cm="1">
        <f t="array" ref="G753">IF(ISBLANK(F753), "", IFERROR(_xlfn.IFS(LEFT(F753,1)="+", (VALUE(MID(F753,2,LEN(F753)))+100)/100, VALUE(F753)&gt;0, (F753+100)/100, VALUE(F753)&lt;0, (ABS(F753)+100)/ABS(F753), F753=0, 0), ""))</f>
        <v/>
      </c>
      <c r="H753" s="1"/>
      <c r="I753" s="4" t="str">
        <f>IF(Bet_Log[[#This Row],[Result ]]="", "", IF(Bet_Log[[#This Row],[Result ]]="Win", Bet_Log[[#This Row],[Stake]]*Bet_Log[[#This Row],[Decimal]]-Bet_Log[[#This Row],[Stake]], IF(Bet_Log[[#This Row],[Result ]]="Loss", -Bet_Log[[#This Row],[Stake]], IF(Bet_Log[[#This Row],[Result ]]="Push", 0, ""))))</f>
        <v/>
      </c>
      <c r="J753" s="2" t="str">
        <f>IF(Bet_Log[[#This Row],[Return]]="", "", J752 + Bet_Log[[#This Row],[Return]])</f>
        <v/>
      </c>
      <c r="K753" s="9"/>
    </row>
    <row r="754" spans="1:11" x14ac:dyDescent="0.2">
      <c r="A754" s="27"/>
      <c r="B754" s="1"/>
      <c r="C754" s="6"/>
      <c r="D754" s="1"/>
      <c r="E754" s="7"/>
      <c r="F754" s="8"/>
      <c r="G754" s="3" t="str" cm="1">
        <f t="array" ref="G754">IF(ISBLANK(F754), "", IFERROR(_xlfn.IFS(LEFT(F754,1)="+", (VALUE(MID(F754,2,LEN(F754)))+100)/100, VALUE(F754)&gt;0, (F754+100)/100, VALUE(F754)&lt;0, (ABS(F754)+100)/ABS(F754), F754=0, 0), ""))</f>
        <v/>
      </c>
      <c r="H754" s="1"/>
      <c r="I754" s="4" t="str">
        <f>IF(Bet_Log[[#This Row],[Result ]]="", "", IF(Bet_Log[[#This Row],[Result ]]="Win", Bet_Log[[#This Row],[Stake]]*Bet_Log[[#This Row],[Decimal]]-Bet_Log[[#This Row],[Stake]], IF(Bet_Log[[#This Row],[Result ]]="Loss", -Bet_Log[[#This Row],[Stake]], IF(Bet_Log[[#This Row],[Result ]]="Push", 0, ""))))</f>
        <v/>
      </c>
      <c r="J754" s="2" t="str">
        <f>IF(Bet_Log[[#This Row],[Return]]="", "", J753 + Bet_Log[[#This Row],[Return]])</f>
        <v/>
      </c>
      <c r="K754" s="9"/>
    </row>
    <row r="755" spans="1:11" x14ac:dyDescent="0.2">
      <c r="A755" s="27"/>
      <c r="B755" s="1"/>
      <c r="C755" s="6"/>
      <c r="D755" s="1"/>
      <c r="E755" s="7"/>
      <c r="F755" s="8"/>
      <c r="G755" s="3" t="str" cm="1">
        <f t="array" ref="G755">IF(ISBLANK(F755), "", IFERROR(_xlfn.IFS(LEFT(F755,1)="+", (VALUE(MID(F755,2,LEN(F755)))+100)/100, VALUE(F755)&gt;0, (F755+100)/100, VALUE(F755)&lt;0, (ABS(F755)+100)/ABS(F755), F755=0, 0), ""))</f>
        <v/>
      </c>
      <c r="H755" s="1"/>
      <c r="I755" s="4" t="str">
        <f>IF(Bet_Log[[#This Row],[Result ]]="", "", IF(Bet_Log[[#This Row],[Result ]]="Win", Bet_Log[[#This Row],[Stake]]*Bet_Log[[#This Row],[Decimal]]-Bet_Log[[#This Row],[Stake]], IF(Bet_Log[[#This Row],[Result ]]="Loss", -Bet_Log[[#This Row],[Stake]], IF(Bet_Log[[#This Row],[Result ]]="Push", 0, ""))))</f>
        <v/>
      </c>
      <c r="J755" s="2" t="str">
        <f>IF(Bet_Log[[#This Row],[Return]]="", "", J754 + Bet_Log[[#This Row],[Return]])</f>
        <v/>
      </c>
      <c r="K755" s="9"/>
    </row>
    <row r="756" spans="1:11" x14ac:dyDescent="0.2">
      <c r="A756" s="27"/>
      <c r="B756" s="1"/>
      <c r="C756" s="6"/>
      <c r="D756" s="1"/>
      <c r="E756" s="7"/>
      <c r="F756" s="8"/>
      <c r="G756" s="3" t="str" cm="1">
        <f t="array" ref="G756">IF(ISBLANK(F756), "", IFERROR(_xlfn.IFS(LEFT(F756,1)="+", (VALUE(MID(F756,2,LEN(F756)))+100)/100, VALUE(F756)&gt;0, (F756+100)/100, VALUE(F756)&lt;0, (ABS(F756)+100)/ABS(F756), F756=0, 0), ""))</f>
        <v/>
      </c>
      <c r="H756" s="1"/>
      <c r="I756" s="4" t="str">
        <f>IF(Bet_Log[[#This Row],[Result ]]="", "", IF(Bet_Log[[#This Row],[Result ]]="Win", Bet_Log[[#This Row],[Stake]]*Bet_Log[[#This Row],[Decimal]]-Bet_Log[[#This Row],[Stake]], IF(Bet_Log[[#This Row],[Result ]]="Loss", -Bet_Log[[#This Row],[Stake]], IF(Bet_Log[[#This Row],[Result ]]="Push", 0, ""))))</f>
        <v/>
      </c>
      <c r="J756" s="2" t="str">
        <f>IF(Bet_Log[[#This Row],[Return]]="", "", J755 + Bet_Log[[#This Row],[Return]])</f>
        <v/>
      </c>
      <c r="K756" s="9"/>
    </row>
    <row r="757" spans="1:11" x14ac:dyDescent="0.2">
      <c r="A757" s="27"/>
      <c r="B757" s="1"/>
      <c r="C757" s="6"/>
      <c r="D757" s="1"/>
      <c r="E757" s="7"/>
      <c r="F757" s="8"/>
      <c r="G757" s="3" t="str" cm="1">
        <f t="array" ref="G757">IF(ISBLANK(F757), "", IFERROR(_xlfn.IFS(LEFT(F757,1)="+", (VALUE(MID(F757,2,LEN(F757)))+100)/100, VALUE(F757)&gt;0, (F757+100)/100, VALUE(F757)&lt;0, (ABS(F757)+100)/ABS(F757), F757=0, 0), ""))</f>
        <v/>
      </c>
      <c r="H757" s="1"/>
      <c r="I757" s="4" t="str">
        <f>IF(Bet_Log[[#This Row],[Result ]]="", "", IF(Bet_Log[[#This Row],[Result ]]="Win", Bet_Log[[#This Row],[Stake]]*Bet_Log[[#This Row],[Decimal]]-Bet_Log[[#This Row],[Stake]], IF(Bet_Log[[#This Row],[Result ]]="Loss", -Bet_Log[[#This Row],[Stake]], IF(Bet_Log[[#This Row],[Result ]]="Push", 0, ""))))</f>
        <v/>
      </c>
      <c r="J757" s="2" t="str">
        <f>IF(Bet_Log[[#This Row],[Return]]="", "", J756 + Bet_Log[[#This Row],[Return]])</f>
        <v/>
      </c>
      <c r="K757" s="9"/>
    </row>
    <row r="758" spans="1:11" x14ac:dyDescent="0.2">
      <c r="A758" s="27"/>
      <c r="B758" s="1"/>
      <c r="C758" s="6"/>
      <c r="D758" s="1"/>
      <c r="E758" s="7"/>
      <c r="F758" s="8"/>
      <c r="G758" s="3" t="str" cm="1">
        <f t="array" ref="G758">IF(ISBLANK(F758), "", IFERROR(_xlfn.IFS(LEFT(F758,1)="+", (VALUE(MID(F758,2,LEN(F758)))+100)/100, VALUE(F758)&gt;0, (F758+100)/100, VALUE(F758)&lt;0, (ABS(F758)+100)/ABS(F758), F758=0, 0), ""))</f>
        <v/>
      </c>
      <c r="H758" s="1"/>
      <c r="I758" s="4" t="str">
        <f>IF(Bet_Log[[#This Row],[Result ]]="", "", IF(Bet_Log[[#This Row],[Result ]]="Win", Bet_Log[[#This Row],[Stake]]*Bet_Log[[#This Row],[Decimal]]-Bet_Log[[#This Row],[Stake]], IF(Bet_Log[[#This Row],[Result ]]="Loss", -Bet_Log[[#This Row],[Stake]], IF(Bet_Log[[#This Row],[Result ]]="Push", 0, ""))))</f>
        <v/>
      </c>
      <c r="J758" s="2" t="str">
        <f>IF(Bet_Log[[#This Row],[Return]]="", "", J757 + Bet_Log[[#This Row],[Return]])</f>
        <v/>
      </c>
      <c r="K758" s="9"/>
    </row>
    <row r="759" spans="1:11" x14ac:dyDescent="0.2">
      <c r="A759" s="27"/>
      <c r="B759" s="1"/>
      <c r="C759" s="6"/>
      <c r="D759" s="1"/>
      <c r="E759" s="7"/>
      <c r="F759" s="8"/>
      <c r="G759" s="3" t="str" cm="1">
        <f t="array" ref="G759">IF(ISBLANK(F759), "", IFERROR(_xlfn.IFS(LEFT(F759,1)="+", (VALUE(MID(F759,2,LEN(F759)))+100)/100, VALUE(F759)&gt;0, (F759+100)/100, VALUE(F759)&lt;0, (ABS(F759)+100)/ABS(F759), F759=0, 0), ""))</f>
        <v/>
      </c>
      <c r="H759" s="1"/>
      <c r="I759" s="4" t="str">
        <f>IF(Bet_Log[[#This Row],[Result ]]="", "", IF(Bet_Log[[#This Row],[Result ]]="Win", Bet_Log[[#This Row],[Stake]]*Bet_Log[[#This Row],[Decimal]]-Bet_Log[[#This Row],[Stake]], IF(Bet_Log[[#This Row],[Result ]]="Loss", -Bet_Log[[#This Row],[Stake]], IF(Bet_Log[[#This Row],[Result ]]="Push", 0, ""))))</f>
        <v/>
      </c>
      <c r="J759" s="2" t="str">
        <f>IF(Bet_Log[[#This Row],[Return]]="", "", J758 + Bet_Log[[#This Row],[Return]])</f>
        <v/>
      </c>
      <c r="K759" s="9"/>
    </row>
    <row r="760" spans="1:11" x14ac:dyDescent="0.2">
      <c r="A760" s="27"/>
      <c r="B760" s="1"/>
      <c r="C760" s="6"/>
      <c r="D760" s="1"/>
      <c r="E760" s="7"/>
      <c r="F760" s="8"/>
      <c r="G760" s="3" t="str" cm="1">
        <f t="array" ref="G760">IF(ISBLANK(F760), "", IFERROR(_xlfn.IFS(LEFT(F760,1)="+", (VALUE(MID(F760,2,LEN(F760)))+100)/100, VALUE(F760)&gt;0, (F760+100)/100, VALUE(F760)&lt;0, (ABS(F760)+100)/ABS(F760), F760=0, 0), ""))</f>
        <v/>
      </c>
      <c r="H760" s="1"/>
      <c r="I760" s="4" t="str">
        <f>IF(Bet_Log[[#This Row],[Result ]]="", "", IF(Bet_Log[[#This Row],[Result ]]="Win", Bet_Log[[#This Row],[Stake]]*Bet_Log[[#This Row],[Decimal]]-Bet_Log[[#This Row],[Stake]], IF(Bet_Log[[#This Row],[Result ]]="Loss", -Bet_Log[[#This Row],[Stake]], IF(Bet_Log[[#This Row],[Result ]]="Push", 0, ""))))</f>
        <v/>
      </c>
      <c r="J760" s="2" t="str">
        <f>IF(Bet_Log[[#This Row],[Return]]="", "", J759 + Bet_Log[[#This Row],[Return]])</f>
        <v/>
      </c>
      <c r="K760" s="9"/>
    </row>
    <row r="761" spans="1:11" x14ac:dyDescent="0.2">
      <c r="A761" s="27"/>
      <c r="B761" s="1"/>
      <c r="C761" s="6"/>
      <c r="D761" s="1"/>
      <c r="E761" s="7"/>
      <c r="F761" s="8"/>
      <c r="G761" s="3" t="str" cm="1">
        <f t="array" ref="G761">IF(ISBLANK(F761), "", IFERROR(_xlfn.IFS(LEFT(F761,1)="+", (VALUE(MID(F761,2,LEN(F761)))+100)/100, VALUE(F761)&gt;0, (F761+100)/100, VALUE(F761)&lt;0, (ABS(F761)+100)/ABS(F761), F761=0, 0), ""))</f>
        <v/>
      </c>
      <c r="H761" s="1"/>
      <c r="I761" s="4" t="str">
        <f>IF(Bet_Log[[#This Row],[Result ]]="", "", IF(Bet_Log[[#This Row],[Result ]]="Win", Bet_Log[[#This Row],[Stake]]*Bet_Log[[#This Row],[Decimal]]-Bet_Log[[#This Row],[Stake]], IF(Bet_Log[[#This Row],[Result ]]="Loss", -Bet_Log[[#This Row],[Stake]], IF(Bet_Log[[#This Row],[Result ]]="Push", 0, ""))))</f>
        <v/>
      </c>
      <c r="J761" s="2" t="str">
        <f>IF(Bet_Log[[#This Row],[Return]]="", "", J760 + Bet_Log[[#This Row],[Return]])</f>
        <v/>
      </c>
      <c r="K761" s="9"/>
    </row>
    <row r="762" spans="1:11" x14ac:dyDescent="0.2">
      <c r="A762" s="27"/>
      <c r="B762" s="1"/>
      <c r="C762" s="6"/>
      <c r="D762" s="1"/>
      <c r="E762" s="7"/>
      <c r="F762" s="8"/>
      <c r="G762" s="3" t="str" cm="1">
        <f t="array" ref="G762">IF(ISBLANK(F762), "", IFERROR(_xlfn.IFS(LEFT(F762,1)="+", (VALUE(MID(F762,2,LEN(F762)))+100)/100, VALUE(F762)&gt;0, (F762+100)/100, VALUE(F762)&lt;0, (ABS(F762)+100)/ABS(F762), F762=0, 0), ""))</f>
        <v/>
      </c>
      <c r="H762" s="1"/>
      <c r="I762" s="4" t="str">
        <f>IF(Bet_Log[[#This Row],[Result ]]="", "", IF(Bet_Log[[#This Row],[Result ]]="Win", Bet_Log[[#This Row],[Stake]]*Bet_Log[[#This Row],[Decimal]]-Bet_Log[[#This Row],[Stake]], IF(Bet_Log[[#This Row],[Result ]]="Loss", -Bet_Log[[#This Row],[Stake]], IF(Bet_Log[[#This Row],[Result ]]="Push", 0, ""))))</f>
        <v/>
      </c>
      <c r="J762" s="2" t="str">
        <f>IF(Bet_Log[[#This Row],[Return]]="", "", J761 + Bet_Log[[#This Row],[Return]])</f>
        <v/>
      </c>
      <c r="K762" s="9"/>
    </row>
    <row r="763" spans="1:11" x14ac:dyDescent="0.2">
      <c r="A763" s="27"/>
      <c r="B763" s="1"/>
      <c r="C763" s="6"/>
      <c r="D763" s="1"/>
      <c r="E763" s="7"/>
      <c r="F763" s="8"/>
      <c r="G763" s="3" t="str" cm="1">
        <f t="array" ref="G763">IF(ISBLANK(F763), "", IFERROR(_xlfn.IFS(LEFT(F763,1)="+", (VALUE(MID(F763,2,LEN(F763)))+100)/100, VALUE(F763)&gt;0, (F763+100)/100, VALUE(F763)&lt;0, (ABS(F763)+100)/ABS(F763), F763=0, 0), ""))</f>
        <v/>
      </c>
      <c r="H763" s="1"/>
      <c r="I763" s="4" t="str">
        <f>IF(Bet_Log[[#This Row],[Result ]]="", "", IF(Bet_Log[[#This Row],[Result ]]="Win", Bet_Log[[#This Row],[Stake]]*Bet_Log[[#This Row],[Decimal]]-Bet_Log[[#This Row],[Stake]], IF(Bet_Log[[#This Row],[Result ]]="Loss", -Bet_Log[[#This Row],[Stake]], IF(Bet_Log[[#This Row],[Result ]]="Push", 0, ""))))</f>
        <v/>
      </c>
      <c r="J763" s="2" t="str">
        <f>IF(Bet_Log[[#This Row],[Return]]="", "", J762 + Bet_Log[[#This Row],[Return]])</f>
        <v/>
      </c>
      <c r="K763" s="9"/>
    </row>
    <row r="764" spans="1:11" x14ac:dyDescent="0.2">
      <c r="A764" s="27"/>
      <c r="B764" s="1"/>
      <c r="C764" s="6"/>
      <c r="D764" s="1"/>
      <c r="E764" s="7"/>
      <c r="F764" s="8"/>
      <c r="G764" s="3" t="str" cm="1">
        <f t="array" ref="G764">IF(ISBLANK(F764), "", IFERROR(_xlfn.IFS(LEFT(F764,1)="+", (VALUE(MID(F764,2,LEN(F764)))+100)/100, VALUE(F764)&gt;0, (F764+100)/100, VALUE(F764)&lt;0, (ABS(F764)+100)/ABS(F764), F764=0, 0), ""))</f>
        <v/>
      </c>
      <c r="H764" s="1"/>
      <c r="I764" s="4" t="str">
        <f>IF(Bet_Log[[#This Row],[Result ]]="", "", IF(Bet_Log[[#This Row],[Result ]]="Win", Bet_Log[[#This Row],[Stake]]*Bet_Log[[#This Row],[Decimal]]-Bet_Log[[#This Row],[Stake]], IF(Bet_Log[[#This Row],[Result ]]="Loss", -Bet_Log[[#This Row],[Stake]], IF(Bet_Log[[#This Row],[Result ]]="Push", 0, ""))))</f>
        <v/>
      </c>
      <c r="J764" s="2" t="str">
        <f>IF(Bet_Log[[#This Row],[Return]]="", "", J763 + Bet_Log[[#This Row],[Return]])</f>
        <v/>
      </c>
      <c r="K764" s="9"/>
    </row>
    <row r="765" spans="1:11" x14ac:dyDescent="0.2">
      <c r="A765" s="27"/>
      <c r="B765" s="1"/>
      <c r="C765" s="6"/>
      <c r="D765" s="1"/>
      <c r="E765" s="7"/>
      <c r="F765" s="8"/>
      <c r="G765" s="3" t="str" cm="1">
        <f t="array" ref="G765">IF(ISBLANK(F765), "", IFERROR(_xlfn.IFS(LEFT(F765,1)="+", (VALUE(MID(F765,2,LEN(F765)))+100)/100, VALUE(F765)&gt;0, (F765+100)/100, VALUE(F765)&lt;0, (ABS(F765)+100)/ABS(F765), F765=0, 0), ""))</f>
        <v/>
      </c>
      <c r="H765" s="1"/>
      <c r="I765" s="4" t="str">
        <f>IF(Bet_Log[[#This Row],[Result ]]="", "", IF(Bet_Log[[#This Row],[Result ]]="Win", Bet_Log[[#This Row],[Stake]]*Bet_Log[[#This Row],[Decimal]]-Bet_Log[[#This Row],[Stake]], IF(Bet_Log[[#This Row],[Result ]]="Loss", -Bet_Log[[#This Row],[Stake]], IF(Bet_Log[[#This Row],[Result ]]="Push", 0, ""))))</f>
        <v/>
      </c>
      <c r="J765" s="2" t="str">
        <f>IF(Bet_Log[[#This Row],[Return]]="", "", J764 + Bet_Log[[#This Row],[Return]])</f>
        <v/>
      </c>
      <c r="K765" s="9"/>
    </row>
    <row r="766" spans="1:11" x14ac:dyDescent="0.2">
      <c r="A766" s="27"/>
      <c r="B766" s="1"/>
      <c r="C766" s="6"/>
      <c r="D766" s="1"/>
      <c r="E766" s="7"/>
      <c r="F766" s="8"/>
      <c r="G766" s="3" t="str" cm="1">
        <f t="array" ref="G766">IF(ISBLANK(F766), "", IFERROR(_xlfn.IFS(LEFT(F766,1)="+", (VALUE(MID(F766,2,LEN(F766)))+100)/100, VALUE(F766)&gt;0, (F766+100)/100, VALUE(F766)&lt;0, (ABS(F766)+100)/ABS(F766), F766=0, 0), ""))</f>
        <v/>
      </c>
      <c r="H766" s="1"/>
      <c r="I766" s="4" t="str">
        <f>IF(Bet_Log[[#This Row],[Result ]]="", "", IF(Bet_Log[[#This Row],[Result ]]="Win", Bet_Log[[#This Row],[Stake]]*Bet_Log[[#This Row],[Decimal]]-Bet_Log[[#This Row],[Stake]], IF(Bet_Log[[#This Row],[Result ]]="Loss", -Bet_Log[[#This Row],[Stake]], IF(Bet_Log[[#This Row],[Result ]]="Push", 0, ""))))</f>
        <v/>
      </c>
      <c r="J766" s="2" t="str">
        <f>IF(Bet_Log[[#This Row],[Return]]="", "", J765 + Bet_Log[[#This Row],[Return]])</f>
        <v/>
      </c>
      <c r="K766" s="9"/>
    </row>
    <row r="767" spans="1:11" x14ac:dyDescent="0.2">
      <c r="A767" s="27"/>
      <c r="B767" s="1"/>
      <c r="C767" s="6"/>
      <c r="D767" s="1"/>
      <c r="E767" s="7"/>
      <c r="F767" s="8"/>
      <c r="G767" s="3" t="str" cm="1">
        <f t="array" ref="G767">IF(ISBLANK(F767), "", IFERROR(_xlfn.IFS(LEFT(F767,1)="+", (VALUE(MID(F767,2,LEN(F767)))+100)/100, VALUE(F767)&gt;0, (F767+100)/100, VALUE(F767)&lt;0, (ABS(F767)+100)/ABS(F767), F767=0, 0), ""))</f>
        <v/>
      </c>
      <c r="H767" s="1"/>
      <c r="I767" s="4" t="str">
        <f>IF(Bet_Log[[#This Row],[Result ]]="", "", IF(Bet_Log[[#This Row],[Result ]]="Win", Bet_Log[[#This Row],[Stake]]*Bet_Log[[#This Row],[Decimal]]-Bet_Log[[#This Row],[Stake]], IF(Bet_Log[[#This Row],[Result ]]="Loss", -Bet_Log[[#This Row],[Stake]], IF(Bet_Log[[#This Row],[Result ]]="Push", 0, ""))))</f>
        <v/>
      </c>
      <c r="J767" s="2" t="str">
        <f>IF(Bet_Log[[#This Row],[Return]]="", "", J766 + Bet_Log[[#This Row],[Return]])</f>
        <v/>
      </c>
      <c r="K767" s="9"/>
    </row>
    <row r="768" spans="1:11" x14ac:dyDescent="0.2">
      <c r="A768" s="27"/>
      <c r="B768" s="1"/>
      <c r="C768" s="6"/>
      <c r="D768" s="1"/>
      <c r="E768" s="7"/>
      <c r="F768" s="8"/>
      <c r="G768" s="3" t="str" cm="1">
        <f t="array" ref="G768">IF(ISBLANK(F768), "", IFERROR(_xlfn.IFS(LEFT(F768,1)="+", (VALUE(MID(F768,2,LEN(F768)))+100)/100, VALUE(F768)&gt;0, (F768+100)/100, VALUE(F768)&lt;0, (ABS(F768)+100)/ABS(F768), F768=0, 0), ""))</f>
        <v/>
      </c>
      <c r="H768" s="1"/>
      <c r="I768" s="4" t="str">
        <f>IF(Bet_Log[[#This Row],[Result ]]="", "", IF(Bet_Log[[#This Row],[Result ]]="Win", Bet_Log[[#This Row],[Stake]]*Bet_Log[[#This Row],[Decimal]]-Bet_Log[[#This Row],[Stake]], IF(Bet_Log[[#This Row],[Result ]]="Loss", -Bet_Log[[#This Row],[Stake]], IF(Bet_Log[[#This Row],[Result ]]="Push", 0, ""))))</f>
        <v/>
      </c>
      <c r="J768" s="2" t="str">
        <f>IF(Bet_Log[[#This Row],[Return]]="", "", J767 + Bet_Log[[#This Row],[Return]])</f>
        <v/>
      </c>
      <c r="K768" s="9"/>
    </row>
    <row r="769" spans="1:11" x14ac:dyDescent="0.2">
      <c r="A769" s="27"/>
      <c r="B769" s="1"/>
      <c r="C769" s="6"/>
      <c r="D769" s="1"/>
      <c r="E769" s="7"/>
      <c r="F769" s="8"/>
      <c r="G769" s="3" t="str" cm="1">
        <f t="array" ref="G769">IF(ISBLANK(F769), "", IFERROR(_xlfn.IFS(LEFT(F769,1)="+", (VALUE(MID(F769,2,LEN(F769)))+100)/100, VALUE(F769)&gt;0, (F769+100)/100, VALUE(F769)&lt;0, (ABS(F769)+100)/ABS(F769), F769=0, 0), ""))</f>
        <v/>
      </c>
      <c r="H769" s="1"/>
      <c r="I769" s="4" t="str">
        <f>IF(Bet_Log[[#This Row],[Result ]]="", "", IF(Bet_Log[[#This Row],[Result ]]="Win", Bet_Log[[#This Row],[Stake]]*Bet_Log[[#This Row],[Decimal]]-Bet_Log[[#This Row],[Stake]], IF(Bet_Log[[#This Row],[Result ]]="Loss", -Bet_Log[[#This Row],[Stake]], IF(Bet_Log[[#This Row],[Result ]]="Push", 0, ""))))</f>
        <v/>
      </c>
      <c r="J769" s="2" t="str">
        <f>IF(Bet_Log[[#This Row],[Return]]="", "", J768 + Bet_Log[[#This Row],[Return]])</f>
        <v/>
      </c>
      <c r="K769" s="9"/>
    </row>
    <row r="770" spans="1:11" x14ac:dyDescent="0.2">
      <c r="A770" s="27"/>
      <c r="B770" s="1"/>
      <c r="C770" s="6"/>
      <c r="D770" s="1"/>
      <c r="E770" s="7"/>
      <c r="F770" s="8"/>
      <c r="G770" s="3" t="str" cm="1">
        <f t="array" ref="G770">IF(ISBLANK(F770), "", IFERROR(_xlfn.IFS(LEFT(F770,1)="+", (VALUE(MID(F770,2,LEN(F770)))+100)/100, VALUE(F770)&gt;0, (F770+100)/100, VALUE(F770)&lt;0, (ABS(F770)+100)/ABS(F770), F770=0, 0), ""))</f>
        <v/>
      </c>
      <c r="H770" s="1"/>
      <c r="I770" s="4" t="str">
        <f>IF(Bet_Log[[#This Row],[Result ]]="", "", IF(Bet_Log[[#This Row],[Result ]]="Win", Bet_Log[[#This Row],[Stake]]*Bet_Log[[#This Row],[Decimal]]-Bet_Log[[#This Row],[Stake]], IF(Bet_Log[[#This Row],[Result ]]="Loss", -Bet_Log[[#This Row],[Stake]], IF(Bet_Log[[#This Row],[Result ]]="Push", 0, ""))))</f>
        <v/>
      </c>
      <c r="J770" s="2" t="str">
        <f>IF(Bet_Log[[#This Row],[Return]]="", "", J769 + Bet_Log[[#This Row],[Return]])</f>
        <v/>
      </c>
      <c r="K770" s="9"/>
    </row>
    <row r="771" spans="1:11" x14ac:dyDescent="0.2">
      <c r="A771" s="27"/>
      <c r="B771" s="1"/>
      <c r="C771" s="6"/>
      <c r="D771" s="1"/>
      <c r="E771" s="7"/>
      <c r="F771" s="8"/>
      <c r="G771" s="3" t="str" cm="1">
        <f t="array" ref="G771">IF(ISBLANK(F771), "", IFERROR(_xlfn.IFS(LEFT(F771,1)="+", (VALUE(MID(F771,2,LEN(F771)))+100)/100, VALUE(F771)&gt;0, (F771+100)/100, VALUE(F771)&lt;0, (ABS(F771)+100)/ABS(F771), F771=0, 0), ""))</f>
        <v/>
      </c>
      <c r="H771" s="1"/>
      <c r="I771" s="4" t="str">
        <f>IF(Bet_Log[[#This Row],[Result ]]="", "", IF(Bet_Log[[#This Row],[Result ]]="Win", Bet_Log[[#This Row],[Stake]]*Bet_Log[[#This Row],[Decimal]]-Bet_Log[[#This Row],[Stake]], IF(Bet_Log[[#This Row],[Result ]]="Loss", -Bet_Log[[#This Row],[Stake]], IF(Bet_Log[[#This Row],[Result ]]="Push", 0, ""))))</f>
        <v/>
      </c>
      <c r="J771" s="2" t="str">
        <f>IF(Bet_Log[[#This Row],[Return]]="", "", J770 + Bet_Log[[#This Row],[Return]])</f>
        <v/>
      </c>
      <c r="K771" s="9"/>
    </row>
    <row r="772" spans="1:11" x14ac:dyDescent="0.2">
      <c r="A772" s="27"/>
      <c r="B772" s="1"/>
      <c r="C772" s="6"/>
      <c r="D772" s="1"/>
      <c r="E772" s="7"/>
      <c r="F772" s="8"/>
      <c r="G772" s="3" t="str" cm="1">
        <f t="array" ref="G772">IF(ISBLANK(F772), "", IFERROR(_xlfn.IFS(LEFT(F772,1)="+", (VALUE(MID(F772,2,LEN(F772)))+100)/100, VALUE(F772)&gt;0, (F772+100)/100, VALUE(F772)&lt;0, (ABS(F772)+100)/ABS(F772), F772=0, 0), ""))</f>
        <v/>
      </c>
      <c r="H772" s="1"/>
      <c r="I772" s="4" t="str">
        <f>IF(Bet_Log[[#This Row],[Result ]]="", "", IF(Bet_Log[[#This Row],[Result ]]="Win", Bet_Log[[#This Row],[Stake]]*Bet_Log[[#This Row],[Decimal]]-Bet_Log[[#This Row],[Stake]], IF(Bet_Log[[#This Row],[Result ]]="Loss", -Bet_Log[[#This Row],[Stake]], IF(Bet_Log[[#This Row],[Result ]]="Push", 0, ""))))</f>
        <v/>
      </c>
      <c r="J772" s="2" t="str">
        <f>IF(Bet_Log[[#This Row],[Return]]="", "", J771 + Bet_Log[[#This Row],[Return]])</f>
        <v/>
      </c>
      <c r="K772" s="9"/>
    </row>
    <row r="773" spans="1:11" x14ac:dyDescent="0.2">
      <c r="A773" s="27"/>
      <c r="B773" s="1"/>
      <c r="C773" s="6"/>
      <c r="D773" s="1"/>
      <c r="E773" s="7"/>
      <c r="F773" s="8"/>
      <c r="G773" s="3" t="str" cm="1">
        <f t="array" ref="G773">IF(ISBLANK(F773), "", IFERROR(_xlfn.IFS(LEFT(F773,1)="+", (VALUE(MID(F773,2,LEN(F773)))+100)/100, VALUE(F773)&gt;0, (F773+100)/100, VALUE(F773)&lt;0, (ABS(F773)+100)/ABS(F773), F773=0, 0), ""))</f>
        <v/>
      </c>
      <c r="H773" s="1"/>
      <c r="I773" s="4" t="str">
        <f>IF(Bet_Log[[#This Row],[Result ]]="", "", IF(Bet_Log[[#This Row],[Result ]]="Win", Bet_Log[[#This Row],[Stake]]*Bet_Log[[#This Row],[Decimal]]-Bet_Log[[#This Row],[Stake]], IF(Bet_Log[[#This Row],[Result ]]="Loss", -Bet_Log[[#This Row],[Stake]], IF(Bet_Log[[#This Row],[Result ]]="Push", 0, ""))))</f>
        <v/>
      </c>
      <c r="J773" s="2" t="str">
        <f>IF(Bet_Log[[#This Row],[Return]]="", "", J772 + Bet_Log[[#This Row],[Return]])</f>
        <v/>
      </c>
      <c r="K773" s="9"/>
    </row>
    <row r="774" spans="1:11" x14ac:dyDescent="0.2">
      <c r="A774" s="27"/>
      <c r="B774" s="1"/>
      <c r="C774" s="6"/>
      <c r="D774" s="1"/>
      <c r="E774" s="7"/>
      <c r="F774" s="8"/>
      <c r="G774" s="3" t="str" cm="1">
        <f t="array" ref="G774">IF(ISBLANK(F774), "", IFERROR(_xlfn.IFS(LEFT(F774,1)="+", (VALUE(MID(F774,2,LEN(F774)))+100)/100, VALUE(F774)&gt;0, (F774+100)/100, VALUE(F774)&lt;0, (ABS(F774)+100)/ABS(F774), F774=0, 0), ""))</f>
        <v/>
      </c>
      <c r="H774" s="1"/>
      <c r="I774" s="4" t="str">
        <f>IF(Bet_Log[[#This Row],[Result ]]="", "", IF(Bet_Log[[#This Row],[Result ]]="Win", Bet_Log[[#This Row],[Stake]]*Bet_Log[[#This Row],[Decimal]]-Bet_Log[[#This Row],[Stake]], IF(Bet_Log[[#This Row],[Result ]]="Loss", -Bet_Log[[#This Row],[Stake]], IF(Bet_Log[[#This Row],[Result ]]="Push", 0, ""))))</f>
        <v/>
      </c>
      <c r="J774" s="2" t="str">
        <f>IF(Bet_Log[[#This Row],[Return]]="", "", J773 + Bet_Log[[#This Row],[Return]])</f>
        <v/>
      </c>
      <c r="K774" s="9"/>
    </row>
    <row r="775" spans="1:11" x14ac:dyDescent="0.2">
      <c r="A775" s="27"/>
      <c r="B775" s="1"/>
      <c r="C775" s="6"/>
      <c r="D775" s="1"/>
      <c r="E775" s="7"/>
      <c r="F775" s="8"/>
      <c r="G775" s="3" t="str" cm="1">
        <f t="array" ref="G775">IF(ISBLANK(F775), "", IFERROR(_xlfn.IFS(LEFT(F775,1)="+", (VALUE(MID(F775,2,LEN(F775)))+100)/100, VALUE(F775)&gt;0, (F775+100)/100, VALUE(F775)&lt;0, (ABS(F775)+100)/ABS(F775), F775=0, 0), ""))</f>
        <v/>
      </c>
      <c r="H775" s="1"/>
      <c r="I775" s="4" t="str">
        <f>IF(Bet_Log[[#This Row],[Result ]]="", "", IF(Bet_Log[[#This Row],[Result ]]="Win", Bet_Log[[#This Row],[Stake]]*Bet_Log[[#This Row],[Decimal]]-Bet_Log[[#This Row],[Stake]], IF(Bet_Log[[#This Row],[Result ]]="Loss", -Bet_Log[[#This Row],[Stake]], IF(Bet_Log[[#This Row],[Result ]]="Push", 0, ""))))</f>
        <v/>
      </c>
      <c r="J775" s="2" t="str">
        <f>IF(Bet_Log[[#This Row],[Return]]="", "", J774 + Bet_Log[[#This Row],[Return]])</f>
        <v/>
      </c>
      <c r="K775" s="9"/>
    </row>
    <row r="776" spans="1:11" x14ac:dyDescent="0.2">
      <c r="A776" s="27"/>
      <c r="B776" s="1"/>
      <c r="C776" s="6"/>
      <c r="D776" s="1"/>
      <c r="E776" s="7"/>
      <c r="F776" s="8"/>
      <c r="G776" s="3" t="str" cm="1">
        <f t="array" ref="G776">IF(ISBLANK(F776), "", IFERROR(_xlfn.IFS(LEFT(F776,1)="+", (VALUE(MID(F776,2,LEN(F776)))+100)/100, VALUE(F776)&gt;0, (F776+100)/100, VALUE(F776)&lt;0, (ABS(F776)+100)/ABS(F776), F776=0, 0), ""))</f>
        <v/>
      </c>
      <c r="H776" s="1"/>
      <c r="I776" s="4" t="str">
        <f>IF(Bet_Log[[#This Row],[Result ]]="", "", IF(Bet_Log[[#This Row],[Result ]]="Win", Bet_Log[[#This Row],[Stake]]*Bet_Log[[#This Row],[Decimal]]-Bet_Log[[#This Row],[Stake]], IF(Bet_Log[[#This Row],[Result ]]="Loss", -Bet_Log[[#This Row],[Stake]], IF(Bet_Log[[#This Row],[Result ]]="Push", 0, ""))))</f>
        <v/>
      </c>
      <c r="J776" s="2" t="str">
        <f>IF(Bet_Log[[#This Row],[Return]]="", "", J775 + Bet_Log[[#This Row],[Return]])</f>
        <v/>
      </c>
      <c r="K776" s="9"/>
    </row>
    <row r="777" spans="1:11" x14ac:dyDescent="0.2">
      <c r="A777" s="27"/>
      <c r="B777" s="1"/>
      <c r="C777" s="6"/>
      <c r="D777" s="1"/>
      <c r="E777" s="7"/>
      <c r="F777" s="8"/>
      <c r="G777" s="3" t="str" cm="1">
        <f t="array" ref="G777">IF(ISBLANK(F777), "", IFERROR(_xlfn.IFS(LEFT(F777,1)="+", (VALUE(MID(F777,2,LEN(F777)))+100)/100, VALUE(F777)&gt;0, (F777+100)/100, VALUE(F777)&lt;0, (ABS(F777)+100)/ABS(F777), F777=0, 0), ""))</f>
        <v/>
      </c>
      <c r="H777" s="1"/>
      <c r="I777" s="4" t="str">
        <f>IF(Bet_Log[[#This Row],[Result ]]="", "", IF(Bet_Log[[#This Row],[Result ]]="Win", Bet_Log[[#This Row],[Stake]]*Bet_Log[[#This Row],[Decimal]]-Bet_Log[[#This Row],[Stake]], IF(Bet_Log[[#This Row],[Result ]]="Loss", -Bet_Log[[#This Row],[Stake]], IF(Bet_Log[[#This Row],[Result ]]="Push", 0, ""))))</f>
        <v/>
      </c>
      <c r="J777" s="2" t="str">
        <f>IF(Bet_Log[[#This Row],[Return]]="", "", J776 + Bet_Log[[#This Row],[Return]])</f>
        <v/>
      </c>
      <c r="K777" s="9"/>
    </row>
    <row r="778" spans="1:11" x14ac:dyDescent="0.2">
      <c r="A778" s="27"/>
      <c r="B778" s="1"/>
      <c r="C778" s="6"/>
      <c r="D778" s="1"/>
      <c r="E778" s="7"/>
      <c r="F778" s="8"/>
      <c r="G778" s="3" t="str" cm="1">
        <f t="array" ref="G778">IF(ISBLANK(F778), "", IFERROR(_xlfn.IFS(LEFT(F778,1)="+", (VALUE(MID(F778,2,LEN(F778)))+100)/100, VALUE(F778)&gt;0, (F778+100)/100, VALUE(F778)&lt;0, (ABS(F778)+100)/ABS(F778), F778=0, 0), ""))</f>
        <v/>
      </c>
      <c r="H778" s="1"/>
      <c r="I778" s="4" t="str">
        <f>IF(Bet_Log[[#This Row],[Result ]]="", "", IF(Bet_Log[[#This Row],[Result ]]="Win", Bet_Log[[#This Row],[Stake]]*Bet_Log[[#This Row],[Decimal]]-Bet_Log[[#This Row],[Stake]], IF(Bet_Log[[#This Row],[Result ]]="Loss", -Bet_Log[[#This Row],[Stake]], IF(Bet_Log[[#This Row],[Result ]]="Push", 0, ""))))</f>
        <v/>
      </c>
      <c r="J778" s="2" t="str">
        <f>IF(Bet_Log[[#This Row],[Return]]="", "", J777 + Bet_Log[[#This Row],[Return]])</f>
        <v/>
      </c>
      <c r="K778" s="9"/>
    </row>
    <row r="779" spans="1:11" x14ac:dyDescent="0.2">
      <c r="A779" s="27"/>
      <c r="B779" s="1"/>
      <c r="C779" s="6"/>
      <c r="D779" s="1"/>
      <c r="E779" s="7"/>
      <c r="F779" s="8"/>
      <c r="G779" s="3" t="str" cm="1">
        <f t="array" ref="G779">IF(ISBLANK(F779), "", IFERROR(_xlfn.IFS(LEFT(F779,1)="+", (VALUE(MID(F779,2,LEN(F779)))+100)/100, VALUE(F779)&gt;0, (F779+100)/100, VALUE(F779)&lt;0, (ABS(F779)+100)/ABS(F779), F779=0, 0), ""))</f>
        <v/>
      </c>
      <c r="H779" s="1"/>
      <c r="I779" s="4" t="str">
        <f>IF(Bet_Log[[#This Row],[Result ]]="", "", IF(Bet_Log[[#This Row],[Result ]]="Win", Bet_Log[[#This Row],[Stake]]*Bet_Log[[#This Row],[Decimal]]-Bet_Log[[#This Row],[Stake]], IF(Bet_Log[[#This Row],[Result ]]="Loss", -Bet_Log[[#This Row],[Stake]], IF(Bet_Log[[#This Row],[Result ]]="Push", 0, ""))))</f>
        <v/>
      </c>
      <c r="J779" s="2" t="str">
        <f>IF(Bet_Log[[#This Row],[Return]]="", "", J778 + Bet_Log[[#This Row],[Return]])</f>
        <v/>
      </c>
      <c r="K779" s="9"/>
    </row>
    <row r="780" spans="1:11" x14ac:dyDescent="0.2">
      <c r="A780" s="27"/>
      <c r="B780" s="1"/>
      <c r="C780" s="6"/>
      <c r="D780" s="1"/>
      <c r="E780" s="7"/>
      <c r="F780" s="8"/>
      <c r="G780" s="3" t="str" cm="1">
        <f t="array" ref="G780">IF(ISBLANK(F780), "", IFERROR(_xlfn.IFS(LEFT(F780,1)="+", (VALUE(MID(F780,2,LEN(F780)))+100)/100, VALUE(F780)&gt;0, (F780+100)/100, VALUE(F780)&lt;0, (ABS(F780)+100)/ABS(F780), F780=0, 0), ""))</f>
        <v/>
      </c>
      <c r="H780" s="1"/>
      <c r="I780" s="4" t="str">
        <f>IF(Bet_Log[[#This Row],[Result ]]="", "", IF(Bet_Log[[#This Row],[Result ]]="Win", Bet_Log[[#This Row],[Stake]]*Bet_Log[[#This Row],[Decimal]]-Bet_Log[[#This Row],[Stake]], IF(Bet_Log[[#This Row],[Result ]]="Loss", -Bet_Log[[#This Row],[Stake]], IF(Bet_Log[[#This Row],[Result ]]="Push", 0, ""))))</f>
        <v/>
      </c>
      <c r="J780" s="2" t="str">
        <f>IF(Bet_Log[[#This Row],[Return]]="", "", J779 + Bet_Log[[#This Row],[Return]])</f>
        <v/>
      </c>
      <c r="K780" s="9"/>
    </row>
    <row r="781" spans="1:11" x14ac:dyDescent="0.2">
      <c r="A781" s="27"/>
      <c r="B781" s="1"/>
      <c r="C781" s="6"/>
      <c r="D781" s="1"/>
      <c r="E781" s="7"/>
      <c r="F781" s="8"/>
      <c r="G781" s="3" t="str" cm="1">
        <f t="array" ref="G781">IF(ISBLANK(F781), "", IFERROR(_xlfn.IFS(LEFT(F781,1)="+", (VALUE(MID(F781,2,LEN(F781)))+100)/100, VALUE(F781)&gt;0, (F781+100)/100, VALUE(F781)&lt;0, (ABS(F781)+100)/ABS(F781), F781=0, 0), ""))</f>
        <v/>
      </c>
      <c r="H781" s="1"/>
      <c r="I781" s="4" t="str">
        <f>IF(Bet_Log[[#This Row],[Result ]]="", "", IF(Bet_Log[[#This Row],[Result ]]="Win", Bet_Log[[#This Row],[Stake]]*Bet_Log[[#This Row],[Decimal]]-Bet_Log[[#This Row],[Stake]], IF(Bet_Log[[#This Row],[Result ]]="Loss", -Bet_Log[[#This Row],[Stake]], IF(Bet_Log[[#This Row],[Result ]]="Push", 0, ""))))</f>
        <v/>
      </c>
      <c r="J781" s="2" t="str">
        <f>IF(Bet_Log[[#This Row],[Return]]="", "", J780 + Bet_Log[[#This Row],[Return]])</f>
        <v/>
      </c>
      <c r="K781" s="9"/>
    </row>
    <row r="782" spans="1:11" x14ac:dyDescent="0.2">
      <c r="A782" s="27"/>
      <c r="B782" s="1"/>
      <c r="C782" s="6"/>
      <c r="D782" s="1"/>
      <c r="E782" s="7"/>
      <c r="F782" s="8"/>
      <c r="G782" s="3" t="str" cm="1">
        <f t="array" ref="G782">IF(ISBLANK(F782), "", IFERROR(_xlfn.IFS(LEFT(F782,1)="+", (VALUE(MID(F782,2,LEN(F782)))+100)/100, VALUE(F782)&gt;0, (F782+100)/100, VALUE(F782)&lt;0, (ABS(F782)+100)/ABS(F782), F782=0, 0), ""))</f>
        <v/>
      </c>
      <c r="H782" s="1"/>
      <c r="I782" s="4" t="str">
        <f>IF(Bet_Log[[#This Row],[Result ]]="", "", IF(Bet_Log[[#This Row],[Result ]]="Win", Bet_Log[[#This Row],[Stake]]*Bet_Log[[#This Row],[Decimal]]-Bet_Log[[#This Row],[Stake]], IF(Bet_Log[[#This Row],[Result ]]="Loss", -Bet_Log[[#This Row],[Stake]], IF(Bet_Log[[#This Row],[Result ]]="Push", 0, ""))))</f>
        <v/>
      </c>
      <c r="J782" s="2" t="str">
        <f>IF(Bet_Log[[#This Row],[Return]]="", "", J781 + Bet_Log[[#This Row],[Return]])</f>
        <v/>
      </c>
      <c r="K782" s="9"/>
    </row>
    <row r="783" spans="1:11" x14ac:dyDescent="0.2">
      <c r="A783" s="27"/>
      <c r="B783" s="1"/>
      <c r="C783" s="6"/>
      <c r="D783" s="1"/>
      <c r="E783" s="7"/>
      <c r="F783" s="8"/>
      <c r="G783" s="3" t="str" cm="1">
        <f t="array" ref="G783">IF(ISBLANK(F783), "", IFERROR(_xlfn.IFS(LEFT(F783,1)="+", (VALUE(MID(F783,2,LEN(F783)))+100)/100, VALUE(F783)&gt;0, (F783+100)/100, VALUE(F783)&lt;0, (ABS(F783)+100)/ABS(F783), F783=0, 0), ""))</f>
        <v/>
      </c>
      <c r="H783" s="1"/>
      <c r="I783" s="4" t="str">
        <f>IF(Bet_Log[[#This Row],[Result ]]="", "", IF(Bet_Log[[#This Row],[Result ]]="Win", Bet_Log[[#This Row],[Stake]]*Bet_Log[[#This Row],[Decimal]]-Bet_Log[[#This Row],[Stake]], IF(Bet_Log[[#This Row],[Result ]]="Loss", -Bet_Log[[#This Row],[Stake]], IF(Bet_Log[[#This Row],[Result ]]="Push", 0, ""))))</f>
        <v/>
      </c>
      <c r="J783" s="2" t="str">
        <f>IF(Bet_Log[[#This Row],[Return]]="", "", J782 + Bet_Log[[#This Row],[Return]])</f>
        <v/>
      </c>
      <c r="K783" s="9"/>
    </row>
    <row r="784" spans="1:11" x14ac:dyDescent="0.2">
      <c r="A784" s="27"/>
      <c r="B784" s="1"/>
      <c r="C784" s="6"/>
      <c r="D784" s="1"/>
      <c r="E784" s="7"/>
      <c r="F784" s="8"/>
      <c r="G784" s="3" t="str" cm="1">
        <f t="array" ref="G784">IF(ISBLANK(F784), "", IFERROR(_xlfn.IFS(LEFT(F784,1)="+", (VALUE(MID(F784,2,LEN(F784)))+100)/100, VALUE(F784)&gt;0, (F784+100)/100, VALUE(F784)&lt;0, (ABS(F784)+100)/ABS(F784), F784=0, 0), ""))</f>
        <v/>
      </c>
      <c r="H784" s="1"/>
      <c r="I784" s="4" t="str">
        <f>IF(Bet_Log[[#This Row],[Result ]]="", "", IF(Bet_Log[[#This Row],[Result ]]="Win", Bet_Log[[#This Row],[Stake]]*Bet_Log[[#This Row],[Decimal]]-Bet_Log[[#This Row],[Stake]], IF(Bet_Log[[#This Row],[Result ]]="Loss", -Bet_Log[[#This Row],[Stake]], IF(Bet_Log[[#This Row],[Result ]]="Push", 0, ""))))</f>
        <v/>
      </c>
      <c r="J784" s="2" t="str">
        <f>IF(Bet_Log[[#This Row],[Return]]="", "", J783 + Bet_Log[[#This Row],[Return]])</f>
        <v/>
      </c>
      <c r="K784" s="9"/>
    </row>
    <row r="785" spans="1:11" x14ac:dyDescent="0.2">
      <c r="A785" s="27"/>
      <c r="B785" s="1"/>
      <c r="C785" s="6"/>
      <c r="D785" s="1"/>
      <c r="E785" s="7"/>
      <c r="F785" s="8"/>
      <c r="G785" s="3" t="str" cm="1">
        <f t="array" ref="G785">IF(ISBLANK(F785), "", IFERROR(_xlfn.IFS(LEFT(F785,1)="+", (VALUE(MID(F785,2,LEN(F785)))+100)/100, VALUE(F785)&gt;0, (F785+100)/100, VALUE(F785)&lt;0, (ABS(F785)+100)/ABS(F785), F785=0, 0), ""))</f>
        <v/>
      </c>
      <c r="H785" s="1"/>
      <c r="I785" s="4" t="str">
        <f>IF(Bet_Log[[#This Row],[Result ]]="", "", IF(Bet_Log[[#This Row],[Result ]]="Win", Bet_Log[[#This Row],[Stake]]*Bet_Log[[#This Row],[Decimal]]-Bet_Log[[#This Row],[Stake]], IF(Bet_Log[[#This Row],[Result ]]="Loss", -Bet_Log[[#This Row],[Stake]], IF(Bet_Log[[#This Row],[Result ]]="Push", 0, ""))))</f>
        <v/>
      </c>
      <c r="J785" s="2" t="str">
        <f>IF(Bet_Log[[#This Row],[Return]]="", "", J784 + Bet_Log[[#This Row],[Return]])</f>
        <v/>
      </c>
      <c r="K785" s="9"/>
    </row>
    <row r="786" spans="1:11" x14ac:dyDescent="0.2">
      <c r="A786" s="27"/>
      <c r="B786" s="1"/>
      <c r="C786" s="6"/>
      <c r="D786" s="1"/>
      <c r="E786" s="7"/>
      <c r="F786" s="8"/>
      <c r="G786" s="3" t="str" cm="1">
        <f t="array" ref="G786">IF(ISBLANK(F786), "", IFERROR(_xlfn.IFS(LEFT(F786,1)="+", (VALUE(MID(F786,2,LEN(F786)))+100)/100, VALUE(F786)&gt;0, (F786+100)/100, VALUE(F786)&lt;0, (ABS(F786)+100)/ABS(F786), F786=0, 0), ""))</f>
        <v/>
      </c>
      <c r="H786" s="1"/>
      <c r="I786" s="4" t="str">
        <f>IF(Bet_Log[[#This Row],[Result ]]="", "", IF(Bet_Log[[#This Row],[Result ]]="Win", Bet_Log[[#This Row],[Stake]]*Bet_Log[[#This Row],[Decimal]]-Bet_Log[[#This Row],[Stake]], IF(Bet_Log[[#This Row],[Result ]]="Loss", -Bet_Log[[#This Row],[Stake]], IF(Bet_Log[[#This Row],[Result ]]="Push", 0, ""))))</f>
        <v/>
      </c>
      <c r="J786" s="2" t="str">
        <f>IF(Bet_Log[[#This Row],[Return]]="", "", J785 + Bet_Log[[#This Row],[Return]])</f>
        <v/>
      </c>
      <c r="K786" s="9"/>
    </row>
    <row r="787" spans="1:11" x14ac:dyDescent="0.2">
      <c r="A787" s="27"/>
      <c r="B787" s="1"/>
      <c r="C787" s="6"/>
      <c r="D787" s="1"/>
      <c r="E787" s="7"/>
      <c r="F787" s="8"/>
      <c r="G787" s="3" t="str" cm="1">
        <f t="array" ref="G787">IF(ISBLANK(F787), "", IFERROR(_xlfn.IFS(LEFT(F787,1)="+", (VALUE(MID(F787,2,LEN(F787)))+100)/100, VALUE(F787)&gt;0, (F787+100)/100, VALUE(F787)&lt;0, (ABS(F787)+100)/ABS(F787), F787=0, 0), ""))</f>
        <v/>
      </c>
      <c r="H787" s="1"/>
      <c r="I787" s="4" t="str">
        <f>IF(Bet_Log[[#This Row],[Result ]]="", "", IF(Bet_Log[[#This Row],[Result ]]="Win", Bet_Log[[#This Row],[Stake]]*Bet_Log[[#This Row],[Decimal]]-Bet_Log[[#This Row],[Stake]], IF(Bet_Log[[#This Row],[Result ]]="Loss", -Bet_Log[[#This Row],[Stake]], IF(Bet_Log[[#This Row],[Result ]]="Push", 0, ""))))</f>
        <v/>
      </c>
      <c r="J787" s="2" t="str">
        <f>IF(Bet_Log[[#This Row],[Return]]="", "", J786 + Bet_Log[[#This Row],[Return]])</f>
        <v/>
      </c>
      <c r="K787" s="9"/>
    </row>
    <row r="788" spans="1:11" x14ac:dyDescent="0.2">
      <c r="A788" s="27"/>
      <c r="B788" s="1"/>
      <c r="C788" s="6"/>
      <c r="D788" s="1"/>
      <c r="E788" s="7"/>
      <c r="F788" s="8"/>
      <c r="G788" s="3" t="str" cm="1">
        <f t="array" ref="G788">IF(ISBLANK(F788), "", IFERROR(_xlfn.IFS(LEFT(F788,1)="+", (VALUE(MID(F788,2,LEN(F788)))+100)/100, VALUE(F788)&gt;0, (F788+100)/100, VALUE(F788)&lt;0, (ABS(F788)+100)/ABS(F788), F788=0, 0), ""))</f>
        <v/>
      </c>
      <c r="H788" s="1"/>
      <c r="I788" s="4" t="str">
        <f>IF(Bet_Log[[#This Row],[Result ]]="", "", IF(Bet_Log[[#This Row],[Result ]]="Win", Bet_Log[[#This Row],[Stake]]*Bet_Log[[#This Row],[Decimal]]-Bet_Log[[#This Row],[Stake]], IF(Bet_Log[[#This Row],[Result ]]="Loss", -Bet_Log[[#This Row],[Stake]], IF(Bet_Log[[#This Row],[Result ]]="Push", 0, ""))))</f>
        <v/>
      </c>
      <c r="J788" s="2" t="str">
        <f>IF(Bet_Log[[#This Row],[Return]]="", "", J787 + Bet_Log[[#This Row],[Return]])</f>
        <v/>
      </c>
      <c r="K788" s="9"/>
    </row>
    <row r="789" spans="1:11" x14ac:dyDescent="0.2">
      <c r="A789" s="27"/>
      <c r="B789" s="1"/>
      <c r="C789" s="6"/>
      <c r="D789" s="1"/>
      <c r="E789" s="7"/>
      <c r="F789" s="8"/>
      <c r="G789" s="3" t="str" cm="1">
        <f t="array" ref="G789">IF(ISBLANK(F789), "", IFERROR(_xlfn.IFS(LEFT(F789,1)="+", (VALUE(MID(F789,2,LEN(F789)))+100)/100, VALUE(F789)&gt;0, (F789+100)/100, VALUE(F789)&lt;0, (ABS(F789)+100)/ABS(F789), F789=0, 0), ""))</f>
        <v/>
      </c>
      <c r="H789" s="1"/>
      <c r="I789" s="4" t="str">
        <f>IF(Bet_Log[[#This Row],[Result ]]="", "", IF(Bet_Log[[#This Row],[Result ]]="Win", Bet_Log[[#This Row],[Stake]]*Bet_Log[[#This Row],[Decimal]]-Bet_Log[[#This Row],[Stake]], IF(Bet_Log[[#This Row],[Result ]]="Loss", -Bet_Log[[#This Row],[Stake]], IF(Bet_Log[[#This Row],[Result ]]="Push", 0, ""))))</f>
        <v/>
      </c>
      <c r="J789" s="2" t="str">
        <f>IF(Bet_Log[[#This Row],[Return]]="", "", J788 + Bet_Log[[#This Row],[Return]])</f>
        <v/>
      </c>
      <c r="K789" s="9"/>
    </row>
    <row r="790" spans="1:11" x14ac:dyDescent="0.2">
      <c r="A790" s="27"/>
      <c r="B790" s="1"/>
      <c r="C790" s="6"/>
      <c r="D790" s="1"/>
      <c r="E790" s="7"/>
      <c r="F790" s="8"/>
      <c r="G790" s="3" t="str" cm="1">
        <f t="array" ref="G790">IF(ISBLANK(F790), "", IFERROR(_xlfn.IFS(LEFT(F790,1)="+", (VALUE(MID(F790,2,LEN(F790)))+100)/100, VALUE(F790)&gt;0, (F790+100)/100, VALUE(F790)&lt;0, (ABS(F790)+100)/ABS(F790), F790=0, 0), ""))</f>
        <v/>
      </c>
      <c r="H790" s="1"/>
      <c r="I790" s="4" t="str">
        <f>IF(Bet_Log[[#This Row],[Result ]]="", "", IF(Bet_Log[[#This Row],[Result ]]="Win", Bet_Log[[#This Row],[Stake]]*Bet_Log[[#This Row],[Decimal]]-Bet_Log[[#This Row],[Stake]], IF(Bet_Log[[#This Row],[Result ]]="Loss", -Bet_Log[[#This Row],[Stake]], IF(Bet_Log[[#This Row],[Result ]]="Push", 0, ""))))</f>
        <v/>
      </c>
      <c r="J790" s="2" t="str">
        <f>IF(Bet_Log[[#This Row],[Return]]="", "", J789 + Bet_Log[[#This Row],[Return]])</f>
        <v/>
      </c>
      <c r="K790" s="9"/>
    </row>
    <row r="791" spans="1:11" x14ac:dyDescent="0.2">
      <c r="A791" s="27"/>
      <c r="B791" s="1"/>
      <c r="C791" s="6"/>
      <c r="D791" s="1"/>
      <c r="E791" s="7"/>
      <c r="F791" s="8"/>
      <c r="G791" s="3" t="str" cm="1">
        <f t="array" ref="G791">IF(ISBLANK(F791), "", IFERROR(_xlfn.IFS(LEFT(F791,1)="+", (VALUE(MID(F791,2,LEN(F791)))+100)/100, VALUE(F791)&gt;0, (F791+100)/100, VALUE(F791)&lt;0, (ABS(F791)+100)/ABS(F791), F791=0, 0), ""))</f>
        <v/>
      </c>
      <c r="H791" s="1"/>
      <c r="I791" s="4" t="str">
        <f>IF(Bet_Log[[#This Row],[Result ]]="", "", IF(Bet_Log[[#This Row],[Result ]]="Win", Bet_Log[[#This Row],[Stake]]*Bet_Log[[#This Row],[Decimal]]-Bet_Log[[#This Row],[Stake]], IF(Bet_Log[[#This Row],[Result ]]="Loss", -Bet_Log[[#This Row],[Stake]], IF(Bet_Log[[#This Row],[Result ]]="Push", 0, ""))))</f>
        <v/>
      </c>
      <c r="J791" s="2" t="str">
        <f>IF(Bet_Log[[#This Row],[Return]]="", "", J790 + Bet_Log[[#This Row],[Return]])</f>
        <v/>
      </c>
      <c r="K791" s="9"/>
    </row>
    <row r="792" spans="1:11" x14ac:dyDescent="0.2">
      <c r="A792" s="27"/>
      <c r="B792" s="1"/>
      <c r="C792" s="6"/>
      <c r="D792" s="1"/>
      <c r="E792" s="7"/>
      <c r="F792" s="8"/>
      <c r="G792" s="3" t="str" cm="1">
        <f t="array" ref="G792">IF(ISBLANK(F792), "", IFERROR(_xlfn.IFS(LEFT(F792,1)="+", (VALUE(MID(F792,2,LEN(F792)))+100)/100, VALUE(F792)&gt;0, (F792+100)/100, VALUE(F792)&lt;0, (ABS(F792)+100)/ABS(F792), F792=0, 0), ""))</f>
        <v/>
      </c>
      <c r="H792" s="1"/>
      <c r="I792" s="4" t="str">
        <f>IF(Bet_Log[[#This Row],[Result ]]="", "", IF(Bet_Log[[#This Row],[Result ]]="Win", Bet_Log[[#This Row],[Stake]]*Bet_Log[[#This Row],[Decimal]]-Bet_Log[[#This Row],[Stake]], IF(Bet_Log[[#This Row],[Result ]]="Loss", -Bet_Log[[#This Row],[Stake]], IF(Bet_Log[[#This Row],[Result ]]="Push", 0, ""))))</f>
        <v/>
      </c>
      <c r="J792" s="2" t="str">
        <f>IF(Bet_Log[[#This Row],[Return]]="", "", J791 + Bet_Log[[#This Row],[Return]])</f>
        <v/>
      </c>
      <c r="K792" s="9"/>
    </row>
    <row r="793" spans="1:11" x14ac:dyDescent="0.2">
      <c r="A793" s="27"/>
      <c r="B793" s="1"/>
      <c r="C793" s="6"/>
      <c r="D793" s="1"/>
      <c r="E793" s="7"/>
      <c r="F793" s="8"/>
      <c r="G793" s="3" t="str" cm="1">
        <f t="array" ref="G793">IF(ISBLANK(F793), "", IFERROR(_xlfn.IFS(LEFT(F793,1)="+", (VALUE(MID(F793,2,LEN(F793)))+100)/100, VALUE(F793)&gt;0, (F793+100)/100, VALUE(F793)&lt;0, (ABS(F793)+100)/ABS(F793), F793=0, 0), ""))</f>
        <v/>
      </c>
      <c r="H793" s="1"/>
      <c r="I793" s="4" t="str">
        <f>IF(Bet_Log[[#This Row],[Result ]]="", "", IF(Bet_Log[[#This Row],[Result ]]="Win", Bet_Log[[#This Row],[Stake]]*Bet_Log[[#This Row],[Decimal]]-Bet_Log[[#This Row],[Stake]], IF(Bet_Log[[#This Row],[Result ]]="Loss", -Bet_Log[[#This Row],[Stake]], IF(Bet_Log[[#This Row],[Result ]]="Push", 0, ""))))</f>
        <v/>
      </c>
      <c r="J793" s="2" t="str">
        <f>IF(Bet_Log[[#This Row],[Return]]="", "", J792 + Bet_Log[[#This Row],[Return]])</f>
        <v/>
      </c>
      <c r="K793" s="9"/>
    </row>
    <row r="794" spans="1:11" x14ac:dyDescent="0.2">
      <c r="A794" s="27"/>
      <c r="B794" s="1"/>
      <c r="C794" s="6"/>
      <c r="D794" s="1"/>
      <c r="E794" s="7"/>
      <c r="F794" s="8"/>
      <c r="G794" s="3" t="str" cm="1">
        <f t="array" ref="G794">IF(ISBLANK(F794), "", IFERROR(_xlfn.IFS(LEFT(F794,1)="+", (VALUE(MID(F794,2,LEN(F794)))+100)/100, VALUE(F794)&gt;0, (F794+100)/100, VALUE(F794)&lt;0, (ABS(F794)+100)/ABS(F794), F794=0, 0), ""))</f>
        <v/>
      </c>
      <c r="H794" s="1"/>
      <c r="I794" s="4" t="str">
        <f>IF(Bet_Log[[#This Row],[Result ]]="", "", IF(Bet_Log[[#This Row],[Result ]]="Win", Bet_Log[[#This Row],[Stake]]*Bet_Log[[#This Row],[Decimal]]-Bet_Log[[#This Row],[Stake]], IF(Bet_Log[[#This Row],[Result ]]="Loss", -Bet_Log[[#This Row],[Stake]], IF(Bet_Log[[#This Row],[Result ]]="Push", 0, ""))))</f>
        <v/>
      </c>
      <c r="J794" s="2" t="str">
        <f>IF(Bet_Log[[#This Row],[Return]]="", "", J793 + Bet_Log[[#This Row],[Return]])</f>
        <v/>
      </c>
      <c r="K794" s="9"/>
    </row>
    <row r="795" spans="1:11" x14ac:dyDescent="0.2">
      <c r="A795" s="27"/>
      <c r="B795" s="1"/>
      <c r="C795" s="6"/>
      <c r="D795" s="1"/>
      <c r="E795" s="7"/>
      <c r="F795" s="8"/>
      <c r="G795" s="3" t="str" cm="1">
        <f t="array" ref="G795">IF(ISBLANK(F795), "", IFERROR(_xlfn.IFS(LEFT(F795,1)="+", (VALUE(MID(F795,2,LEN(F795)))+100)/100, VALUE(F795)&gt;0, (F795+100)/100, VALUE(F795)&lt;0, (ABS(F795)+100)/ABS(F795), F795=0, 0), ""))</f>
        <v/>
      </c>
      <c r="H795" s="1"/>
      <c r="I795" s="4" t="str">
        <f>IF(Bet_Log[[#This Row],[Result ]]="", "", IF(Bet_Log[[#This Row],[Result ]]="Win", Bet_Log[[#This Row],[Stake]]*Bet_Log[[#This Row],[Decimal]]-Bet_Log[[#This Row],[Stake]], IF(Bet_Log[[#This Row],[Result ]]="Loss", -Bet_Log[[#This Row],[Stake]], IF(Bet_Log[[#This Row],[Result ]]="Push", 0, ""))))</f>
        <v/>
      </c>
      <c r="J795" s="2" t="str">
        <f>IF(Bet_Log[[#This Row],[Return]]="", "", J794 + Bet_Log[[#This Row],[Return]])</f>
        <v/>
      </c>
      <c r="K795" s="9"/>
    </row>
    <row r="796" spans="1:11" x14ac:dyDescent="0.2">
      <c r="A796" s="27"/>
      <c r="B796" s="1"/>
      <c r="C796" s="6"/>
      <c r="D796" s="1"/>
      <c r="E796" s="7"/>
      <c r="F796" s="8"/>
      <c r="G796" s="3" t="str" cm="1">
        <f t="array" ref="G796">IF(ISBLANK(F796), "", IFERROR(_xlfn.IFS(LEFT(F796,1)="+", (VALUE(MID(F796,2,LEN(F796)))+100)/100, VALUE(F796)&gt;0, (F796+100)/100, VALUE(F796)&lt;0, (ABS(F796)+100)/ABS(F796), F796=0, 0), ""))</f>
        <v/>
      </c>
      <c r="H796" s="1"/>
      <c r="I796" s="4" t="str">
        <f>IF(Bet_Log[[#This Row],[Result ]]="", "", IF(Bet_Log[[#This Row],[Result ]]="Win", Bet_Log[[#This Row],[Stake]]*Bet_Log[[#This Row],[Decimal]]-Bet_Log[[#This Row],[Stake]], IF(Bet_Log[[#This Row],[Result ]]="Loss", -Bet_Log[[#This Row],[Stake]], IF(Bet_Log[[#This Row],[Result ]]="Push", 0, ""))))</f>
        <v/>
      </c>
      <c r="J796" s="2" t="str">
        <f>IF(Bet_Log[[#This Row],[Return]]="", "", J795 + Bet_Log[[#This Row],[Return]])</f>
        <v/>
      </c>
      <c r="K796" s="9"/>
    </row>
    <row r="797" spans="1:11" x14ac:dyDescent="0.2">
      <c r="A797" s="27"/>
      <c r="B797" s="1"/>
      <c r="C797" s="6"/>
      <c r="D797" s="1"/>
      <c r="E797" s="7"/>
      <c r="F797" s="8"/>
      <c r="G797" s="3" t="str" cm="1">
        <f t="array" ref="G797">IF(ISBLANK(F797), "", IFERROR(_xlfn.IFS(LEFT(F797,1)="+", (VALUE(MID(F797,2,LEN(F797)))+100)/100, VALUE(F797)&gt;0, (F797+100)/100, VALUE(F797)&lt;0, (ABS(F797)+100)/ABS(F797), F797=0, 0), ""))</f>
        <v/>
      </c>
      <c r="H797" s="1"/>
      <c r="I797" s="4" t="str">
        <f>IF(Bet_Log[[#This Row],[Result ]]="", "", IF(Bet_Log[[#This Row],[Result ]]="Win", Bet_Log[[#This Row],[Stake]]*Bet_Log[[#This Row],[Decimal]]-Bet_Log[[#This Row],[Stake]], IF(Bet_Log[[#This Row],[Result ]]="Loss", -Bet_Log[[#This Row],[Stake]], IF(Bet_Log[[#This Row],[Result ]]="Push", 0, ""))))</f>
        <v/>
      </c>
      <c r="J797" s="2" t="str">
        <f>IF(Bet_Log[[#This Row],[Return]]="", "", J796 + Bet_Log[[#This Row],[Return]])</f>
        <v/>
      </c>
      <c r="K797" s="9"/>
    </row>
    <row r="798" spans="1:11" x14ac:dyDescent="0.2">
      <c r="A798" s="27"/>
      <c r="B798" s="1"/>
      <c r="C798" s="6"/>
      <c r="D798" s="1"/>
      <c r="E798" s="7"/>
      <c r="F798" s="8"/>
      <c r="G798" s="3" t="str" cm="1">
        <f t="array" ref="G798">IF(ISBLANK(F798), "", IFERROR(_xlfn.IFS(LEFT(F798,1)="+", (VALUE(MID(F798,2,LEN(F798)))+100)/100, VALUE(F798)&gt;0, (F798+100)/100, VALUE(F798)&lt;0, (ABS(F798)+100)/ABS(F798), F798=0, 0), ""))</f>
        <v/>
      </c>
      <c r="H798" s="1"/>
      <c r="I798" s="4" t="str">
        <f>IF(Bet_Log[[#This Row],[Result ]]="", "", IF(Bet_Log[[#This Row],[Result ]]="Win", Bet_Log[[#This Row],[Stake]]*Bet_Log[[#This Row],[Decimal]]-Bet_Log[[#This Row],[Stake]], IF(Bet_Log[[#This Row],[Result ]]="Loss", -Bet_Log[[#This Row],[Stake]], IF(Bet_Log[[#This Row],[Result ]]="Push", 0, ""))))</f>
        <v/>
      </c>
      <c r="J798" s="2" t="str">
        <f>IF(Bet_Log[[#This Row],[Return]]="", "", J797 + Bet_Log[[#This Row],[Return]])</f>
        <v/>
      </c>
      <c r="K798" s="9"/>
    </row>
    <row r="799" spans="1:11" x14ac:dyDescent="0.2">
      <c r="A799" s="27"/>
      <c r="B799" s="1"/>
      <c r="C799" s="6"/>
      <c r="D799" s="1"/>
      <c r="E799" s="7"/>
      <c r="F799" s="8"/>
      <c r="G799" s="3" t="str" cm="1">
        <f t="array" ref="G799">IF(ISBLANK(F799), "", IFERROR(_xlfn.IFS(LEFT(F799,1)="+", (VALUE(MID(F799,2,LEN(F799)))+100)/100, VALUE(F799)&gt;0, (F799+100)/100, VALUE(F799)&lt;0, (ABS(F799)+100)/ABS(F799), F799=0, 0), ""))</f>
        <v/>
      </c>
      <c r="H799" s="1"/>
      <c r="I799" s="4" t="str">
        <f>IF(Bet_Log[[#This Row],[Result ]]="", "", IF(Bet_Log[[#This Row],[Result ]]="Win", Bet_Log[[#This Row],[Stake]]*Bet_Log[[#This Row],[Decimal]]-Bet_Log[[#This Row],[Stake]], IF(Bet_Log[[#This Row],[Result ]]="Loss", -Bet_Log[[#This Row],[Stake]], IF(Bet_Log[[#This Row],[Result ]]="Push", 0, ""))))</f>
        <v/>
      </c>
      <c r="J799" s="2" t="str">
        <f>IF(Bet_Log[[#This Row],[Return]]="", "", J798 + Bet_Log[[#This Row],[Return]])</f>
        <v/>
      </c>
      <c r="K799" s="9"/>
    </row>
    <row r="800" spans="1:11" x14ac:dyDescent="0.2">
      <c r="A800" s="27"/>
      <c r="B800" s="1"/>
      <c r="C800" s="6"/>
      <c r="D800" s="1"/>
      <c r="E800" s="7"/>
      <c r="F800" s="8"/>
      <c r="G800" s="3" t="str" cm="1">
        <f t="array" ref="G800">IF(ISBLANK(F800), "", IFERROR(_xlfn.IFS(LEFT(F800,1)="+", (VALUE(MID(F800,2,LEN(F800)))+100)/100, VALUE(F800)&gt;0, (F800+100)/100, VALUE(F800)&lt;0, (ABS(F800)+100)/ABS(F800), F800=0, 0), ""))</f>
        <v/>
      </c>
      <c r="H800" s="1"/>
      <c r="I800" s="4" t="str">
        <f>IF(Bet_Log[[#This Row],[Result ]]="", "", IF(Bet_Log[[#This Row],[Result ]]="Win", Bet_Log[[#This Row],[Stake]]*Bet_Log[[#This Row],[Decimal]]-Bet_Log[[#This Row],[Stake]], IF(Bet_Log[[#This Row],[Result ]]="Loss", -Bet_Log[[#This Row],[Stake]], IF(Bet_Log[[#This Row],[Result ]]="Push", 0, ""))))</f>
        <v/>
      </c>
      <c r="J800" s="2" t="str">
        <f>IF(Bet_Log[[#This Row],[Return]]="", "", J799 + Bet_Log[[#This Row],[Return]])</f>
        <v/>
      </c>
      <c r="K800" s="9"/>
    </row>
    <row r="801" spans="1:11" x14ac:dyDescent="0.2">
      <c r="A801" s="27"/>
      <c r="B801" s="1"/>
      <c r="C801" s="6"/>
      <c r="D801" s="1"/>
      <c r="E801" s="7"/>
      <c r="F801" s="8"/>
      <c r="G801" s="3" t="str" cm="1">
        <f t="array" ref="G801">IF(ISBLANK(F801), "", IFERROR(_xlfn.IFS(LEFT(F801,1)="+", (VALUE(MID(F801,2,LEN(F801)))+100)/100, VALUE(F801)&gt;0, (F801+100)/100, VALUE(F801)&lt;0, (ABS(F801)+100)/ABS(F801), F801=0, 0), ""))</f>
        <v/>
      </c>
      <c r="H801" s="1"/>
      <c r="I801" s="4" t="str">
        <f>IF(Bet_Log[[#This Row],[Result ]]="", "", IF(Bet_Log[[#This Row],[Result ]]="Win", Bet_Log[[#This Row],[Stake]]*Bet_Log[[#This Row],[Decimal]]-Bet_Log[[#This Row],[Stake]], IF(Bet_Log[[#This Row],[Result ]]="Loss", -Bet_Log[[#This Row],[Stake]], IF(Bet_Log[[#This Row],[Result ]]="Push", 0, ""))))</f>
        <v/>
      </c>
      <c r="J801" s="2" t="str">
        <f>IF(Bet_Log[[#This Row],[Return]]="", "", J800 + Bet_Log[[#This Row],[Return]])</f>
        <v/>
      </c>
      <c r="K801" s="9"/>
    </row>
    <row r="802" spans="1:11" x14ac:dyDescent="0.2">
      <c r="A802" s="27"/>
      <c r="B802" s="1"/>
      <c r="C802" s="6"/>
      <c r="D802" s="1"/>
      <c r="E802" s="7"/>
      <c r="F802" s="8"/>
      <c r="G802" s="3" t="str" cm="1">
        <f t="array" ref="G802">IF(ISBLANK(F802), "", IFERROR(_xlfn.IFS(LEFT(F802,1)="+", (VALUE(MID(F802,2,LEN(F802)))+100)/100, VALUE(F802)&gt;0, (F802+100)/100, VALUE(F802)&lt;0, (ABS(F802)+100)/ABS(F802), F802=0, 0), ""))</f>
        <v/>
      </c>
      <c r="H802" s="1"/>
      <c r="I802" s="4" t="str">
        <f>IF(Bet_Log[[#This Row],[Result ]]="", "", IF(Bet_Log[[#This Row],[Result ]]="Win", Bet_Log[[#This Row],[Stake]]*Bet_Log[[#This Row],[Decimal]]-Bet_Log[[#This Row],[Stake]], IF(Bet_Log[[#This Row],[Result ]]="Loss", -Bet_Log[[#This Row],[Stake]], IF(Bet_Log[[#This Row],[Result ]]="Push", 0, ""))))</f>
        <v/>
      </c>
      <c r="J802" s="2" t="str">
        <f>IF(Bet_Log[[#This Row],[Return]]="", "", J801 + Bet_Log[[#This Row],[Return]])</f>
        <v/>
      </c>
      <c r="K802" s="9"/>
    </row>
    <row r="803" spans="1:11" x14ac:dyDescent="0.2">
      <c r="A803" s="27"/>
      <c r="B803" s="1"/>
      <c r="C803" s="6"/>
      <c r="D803" s="1"/>
      <c r="E803" s="7"/>
      <c r="F803" s="8"/>
      <c r="G803" s="3" t="str" cm="1">
        <f t="array" ref="G803">IF(ISBLANK(F803), "", IFERROR(_xlfn.IFS(LEFT(F803,1)="+", (VALUE(MID(F803,2,LEN(F803)))+100)/100, VALUE(F803)&gt;0, (F803+100)/100, VALUE(F803)&lt;0, (ABS(F803)+100)/ABS(F803), F803=0, 0), ""))</f>
        <v/>
      </c>
      <c r="H803" s="1"/>
      <c r="I803" s="4" t="str">
        <f>IF(Bet_Log[[#This Row],[Result ]]="", "", IF(Bet_Log[[#This Row],[Result ]]="Win", Bet_Log[[#This Row],[Stake]]*Bet_Log[[#This Row],[Decimal]]-Bet_Log[[#This Row],[Stake]], IF(Bet_Log[[#This Row],[Result ]]="Loss", -Bet_Log[[#This Row],[Stake]], IF(Bet_Log[[#This Row],[Result ]]="Push", 0, ""))))</f>
        <v/>
      </c>
      <c r="J803" s="2" t="str">
        <f>IF(Bet_Log[[#This Row],[Return]]="", "", J802 + Bet_Log[[#This Row],[Return]])</f>
        <v/>
      </c>
      <c r="K803" s="9"/>
    </row>
    <row r="804" spans="1:11" x14ac:dyDescent="0.2">
      <c r="A804" s="27"/>
      <c r="B804" s="1"/>
      <c r="C804" s="6"/>
      <c r="D804" s="1"/>
      <c r="E804" s="7"/>
      <c r="F804" s="8"/>
      <c r="G804" s="3" t="str" cm="1">
        <f t="array" ref="G804">IF(ISBLANK(F804), "", IFERROR(_xlfn.IFS(LEFT(F804,1)="+", (VALUE(MID(F804,2,LEN(F804)))+100)/100, VALUE(F804)&gt;0, (F804+100)/100, VALUE(F804)&lt;0, (ABS(F804)+100)/ABS(F804), F804=0, 0), ""))</f>
        <v/>
      </c>
      <c r="H804" s="1"/>
      <c r="I804" s="4" t="str">
        <f>IF(Bet_Log[[#This Row],[Result ]]="", "", IF(Bet_Log[[#This Row],[Result ]]="Win", Bet_Log[[#This Row],[Stake]]*Bet_Log[[#This Row],[Decimal]]-Bet_Log[[#This Row],[Stake]], IF(Bet_Log[[#This Row],[Result ]]="Loss", -Bet_Log[[#This Row],[Stake]], IF(Bet_Log[[#This Row],[Result ]]="Push", 0, ""))))</f>
        <v/>
      </c>
      <c r="J804" s="2" t="str">
        <f>IF(Bet_Log[[#This Row],[Return]]="", "", J803 + Bet_Log[[#This Row],[Return]])</f>
        <v/>
      </c>
      <c r="K804" s="9"/>
    </row>
    <row r="805" spans="1:11" x14ac:dyDescent="0.2">
      <c r="A805" s="27"/>
      <c r="B805" s="1"/>
      <c r="C805" s="6"/>
      <c r="D805" s="1"/>
      <c r="E805" s="7"/>
      <c r="F805" s="8"/>
      <c r="G805" s="3" t="str" cm="1">
        <f t="array" ref="G805">IF(ISBLANK(F805), "", IFERROR(_xlfn.IFS(LEFT(F805,1)="+", (VALUE(MID(F805,2,LEN(F805)))+100)/100, VALUE(F805)&gt;0, (F805+100)/100, VALUE(F805)&lt;0, (ABS(F805)+100)/ABS(F805), F805=0, 0), ""))</f>
        <v/>
      </c>
      <c r="H805" s="1"/>
      <c r="I805" s="4" t="str">
        <f>IF(Bet_Log[[#This Row],[Result ]]="", "", IF(Bet_Log[[#This Row],[Result ]]="Win", Bet_Log[[#This Row],[Stake]]*Bet_Log[[#This Row],[Decimal]]-Bet_Log[[#This Row],[Stake]], IF(Bet_Log[[#This Row],[Result ]]="Loss", -Bet_Log[[#This Row],[Stake]], IF(Bet_Log[[#This Row],[Result ]]="Push", 0, ""))))</f>
        <v/>
      </c>
      <c r="J805" s="2" t="str">
        <f>IF(Bet_Log[[#This Row],[Return]]="", "", J804 + Bet_Log[[#This Row],[Return]])</f>
        <v/>
      </c>
      <c r="K805" s="9"/>
    </row>
    <row r="806" spans="1:11" x14ac:dyDescent="0.2">
      <c r="A806" s="27"/>
      <c r="B806" s="1"/>
      <c r="C806" s="6"/>
      <c r="D806" s="1"/>
      <c r="E806" s="7"/>
      <c r="F806" s="8"/>
      <c r="G806" s="3" t="str" cm="1">
        <f t="array" ref="G806">IF(ISBLANK(F806), "", IFERROR(_xlfn.IFS(LEFT(F806,1)="+", (VALUE(MID(F806,2,LEN(F806)))+100)/100, VALUE(F806)&gt;0, (F806+100)/100, VALUE(F806)&lt;0, (ABS(F806)+100)/ABS(F806), F806=0, 0), ""))</f>
        <v/>
      </c>
      <c r="H806" s="1"/>
      <c r="I806" s="4" t="str">
        <f>IF(Bet_Log[[#This Row],[Result ]]="", "", IF(Bet_Log[[#This Row],[Result ]]="Win", Bet_Log[[#This Row],[Stake]]*Bet_Log[[#This Row],[Decimal]]-Bet_Log[[#This Row],[Stake]], IF(Bet_Log[[#This Row],[Result ]]="Loss", -Bet_Log[[#This Row],[Stake]], IF(Bet_Log[[#This Row],[Result ]]="Push", 0, ""))))</f>
        <v/>
      </c>
      <c r="J806" s="2" t="str">
        <f>IF(Bet_Log[[#This Row],[Return]]="", "", J805 + Bet_Log[[#This Row],[Return]])</f>
        <v/>
      </c>
      <c r="K806" s="9"/>
    </row>
    <row r="807" spans="1:11" x14ac:dyDescent="0.2">
      <c r="A807" s="27"/>
      <c r="B807" s="1"/>
      <c r="C807" s="6"/>
      <c r="D807" s="1"/>
      <c r="E807" s="7"/>
      <c r="F807" s="8"/>
      <c r="G807" s="3" t="str" cm="1">
        <f t="array" ref="G807">IF(ISBLANK(F807), "", IFERROR(_xlfn.IFS(LEFT(F807,1)="+", (VALUE(MID(F807,2,LEN(F807)))+100)/100, VALUE(F807)&gt;0, (F807+100)/100, VALUE(F807)&lt;0, (ABS(F807)+100)/ABS(F807), F807=0, 0), ""))</f>
        <v/>
      </c>
      <c r="H807" s="1"/>
      <c r="I807" s="4" t="str">
        <f>IF(Bet_Log[[#This Row],[Result ]]="", "", IF(Bet_Log[[#This Row],[Result ]]="Win", Bet_Log[[#This Row],[Stake]]*Bet_Log[[#This Row],[Decimal]]-Bet_Log[[#This Row],[Stake]], IF(Bet_Log[[#This Row],[Result ]]="Loss", -Bet_Log[[#This Row],[Stake]], IF(Bet_Log[[#This Row],[Result ]]="Push", 0, ""))))</f>
        <v/>
      </c>
      <c r="J807" s="2" t="str">
        <f>IF(Bet_Log[[#This Row],[Return]]="", "", J806 + Bet_Log[[#This Row],[Return]])</f>
        <v/>
      </c>
      <c r="K807" s="9"/>
    </row>
    <row r="808" spans="1:11" x14ac:dyDescent="0.2">
      <c r="A808" s="27"/>
      <c r="B808" s="1"/>
      <c r="C808" s="6"/>
      <c r="D808" s="1"/>
      <c r="E808" s="7"/>
      <c r="F808" s="8"/>
      <c r="G808" s="3" t="str" cm="1">
        <f t="array" ref="G808">IF(ISBLANK(F808), "", IFERROR(_xlfn.IFS(LEFT(F808,1)="+", (VALUE(MID(F808,2,LEN(F808)))+100)/100, VALUE(F808)&gt;0, (F808+100)/100, VALUE(F808)&lt;0, (ABS(F808)+100)/ABS(F808), F808=0, 0), ""))</f>
        <v/>
      </c>
      <c r="H808" s="1"/>
      <c r="I808" s="4" t="str">
        <f>IF(Bet_Log[[#This Row],[Result ]]="", "", IF(Bet_Log[[#This Row],[Result ]]="Win", Bet_Log[[#This Row],[Stake]]*Bet_Log[[#This Row],[Decimal]]-Bet_Log[[#This Row],[Stake]], IF(Bet_Log[[#This Row],[Result ]]="Loss", -Bet_Log[[#This Row],[Stake]], IF(Bet_Log[[#This Row],[Result ]]="Push", 0, ""))))</f>
        <v/>
      </c>
      <c r="J808" s="2" t="str">
        <f>IF(Bet_Log[[#This Row],[Return]]="", "", J807 + Bet_Log[[#This Row],[Return]])</f>
        <v/>
      </c>
      <c r="K808" s="9"/>
    </row>
    <row r="809" spans="1:11" x14ac:dyDescent="0.2">
      <c r="A809" s="27"/>
      <c r="B809" s="1"/>
      <c r="C809" s="6"/>
      <c r="D809" s="1"/>
      <c r="E809" s="7"/>
      <c r="F809" s="8"/>
      <c r="G809" s="3" t="str" cm="1">
        <f t="array" ref="G809">IF(ISBLANK(F809), "", IFERROR(_xlfn.IFS(LEFT(F809,1)="+", (VALUE(MID(F809,2,LEN(F809)))+100)/100, VALUE(F809)&gt;0, (F809+100)/100, VALUE(F809)&lt;0, (ABS(F809)+100)/ABS(F809), F809=0, 0), ""))</f>
        <v/>
      </c>
      <c r="H809" s="1"/>
      <c r="I809" s="4" t="str">
        <f>IF(Bet_Log[[#This Row],[Result ]]="", "", IF(Bet_Log[[#This Row],[Result ]]="Win", Bet_Log[[#This Row],[Stake]]*Bet_Log[[#This Row],[Decimal]]-Bet_Log[[#This Row],[Stake]], IF(Bet_Log[[#This Row],[Result ]]="Loss", -Bet_Log[[#This Row],[Stake]], IF(Bet_Log[[#This Row],[Result ]]="Push", 0, ""))))</f>
        <v/>
      </c>
      <c r="J809" s="2" t="str">
        <f>IF(Bet_Log[[#This Row],[Return]]="", "", J808 + Bet_Log[[#This Row],[Return]])</f>
        <v/>
      </c>
      <c r="K809" s="9"/>
    </row>
    <row r="810" spans="1:11" x14ac:dyDescent="0.2">
      <c r="A810" s="27"/>
      <c r="B810" s="1"/>
      <c r="C810" s="6"/>
      <c r="D810" s="1"/>
      <c r="E810" s="7"/>
      <c r="F810" s="8"/>
      <c r="G810" s="3" t="str" cm="1">
        <f t="array" ref="G810">IF(ISBLANK(F810), "", IFERROR(_xlfn.IFS(LEFT(F810,1)="+", (VALUE(MID(F810,2,LEN(F810)))+100)/100, VALUE(F810)&gt;0, (F810+100)/100, VALUE(F810)&lt;0, (ABS(F810)+100)/ABS(F810), F810=0, 0), ""))</f>
        <v/>
      </c>
      <c r="H810" s="1"/>
      <c r="I810" s="4" t="str">
        <f>IF(Bet_Log[[#This Row],[Result ]]="", "", IF(Bet_Log[[#This Row],[Result ]]="Win", Bet_Log[[#This Row],[Stake]]*Bet_Log[[#This Row],[Decimal]]-Bet_Log[[#This Row],[Stake]], IF(Bet_Log[[#This Row],[Result ]]="Loss", -Bet_Log[[#This Row],[Stake]], IF(Bet_Log[[#This Row],[Result ]]="Push", 0, ""))))</f>
        <v/>
      </c>
      <c r="J810" s="2" t="str">
        <f>IF(Bet_Log[[#This Row],[Return]]="", "", J809 + Bet_Log[[#This Row],[Return]])</f>
        <v/>
      </c>
      <c r="K810" s="9"/>
    </row>
    <row r="811" spans="1:11" x14ac:dyDescent="0.2">
      <c r="A811" s="27"/>
      <c r="B811" s="1"/>
      <c r="C811" s="6"/>
      <c r="D811" s="1"/>
      <c r="E811" s="7"/>
      <c r="F811" s="8"/>
      <c r="G811" s="3" t="str" cm="1">
        <f t="array" ref="G811">IF(ISBLANK(F811), "", IFERROR(_xlfn.IFS(LEFT(F811,1)="+", (VALUE(MID(F811,2,LEN(F811)))+100)/100, VALUE(F811)&gt;0, (F811+100)/100, VALUE(F811)&lt;0, (ABS(F811)+100)/ABS(F811), F811=0, 0), ""))</f>
        <v/>
      </c>
      <c r="H811" s="1"/>
      <c r="I811" s="4" t="str">
        <f>IF(Bet_Log[[#This Row],[Result ]]="", "", IF(Bet_Log[[#This Row],[Result ]]="Win", Bet_Log[[#This Row],[Stake]]*Bet_Log[[#This Row],[Decimal]]-Bet_Log[[#This Row],[Stake]], IF(Bet_Log[[#This Row],[Result ]]="Loss", -Bet_Log[[#This Row],[Stake]], IF(Bet_Log[[#This Row],[Result ]]="Push", 0, ""))))</f>
        <v/>
      </c>
      <c r="J811" s="2" t="str">
        <f>IF(Bet_Log[[#This Row],[Return]]="", "", J810 + Bet_Log[[#This Row],[Return]])</f>
        <v/>
      </c>
      <c r="K811" s="9"/>
    </row>
    <row r="812" spans="1:11" x14ac:dyDescent="0.2">
      <c r="A812" s="27"/>
      <c r="B812" s="1"/>
      <c r="C812" s="6"/>
      <c r="D812" s="1"/>
      <c r="E812" s="7"/>
      <c r="F812" s="8"/>
      <c r="G812" s="3" t="str" cm="1">
        <f t="array" ref="G812">IF(ISBLANK(F812), "", IFERROR(_xlfn.IFS(LEFT(F812,1)="+", (VALUE(MID(F812,2,LEN(F812)))+100)/100, VALUE(F812)&gt;0, (F812+100)/100, VALUE(F812)&lt;0, (ABS(F812)+100)/ABS(F812), F812=0, 0), ""))</f>
        <v/>
      </c>
      <c r="H812" s="1"/>
      <c r="I812" s="4" t="str">
        <f>IF(Bet_Log[[#This Row],[Result ]]="", "", IF(Bet_Log[[#This Row],[Result ]]="Win", Bet_Log[[#This Row],[Stake]]*Bet_Log[[#This Row],[Decimal]]-Bet_Log[[#This Row],[Stake]], IF(Bet_Log[[#This Row],[Result ]]="Loss", -Bet_Log[[#This Row],[Stake]], IF(Bet_Log[[#This Row],[Result ]]="Push", 0, ""))))</f>
        <v/>
      </c>
      <c r="J812" s="2" t="str">
        <f>IF(Bet_Log[[#This Row],[Return]]="", "", J811 + Bet_Log[[#This Row],[Return]])</f>
        <v/>
      </c>
      <c r="K812" s="9"/>
    </row>
    <row r="813" spans="1:11" x14ac:dyDescent="0.2">
      <c r="A813" s="27"/>
      <c r="B813" s="1"/>
      <c r="C813" s="6"/>
      <c r="D813" s="1"/>
      <c r="E813" s="7"/>
      <c r="F813" s="8"/>
      <c r="G813" s="3" t="str" cm="1">
        <f t="array" ref="G813">IF(ISBLANK(F813), "", IFERROR(_xlfn.IFS(LEFT(F813,1)="+", (VALUE(MID(F813,2,LEN(F813)))+100)/100, VALUE(F813)&gt;0, (F813+100)/100, VALUE(F813)&lt;0, (ABS(F813)+100)/ABS(F813), F813=0, 0), ""))</f>
        <v/>
      </c>
      <c r="H813" s="1"/>
      <c r="I813" s="4" t="str">
        <f>IF(Bet_Log[[#This Row],[Result ]]="", "", IF(Bet_Log[[#This Row],[Result ]]="Win", Bet_Log[[#This Row],[Stake]]*Bet_Log[[#This Row],[Decimal]]-Bet_Log[[#This Row],[Stake]], IF(Bet_Log[[#This Row],[Result ]]="Loss", -Bet_Log[[#This Row],[Stake]], IF(Bet_Log[[#This Row],[Result ]]="Push", 0, ""))))</f>
        <v/>
      </c>
      <c r="J813" s="2" t="str">
        <f>IF(Bet_Log[[#This Row],[Return]]="", "", J812 + Bet_Log[[#This Row],[Return]])</f>
        <v/>
      </c>
      <c r="K813" s="9"/>
    </row>
    <row r="814" spans="1:11" x14ac:dyDescent="0.2">
      <c r="A814" s="27"/>
      <c r="B814" s="1"/>
      <c r="C814" s="6"/>
      <c r="D814" s="1"/>
      <c r="E814" s="7"/>
      <c r="F814" s="8"/>
      <c r="G814" s="3" t="str" cm="1">
        <f t="array" ref="G814">IF(ISBLANK(F814), "", IFERROR(_xlfn.IFS(LEFT(F814,1)="+", (VALUE(MID(F814,2,LEN(F814)))+100)/100, VALUE(F814)&gt;0, (F814+100)/100, VALUE(F814)&lt;0, (ABS(F814)+100)/ABS(F814), F814=0, 0), ""))</f>
        <v/>
      </c>
      <c r="H814" s="1"/>
      <c r="I814" s="4" t="str">
        <f>IF(Bet_Log[[#This Row],[Result ]]="", "", IF(Bet_Log[[#This Row],[Result ]]="Win", Bet_Log[[#This Row],[Stake]]*Bet_Log[[#This Row],[Decimal]]-Bet_Log[[#This Row],[Stake]], IF(Bet_Log[[#This Row],[Result ]]="Loss", -Bet_Log[[#This Row],[Stake]], IF(Bet_Log[[#This Row],[Result ]]="Push", 0, ""))))</f>
        <v/>
      </c>
      <c r="J814" s="2" t="str">
        <f>IF(Bet_Log[[#This Row],[Return]]="", "", J813 + Bet_Log[[#This Row],[Return]])</f>
        <v/>
      </c>
      <c r="K814" s="9"/>
    </row>
    <row r="815" spans="1:11" x14ac:dyDescent="0.2">
      <c r="A815" s="27"/>
      <c r="B815" s="1"/>
      <c r="C815" s="6"/>
      <c r="D815" s="1"/>
      <c r="E815" s="7"/>
      <c r="F815" s="8"/>
      <c r="G815" s="3" t="str" cm="1">
        <f t="array" ref="G815">IF(ISBLANK(F815), "", IFERROR(_xlfn.IFS(LEFT(F815,1)="+", (VALUE(MID(F815,2,LEN(F815)))+100)/100, VALUE(F815)&gt;0, (F815+100)/100, VALUE(F815)&lt;0, (ABS(F815)+100)/ABS(F815), F815=0, 0), ""))</f>
        <v/>
      </c>
      <c r="H815" s="1"/>
      <c r="I815" s="4" t="str">
        <f>IF(Bet_Log[[#This Row],[Result ]]="", "", IF(Bet_Log[[#This Row],[Result ]]="Win", Bet_Log[[#This Row],[Stake]]*Bet_Log[[#This Row],[Decimal]]-Bet_Log[[#This Row],[Stake]], IF(Bet_Log[[#This Row],[Result ]]="Loss", -Bet_Log[[#This Row],[Stake]], IF(Bet_Log[[#This Row],[Result ]]="Push", 0, ""))))</f>
        <v/>
      </c>
      <c r="J815" s="2" t="str">
        <f>IF(Bet_Log[[#This Row],[Return]]="", "", J814 + Bet_Log[[#This Row],[Return]])</f>
        <v/>
      </c>
      <c r="K815" s="9"/>
    </row>
    <row r="816" spans="1:11" x14ac:dyDescent="0.2">
      <c r="A816" s="27"/>
      <c r="B816" s="1"/>
      <c r="C816" s="6"/>
      <c r="D816" s="1"/>
      <c r="E816" s="7"/>
      <c r="F816" s="8"/>
      <c r="G816" s="3" t="str" cm="1">
        <f t="array" ref="G816">IF(ISBLANK(F816), "", IFERROR(_xlfn.IFS(LEFT(F816,1)="+", (VALUE(MID(F816,2,LEN(F816)))+100)/100, VALUE(F816)&gt;0, (F816+100)/100, VALUE(F816)&lt;0, (ABS(F816)+100)/ABS(F816), F816=0, 0), ""))</f>
        <v/>
      </c>
      <c r="H816" s="1"/>
      <c r="I816" s="4" t="str">
        <f>IF(Bet_Log[[#This Row],[Result ]]="", "", IF(Bet_Log[[#This Row],[Result ]]="Win", Bet_Log[[#This Row],[Stake]]*Bet_Log[[#This Row],[Decimal]]-Bet_Log[[#This Row],[Stake]], IF(Bet_Log[[#This Row],[Result ]]="Loss", -Bet_Log[[#This Row],[Stake]], IF(Bet_Log[[#This Row],[Result ]]="Push", 0, ""))))</f>
        <v/>
      </c>
      <c r="J816" s="2" t="str">
        <f>IF(Bet_Log[[#This Row],[Return]]="", "", J815 + Bet_Log[[#This Row],[Return]])</f>
        <v/>
      </c>
      <c r="K816" s="9"/>
    </row>
    <row r="817" spans="1:11" x14ac:dyDescent="0.2">
      <c r="A817" s="27"/>
      <c r="B817" s="1"/>
      <c r="C817" s="6"/>
      <c r="D817" s="1"/>
      <c r="E817" s="7"/>
      <c r="F817" s="8"/>
      <c r="G817" s="3" t="str" cm="1">
        <f t="array" ref="G817">IF(ISBLANK(F817), "", IFERROR(_xlfn.IFS(LEFT(F817,1)="+", (VALUE(MID(F817,2,LEN(F817)))+100)/100, VALUE(F817)&gt;0, (F817+100)/100, VALUE(F817)&lt;0, (ABS(F817)+100)/ABS(F817), F817=0, 0), ""))</f>
        <v/>
      </c>
      <c r="H817" s="1"/>
      <c r="I817" s="4" t="str">
        <f>IF(Bet_Log[[#This Row],[Result ]]="", "", IF(Bet_Log[[#This Row],[Result ]]="Win", Bet_Log[[#This Row],[Stake]]*Bet_Log[[#This Row],[Decimal]]-Bet_Log[[#This Row],[Stake]], IF(Bet_Log[[#This Row],[Result ]]="Loss", -Bet_Log[[#This Row],[Stake]], IF(Bet_Log[[#This Row],[Result ]]="Push", 0, ""))))</f>
        <v/>
      </c>
      <c r="J817" s="2" t="str">
        <f>IF(Bet_Log[[#This Row],[Return]]="", "", J816 + Bet_Log[[#This Row],[Return]])</f>
        <v/>
      </c>
      <c r="K817" s="9"/>
    </row>
    <row r="818" spans="1:11" x14ac:dyDescent="0.2">
      <c r="A818" s="27"/>
      <c r="B818" s="1"/>
      <c r="C818" s="6"/>
      <c r="D818" s="1"/>
      <c r="E818" s="7"/>
      <c r="F818" s="8"/>
      <c r="G818" s="3" t="str" cm="1">
        <f t="array" ref="G818">IF(ISBLANK(F818), "", IFERROR(_xlfn.IFS(LEFT(F818,1)="+", (VALUE(MID(F818,2,LEN(F818)))+100)/100, VALUE(F818)&gt;0, (F818+100)/100, VALUE(F818)&lt;0, (ABS(F818)+100)/ABS(F818), F818=0, 0), ""))</f>
        <v/>
      </c>
      <c r="H818" s="1"/>
      <c r="I818" s="4" t="str">
        <f>IF(Bet_Log[[#This Row],[Result ]]="", "", IF(Bet_Log[[#This Row],[Result ]]="Win", Bet_Log[[#This Row],[Stake]]*Bet_Log[[#This Row],[Decimal]]-Bet_Log[[#This Row],[Stake]], IF(Bet_Log[[#This Row],[Result ]]="Loss", -Bet_Log[[#This Row],[Stake]], IF(Bet_Log[[#This Row],[Result ]]="Push", 0, ""))))</f>
        <v/>
      </c>
      <c r="J818" s="2" t="str">
        <f>IF(Bet_Log[[#This Row],[Return]]="", "", J817 + Bet_Log[[#This Row],[Return]])</f>
        <v/>
      </c>
      <c r="K818" s="9"/>
    </row>
    <row r="819" spans="1:11" x14ac:dyDescent="0.2">
      <c r="A819" s="27"/>
      <c r="B819" s="1"/>
      <c r="C819" s="6"/>
      <c r="D819" s="1"/>
      <c r="E819" s="7"/>
      <c r="F819" s="8"/>
      <c r="G819" s="3" t="str" cm="1">
        <f t="array" ref="G819">IF(ISBLANK(F819), "", IFERROR(_xlfn.IFS(LEFT(F819,1)="+", (VALUE(MID(F819,2,LEN(F819)))+100)/100, VALUE(F819)&gt;0, (F819+100)/100, VALUE(F819)&lt;0, (ABS(F819)+100)/ABS(F819), F819=0, 0), ""))</f>
        <v/>
      </c>
      <c r="H819" s="1"/>
      <c r="I819" s="4" t="str">
        <f>IF(Bet_Log[[#This Row],[Result ]]="", "", IF(Bet_Log[[#This Row],[Result ]]="Win", Bet_Log[[#This Row],[Stake]]*Bet_Log[[#This Row],[Decimal]]-Bet_Log[[#This Row],[Stake]], IF(Bet_Log[[#This Row],[Result ]]="Loss", -Bet_Log[[#This Row],[Stake]], IF(Bet_Log[[#This Row],[Result ]]="Push", 0, ""))))</f>
        <v/>
      </c>
      <c r="J819" s="2" t="str">
        <f>IF(Bet_Log[[#This Row],[Return]]="", "", J818 + Bet_Log[[#This Row],[Return]])</f>
        <v/>
      </c>
      <c r="K819" s="9"/>
    </row>
    <row r="820" spans="1:11" x14ac:dyDescent="0.2">
      <c r="A820" s="27"/>
      <c r="B820" s="1"/>
      <c r="C820" s="6"/>
      <c r="D820" s="1"/>
      <c r="E820" s="7"/>
      <c r="F820" s="8"/>
      <c r="G820" s="3" t="str" cm="1">
        <f t="array" ref="G820">IF(ISBLANK(F820), "", IFERROR(_xlfn.IFS(LEFT(F820,1)="+", (VALUE(MID(F820,2,LEN(F820)))+100)/100, VALUE(F820)&gt;0, (F820+100)/100, VALUE(F820)&lt;0, (ABS(F820)+100)/ABS(F820), F820=0, 0), ""))</f>
        <v/>
      </c>
      <c r="H820" s="1"/>
      <c r="I820" s="4" t="str">
        <f>IF(Bet_Log[[#This Row],[Result ]]="", "", IF(Bet_Log[[#This Row],[Result ]]="Win", Bet_Log[[#This Row],[Stake]]*Bet_Log[[#This Row],[Decimal]]-Bet_Log[[#This Row],[Stake]], IF(Bet_Log[[#This Row],[Result ]]="Loss", -Bet_Log[[#This Row],[Stake]], IF(Bet_Log[[#This Row],[Result ]]="Push", 0, ""))))</f>
        <v/>
      </c>
      <c r="J820" s="2" t="str">
        <f>IF(Bet_Log[[#This Row],[Return]]="", "", J819 + Bet_Log[[#This Row],[Return]])</f>
        <v/>
      </c>
      <c r="K820" s="9"/>
    </row>
    <row r="821" spans="1:11" x14ac:dyDescent="0.2">
      <c r="A821" s="27"/>
      <c r="B821" s="1"/>
      <c r="C821" s="6"/>
      <c r="D821" s="1"/>
      <c r="E821" s="7"/>
      <c r="F821" s="8"/>
      <c r="G821" s="3" t="str" cm="1">
        <f t="array" ref="G821">IF(ISBLANK(F821), "", IFERROR(_xlfn.IFS(LEFT(F821,1)="+", (VALUE(MID(F821,2,LEN(F821)))+100)/100, VALUE(F821)&gt;0, (F821+100)/100, VALUE(F821)&lt;0, (ABS(F821)+100)/ABS(F821), F821=0, 0), ""))</f>
        <v/>
      </c>
      <c r="H821" s="1"/>
      <c r="I821" s="4" t="str">
        <f>IF(Bet_Log[[#This Row],[Result ]]="", "", IF(Bet_Log[[#This Row],[Result ]]="Win", Bet_Log[[#This Row],[Stake]]*Bet_Log[[#This Row],[Decimal]]-Bet_Log[[#This Row],[Stake]], IF(Bet_Log[[#This Row],[Result ]]="Loss", -Bet_Log[[#This Row],[Stake]], IF(Bet_Log[[#This Row],[Result ]]="Push", 0, ""))))</f>
        <v/>
      </c>
      <c r="J821" s="2" t="str">
        <f>IF(Bet_Log[[#This Row],[Return]]="", "", J820 + Bet_Log[[#This Row],[Return]])</f>
        <v/>
      </c>
      <c r="K821" s="9"/>
    </row>
    <row r="822" spans="1:11" x14ac:dyDescent="0.2">
      <c r="A822" s="27"/>
      <c r="B822" s="1"/>
      <c r="C822" s="6"/>
      <c r="D822" s="1"/>
      <c r="E822" s="7"/>
      <c r="F822" s="8"/>
      <c r="G822" s="3" t="str" cm="1">
        <f t="array" ref="G822">IF(ISBLANK(F822), "", IFERROR(_xlfn.IFS(LEFT(F822,1)="+", (VALUE(MID(F822,2,LEN(F822)))+100)/100, VALUE(F822)&gt;0, (F822+100)/100, VALUE(F822)&lt;0, (ABS(F822)+100)/ABS(F822), F822=0, 0), ""))</f>
        <v/>
      </c>
      <c r="H822" s="1"/>
      <c r="I822" s="4" t="str">
        <f>IF(Bet_Log[[#This Row],[Result ]]="", "", IF(Bet_Log[[#This Row],[Result ]]="Win", Bet_Log[[#This Row],[Stake]]*Bet_Log[[#This Row],[Decimal]]-Bet_Log[[#This Row],[Stake]], IF(Bet_Log[[#This Row],[Result ]]="Loss", -Bet_Log[[#This Row],[Stake]], IF(Bet_Log[[#This Row],[Result ]]="Push", 0, ""))))</f>
        <v/>
      </c>
      <c r="J822" s="2" t="str">
        <f>IF(Bet_Log[[#This Row],[Return]]="", "", J821 + Bet_Log[[#This Row],[Return]])</f>
        <v/>
      </c>
      <c r="K822" s="9"/>
    </row>
    <row r="823" spans="1:11" x14ac:dyDescent="0.2">
      <c r="A823" s="27"/>
      <c r="B823" s="1"/>
      <c r="C823" s="6"/>
      <c r="D823" s="1"/>
      <c r="E823" s="7"/>
      <c r="F823" s="8"/>
      <c r="G823" s="3" t="str" cm="1">
        <f t="array" ref="G823">IF(ISBLANK(F823), "", IFERROR(_xlfn.IFS(LEFT(F823,1)="+", (VALUE(MID(F823,2,LEN(F823)))+100)/100, VALUE(F823)&gt;0, (F823+100)/100, VALUE(F823)&lt;0, (ABS(F823)+100)/ABS(F823), F823=0, 0), ""))</f>
        <v/>
      </c>
      <c r="H823" s="1"/>
      <c r="I823" s="4" t="str">
        <f>IF(Bet_Log[[#This Row],[Result ]]="", "", IF(Bet_Log[[#This Row],[Result ]]="Win", Bet_Log[[#This Row],[Stake]]*Bet_Log[[#This Row],[Decimal]]-Bet_Log[[#This Row],[Stake]], IF(Bet_Log[[#This Row],[Result ]]="Loss", -Bet_Log[[#This Row],[Stake]], IF(Bet_Log[[#This Row],[Result ]]="Push", 0, ""))))</f>
        <v/>
      </c>
      <c r="J823" s="2" t="str">
        <f>IF(Bet_Log[[#This Row],[Return]]="", "", J822 + Bet_Log[[#This Row],[Return]])</f>
        <v/>
      </c>
      <c r="K823" s="9"/>
    </row>
    <row r="824" spans="1:11" x14ac:dyDescent="0.2">
      <c r="A824" s="27"/>
      <c r="B824" s="1"/>
      <c r="C824" s="6"/>
      <c r="D824" s="1"/>
      <c r="E824" s="7"/>
      <c r="F824" s="8"/>
      <c r="G824" s="3" t="str" cm="1">
        <f t="array" ref="G824">IF(ISBLANK(F824), "", IFERROR(_xlfn.IFS(LEFT(F824,1)="+", (VALUE(MID(F824,2,LEN(F824)))+100)/100, VALUE(F824)&gt;0, (F824+100)/100, VALUE(F824)&lt;0, (ABS(F824)+100)/ABS(F824), F824=0, 0), ""))</f>
        <v/>
      </c>
      <c r="H824" s="1"/>
      <c r="I824" s="4" t="str">
        <f>IF(Bet_Log[[#This Row],[Result ]]="", "", IF(Bet_Log[[#This Row],[Result ]]="Win", Bet_Log[[#This Row],[Stake]]*Bet_Log[[#This Row],[Decimal]]-Bet_Log[[#This Row],[Stake]], IF(Bet_Log[[#This Row],[Result ]]="Loss", -Bet_Log[[#This Row],[Stake]], IF(Bet_Log[[#This Row],[Result ]]="Push", 0, ""))))</f>
        <v/>
      </c>
      <c r="J824" s="2" t="str">
        <f>IF(Bet_Log[[#This Row],[Return]]="", "", J823 + Bet_Log[[#This Row],[Return]])</f>
        <v/>
      </c>
      <c r="K824" s="9"/>
    </row>
    <row r="825" spans="1:11" x14ac:dyDescent="0.2">
      <c r="A825" s="27"/>
      <c r="B825" s="1"/>
      <c r="C825" s="6"/>
      <c r="D825" s="1"/>
      <c r="E825" s="7"/>
      <c r="F825" s="8"/>
      <c r="G825" s="3" t="str" cm="1">
        <f t="array" ref="G825">IF(ISBLANK(F825), "", IFERROR(_xlfn.IFS(LEFT(F825,1)="+", (VALUE(MID(F825,2,LEN(F825)))+100)/100, VALUE(F825)&gt;0, (F825+100)/100, VALUE(F825)&lt;0, (ABS(F825)+100)/ABS(F825), F825=0, 0), ""))</f>
        <v/>
      </c>
      <c r="H825" s="1"/>
      <c r="I825" s="4" t="str">
        <f>IF(Bet_Log[[#This Row],[Result ]]="", "", IF(Bet_Log[[#This Row],[Result ]]="Win", Bet_Log[[#This Row],[Stake]]*Bet_Log[[#This Row],[Decimal]]-Bet_Log[[#This Row],[Stake]], IF(Bet_Log[[#This Row],[Result ]]="Loss", -Bet_Log[[#This Row],[Stake]], IF(Bet_Log[[#This Row],[Result ]]="Push", 0, ""))))</f>
        <v/>
      </c>
      <c r="J825" s="2" t="str">
        <f>IF(Bet_Log[[#This Row],[Return]]="", "", J824 + Bet_Log[[#This Row],[Return]])</f>
        <v/>
      </c>
      <c r="K825" s="9"/>
    </row>
    <row r="826" spans="1:11" x14ac:dyDescent="0.2">
      <c r="A826" s="27"/>
      <c r="B826" s="1"/>
      <c r="C826" s="6"/>
      <c r="D826" s="1"/>
      <c r="E826" s="7"/>
      <c r="F826" s="8"/>
      <c r="G826" s="3" t="str" cm="1">
        <f t="array" ref="G826">IF(ISBLANK(F826), "", IFERROR(_xlfn.IFS(LEFT(F826,1)="+", (VALUE(MID(F826,2,LEN(F826)))+100)/100, VALUE(F826)&gt;0, (F826+100)/100, VALUE(F826)&lt;0, (ABS(F826)+100)/ABS(F826), F826=0, 0), ""))</f>
        <v/>
      </c>
      <c r="H826" s="1"/>
      <c r="I826" s="4" t="str">
        <f>IF(Bet_Log[[#This Row],[Result ]]="", "", IF(Bet_Log[[#This Row],[Result ]]="Win", Bet_Log[[#This Row],[Stake]]*Bet_Log[[#This Row],[Decimal]]-Bet_Log[[#This Row],[Stake]], IF(Bet_Log[[#This Row],[Result ]]="Loss", -Bet_Log[[#This Row],[Stake]], IF(Bet_Log[[#This Row],[Result ]]="Push", 0, ""))))</f>
        <v/>
      </c>
      <c r="J826" s="2" t="str">
        <f>IF(Bet_Log[[#This Row],[Return]]="", "", J825 + Bet_Log[[#This Row],[Return]])</f>
        <v/>
      </c>
      <c r="K826" s="9"/>
    </row>
    <row r="827" spans="1:11" x14ac:dyDescent="0.2">
      <c r="A827" s="27"/>
      <c r="B827" s="1"/>
      <c r="C827" s="6"/>
      <c r="D827" s="1"/>
      <c r="E827" s="7"/>
      <c r="F827" s="8"/>
      <c r="G827" s="3" t="str" cm="1">
        <f t="array" ref="G827">IF(ISBLANK(F827), "", IFERROR(_xlfn.IFS(LEFT(F827,1)="+", (VALUE(MID(F827,2,LEN(F827)))+100)/100, VALUE(F827)&gt;0, (F827+100)/100, VALUE(F827)&lt;0, (ABS(F827)+100)/ABS(F827), F827=0, 0), ""))</f>
        <v/>
      </c>
      <c r="H827" s="1"/>
      <c r="I827" s="4" t="str">
        <f>IF(Bet_Log[[#This Row],[Result ]]="", "", IF(Bet_Log[[#This Row],[Result ]]="Win", Bet_Log[[#This Row],[Stake]]*Bet_Log[[#This Row],[Decimal]]-Bet_Log[[#This Row],[Stake]], IF(Bet_Log[[#This Row],[Result ]]="Loss", -Bet_Log[[#This Row],[Stake]], IF(Bet_Log[[#This Row],[Result ]]="Push", 0, ""))))</f>
        <v/>
      </c>
      <c r="J827" s="2" t="str">
        <f>IF(Bet_Log[[#This Row],[Return]]="", "", J826 + Bet_Log[[#This Row],[Return]])</f>
        <v/>
      </c>
      <c r="K827" s="9"/>
    </row>
    <row r="828" spans="1:11" x14ac:dyDescent="0.2">
      <c r="A828" s="27"/>
      <c r="B828" s="1"/>
      <c r="C828" s="6"/>
      <c r="D828" s="1"/>
      <c r="E828" s="7"/>
      <c r="F828" s="8"/>
      <c r="G828" s="3" t="str" cm="1">
        <f t="array" ref="G828">IF(ISBLANK(F828), "", IFERROR(_xlfn.IFS(LEFT(F828,1)="+", (VALUE(MID(F828,2,LEN(F828)))+100)/100, VALUE(F828)&gt;0, (F828+100)/100, VALUE(F828)&lt;0, (ABS(F828)+100)/ABS(F828), F828=0, 0), ""))</f>
        <v/>
      </c>
      <c r="H828" s="1"/>
      <c r="I828" s="4" t="str">
        <f>IF(Bet_Log[[#This Row],[Result ]]="", "", IF(Bet_Log[[#This Row],[Result ]]="Win", Bet_Log[[#This Row],[Stake]]*Bet_Log[[#This Row],[Decimal]]-Bet_Log[[#This Row],[Stake]], IF(Bet_Log[[#This Row],[Result ]]="Loss", -Bet_Log[[#This Row],[Stake]], IF(Bet_Log[[#This Row],[Result ]]="Push", 0, ""))))</f>
        <v/>
      </c>
      <c r="J828" s="2" t="str">
        <f>IF(Bet_Log[[#This Row],[Return]]="", "", J827 + Bet_Log[[#This Row],[Return]])</f>
        <v/>
      </c>
      <c r="K828" s="9"/>
    </row>
    <row r="829" spans="1:11" x14ac:dyDescent="0.2">
      <c r="A829" s="27"/>
      <c r="B829" s="1"/>
      <c r="C829" s="6"/>
      <c r="D829" s="1"/>
      <c r="E829" s="7"/>
      <c r="F829" s="8"/>
      <c r="G829" s="3" t="str" cm="1">
        <f t="array" ref="G829">IF(ISBLANK(F829), "", IFERROR(_xlfn.IFS(LEFT(F829,1)="+", (VALUE(MID(F829,2,LEN(F829)))+100)/100, VALUE(F829)&gt;0, (F829+100)/100, VALUE(F829)&lt;0, (ABS(F829)+100)/ABS(F829), F829=0, 0), ""))</f>
        <v/>
      </c>
      <c r="H829" s="1"/>
      <c r="I829" s="4" t="str">
        <f>IF(Bet_Log[[#This Row],[Result ]]="", "", IF(Bet_Log[[#This Row],[Result ]]="Win", Bet_Log[[#This Row],[Stake]]*Bet_Log[[#This Row],[Decimal]]-Bet_Log[[#This Row],[Stake]], IF(Bet_Log[[#This Row],[Result ]]="Loss", -Bet_Log[[#This Row],[Stake]], IF(Bet_Log[[#This Row],[Result ]]="Push", 0, ""))))</f>
        <v/>
      </c>
      <c r="J829" s="2" t="str">
        <f>IF(Bet_Log[[#This Row],[Return]]="", "", J828 + Bet_Log[[#This Row],[Return]])</f>
        <v/>
      </c>
      <c r="K829" s="9"/>
    </row>
    <row r="830" spans="1:11" x14ac:dyDescent="0.2">
      <c r="A830" s="27"/>
      <c r="B830" s="1"/>
      <c r="C830" s="6"/>
      <c r="D830" s="1"/>
      <c r="E830" s="7"/>
      <c r="F830" s="8"/>
      <c r="G830" s="3" t="str" cm="1">
        <f t="array" ref="G830">IF(ISBLANK(F830), "", IFERROR(_xlfn.IFS(LEFT(F830,1)="+", (VALUE(MID(F830,2,LEN(F830)))+100)/100, VALUE(F830)&gt;0, (F830+100)/100, VALUE(F830)&lt;0, (ABS(F830)+100)/ABS(F830), F830=0, 0), ""))</f>
        <v/>
      </c>
      <c r="H830" s="1"/>
      <c r="I830" s="4" t="str">
        <f>IF(Bet_Log[[#This Row],[Result ]]="", "", IF(Bet_Log[[#This Row],[Result ]]="Win", Bet_Log[[#This Row],[Stake]]*Bet_Log[[#This Row],[Decimal]]-Bet_Log[[#This Row],[Stake]], IF(Bet_Log[[#This Row],[Result ]]="Loss", -Bet_Log[[#This Row],[Stake]], IF(Bet_Log[[#This Row],[Result ]]="Push", 0, ""))))</f>
        <v/>
      </c>
      <c r="J830" s="2" t="str">
        <f>IF(Bet_Log[[#This Row],[Return]]="", "", J829 + Bet_Log[[#This Row],[Return]])</f>
        <v/>
      </c>
      <c r="K830" s="9"/>
    </row>
    <row r="831" spans="1:11" x14ac:dyDescent="0.2">
      <c r="A831" s="27"/>
      <c r="B831" s="1"/>
      <c r="C831" s="6"/>
      <c r="D831" s="1"/>
      <c r="E831" s="7"/>
      <c r="F831" s="8"/>
      <c r="G831" s="3" t="str" cm="1">
        <f t="array" ref="G831">IF(ISBLANK(F831), "", IFERROR(_xlfn.IFS(LEFT(F831,1)="+", (VALUE(MID(F831,2,LEN(F831)))+100)/100, VALUE(F831)&gt;0, (F831+100)/100, VALUE(F831)&lt;0, (ABS(F831)+100)/ABS(F831), F831=0, 0), ""))</f>
        <v/>
      </c>
      <c r="H831" s="1"/>
      <c r="I831" s="4" t="str">
        <f>IF(Bet_Log[[#This Row],[Result ]]="", "", IF(Bet_Log[[#This Row],[Result ]]="Win", Bet_Log[[#This Row],[Stake]]*Bet_Log[[#This Row],[Decimal]]-Bet_Log[[#This Row],[Stake]], IF(Bet_Log[[#This Row],[Result ]]="Loss", -Bet_Log[[#This Row],[Stake]], IF(Bet_Log[[#This Row],[Result ]]="Push", 0, ""))))</f>
        <v/>
      </c>
      <c r="J831" s="2" t="str">
        <f>IF(Bet_Log[[#This Row],[Return]]="", "", J830 + Bet_Log[[#This Row],[Return]])</f>
        <v/>
      </c>
      <c r="K831" s="9"/>
    </row>
    <row r="832" spans="1:11" x14ac:dyDescent="0.2">
      <c r="A832" s="27"/>
      <c r="B832" s="1"/>
      <c r="C832" s="6"/>
      <c r="D832" s="1"/>
      <c r="E832" s="7"/>
      <c r="F832" s="8"/>
      <c r="G832" s="3" t="str" cm="1">
        <f t="array" ref="G832">IF(ISBLANK(F832), "", IFERROR(_xlfn.IFS(LEFT(F832,1)="+", (VALUE(MID(F832,2,LEN(F832)))+100)/100, VALUE(F832)&gt;0, (F832+100)/100, VALUE(F832)&lt;0, (ABS(F832)+100)/ABS(F832), F832=0, 0), ""))</f>
        <v/>
      </c>
      <c r="H832" s="1"/>
      <c r="I832" s="4" t="str">
        <f>IF(Bet_Log[[#This Row],[Result ]]="", "", IF(Bet_Log[[#This Row],[Result ]]="Win", Bet_Log[[#This Row],[Stake]]*Bet_Log[[#This Row],[Decimal]]-Bet_Log[[#This Row],[Stake]], IF(Bet_Log[[#This Row],[Result ]]="Loss", -Bet_Log[[#This Row],[Stake]], IF(Bet_Log[[#This Row],[Result ]]="Push", 0, ""))))</f>
        <v/>
      </c>
      <c r="J832" s="2" t="str">
        <f>IF(Bet_Log[[#This Row],[Return]]="", "", J831 + Bet_Log[[#This Row],[Return]])</f>
        <v/>
      </c>
      <c r="K832" s="9"/>
    </row>
    <row r="833" spans="1:11" x14ac:dyDescent="0.2">
      <c r="A833" s="27"/>
      <c r="B833" s="1"/>
      <c r="C833" s="6"/>
      <c r="D833" s="1"/>
      <c r="E833" s="7"/>
      <c r="F833" s="8"/>
      <c r="G833" s="3" t="str" cm="1">
        <f t="array" ref="G833">IF(ISBLANK(F833), "", IFERROR(_xlfn.IFS(LEFT(F833,1)="+", (VALUE(MID(F833,2,LEN(F833)))+100)/100, VALUE(F833)&gt;0, (F833+100)/100, VALUE(F833)&lt;0, (ABS(F833)+100)/ABS(F833), F833=0, 0), ""))</f>
        <v/>
      </c>
      <c r="H833" s="1"/>
      <c r="I833" s="4" t="str">
        <f>IF(Bet_Log[[#This Row],[Result ]]="", "", IF(Bet_Log[[#This Row],[Result ]]="Win", Bet_Log[[#This Row],[Stake]]*Bet_Log[[#This Row],[Decimal]]-Bet_Log[[#This Row],[Stake]], IF(Bet_Log[[#This Row],[Result ]]="Loss", -Bet_Log[[#This Row],[Stake]], IF(Bet_Log[[#This Row],[Result ]]="Push", 0, ""))))</f>
        <v/>
      </c>
      <c r="J833" s="2" t="str">
        <f>IF(Bet_Log[[#This Row],[Return]]="", "", J832 + Bet_Log[[#This Row],[Return]])</f>
        <v/>
      </c>
      <c r="K833" s="9"/>
    </row>
    <row r="834" spans="1:11" x14ac:dyDescent="0.2">
      <c r="A834" s="27"/>
      <c r="B834" s="1"/>
      <c r="C834" s="6"/>
      <c r="D834" s="1"/>
      <c r="E834" s="7"/>
      <c r="F834" s="8"/>
      <c r="G834" s="3" t="str" cm="1">
        <f t="array" ref="G834">IF(ISBLANK(F834), "", IFERROR(_xlfn.IFS(LEFT(F834,1)="+", (VALUE(MID(F834,2,LEN(F834)))+100)/100, VALUE(F834)&gt;0, (F834+100)/100, VALUE(F834)&lt;0, (ABS(F834)+100)/ABS(F834), F834=0, 0), ""))</f>
        <v/>
      </c>
      <c r="H834" s="1"/>
      <c r="I834" s="4" t="str">
        <f>IF(Bet_Log[[#This Row],[Result ]]="", "", IF(Bet_Log[[#This Row],[Result ]]="Win", Bet_Log[[#This Row],[Stake]]*Bet_Log[[#This Row],[Decimal]]-Bet_Log[[#This Row],[Stake]], IF(Bet_Log[[#This Row],[Result ]]="Loss", -Bet_Log[[#This Row],[Stake]], IF(Bet_Log[[#This Row],[Result ]]="Push", 0, ""))))</f>
        <v/>
      </c>
      <c r="J834" s="2" t="str">
        <f>IF(Bet_Log[[#This Row],[Return]]="", "", J833 + Bet_Log[[#This Row],[Return]])</f>
        <v/>
      </c>
      <c r="K834" s="9"/>
    </row>
    <row r="835" spans="1:11" x14ac:dyDescent="0.2">
      <c r="A835" s="27"/>
      <c r="B835" s="1"/>
      <c r="C835" s="6"/>
      <c r="D835" s="1"/>
      <c r="E835" s="7"/>
      <c r="F835" s="8"/>
      <c r="G835" s="3" t="str" cm="1">
        <f t="array" ref="G835">IF(ISBLANK(F835), "", IFERROR(_xlfn.IFS(LEFT(F835,1)="+", (VALUE(MID(F835,2,LEN(F835)))+100)/100, VALUE(F835)&gt;0, (F835+100)/100, VALUE(F835)&lt;0, (ABS(F835)+100)/ABS(F835), F835=0, 0), ""))</f>
        <v/>
      </c>
      <c r="H835" s="1"/>
      <c r="I835" s="4" t="str">
        <f>IF(Bet_Log[[#This Row],[Result ]]="", "", IF(Bet_Log[[#This Row],[Result ]]="Win", Bet_Log[[#This Row],[Stake]]*Bet_Log[[#This Row],[Decimal]]-Bet_Log[[#This Row],[Stake]], IF(Bet_Log[[#This Row],[Result ]]="Loss", -Bet_Log[[#This Row],[Stake]], IF(Bet_Log[[#This Row],[Result ]]="Push", 0, ""))))</f>
        <v/>
      </c>
      <c r="J835" s="2" t="str">
        <f>IF(Bet_Log[[#This Row],[Return]]="", "", J834 + Bet_Log[[#This Row],[Return]])</f>
        <v/>
      </c>
      <c r="K835" s="9"/>
    </row>
    <row r="836" spans="1:11" x14ac:dyDescent="0.2">
      <c r="A836" s="27"/>
      <c r="B836" s="1"/>
      <c r="C836" s="6"/>
      <c r="D836" s="1"/>
      <c r="E836" s="7"/>
      <c r="F836" s="8"/>
      <c r="G836" s="3" t="str" cm="1">
        <f t="array" ref="G836">IF(ISBLANK(F836), "", IFERROR(_xlfn.IFS(LEFT(F836,1)="+", (VALUE(MID(F836,2,LEN(F836)))+100)/100, VALUE(F836)&gt;0, (F836+100)/100, VALUE(F836)&lt;0, (ABS(F836)+100)/ABS(F836), F836=0, 0), ""))</f>
        <v/>
      </c>
      <c r="H836" s="1"/>
      <c r="I836" s="4" t="str">
        <f>IF(Bet_Log[[#This Row],[Result ]]="", "", IF(Bet_Log[[#This Row],[Result ]]="Win", Bet_Log[[#This Row],[Stake]]*Bet_Log[[#This Row],[Decimal]]-Bet_Log[[#This Row],[Stake]], IF(Bet_Log[[#This Row],[Result ]]="Loss", -Bet_Log[[#This Row],[Stake]], IF(Bet_Log[[#This Row],[Result ]]="Push", 0, ""))))</f>
        <v/>
      </c>
      <c r="J836" s="2" t="str">
        <f>IF(Bet_Log[[#This Row],[Return]]="", "", J835 + Bet_Log[[#This Row],[Return]])</f>
        <v/>
      </c>
      <c r="K836" s="9"/>
    </row>
    <row r="837" spans="1:11" x14ac:dyDescent="0.2">
      <c r="A837" s="27"/>
      <c r="B837" s="1"/>
      <c r="C837" s="6"/>
      <c r="D837" s="1"/>
      <c r="E837" s="7"/>
      <c r="F837" s="8"/>
      <c r="G837" s="3" t="str" cm="1">
        <f t="array" ref="G837">IF(ISBLANK(F837), "", IFERROR(_xlfn.IFS(LEFT(F837,1)="+", (VALUE(MID(F837,2,LEN(F837)))+100)/100, VALUE(F837)&gt;0, (F837+100)/100, VALUE(F837)&lt;0, (ABS(F837)+100)/ABS(F837), F837=0, 0), ""))</f>
        <v/>
      </c>
      <c r="H837" s="1"/>
      <c r="I837" s="4" t="str">
        <f>IF(Bet_Log[[#This Row],[Result ]]="", "", IF(Bet_Log[[#This Row],[Result ]]="Win", Bet_Log[[#This Row],[Stake]]*Bet_Log[[#This Row],[Decimal]]-Bet_Log[[#This Row],[Stake]], IF(Bet_Log[[#This Row],[Result ]]="Loss", -Bet_Log[[#This Row],[Stake]], IF(Bet_Log[[#This Row],[Result ]]="Push", 0, ""))))</f>
        <v/>
      </c>
      <c r="J837" s="2" t="str">
        <f>IF(Bet_Log[[#This Row],[Return]]="", "", J836 + Bet_Log[[#This Row],[Return]])</f>
        <v/>
      </c>
      <c r="K837" s="9"/>
    </row>
    <row r="838" spans="1:11" x14ac:dyDescent="0.2">
      <c r="A838" s="27"/>
      <c r="B838" s="1"/>
      <c r="C838" s="6"/>
      <c r="D838" s="1"/>
      <c r="E838" s="7"/>
      <c r="F838" s="8"/>
      <c r="G838" s="3" t="str" cm="1">
        <f t="array" ref="G838">IF(ISBLANK(F838), "", IFERROR(_xlfn.IFS(LEFT(F838,1)="+", (VALUE(MID(F838,2,LEN(F838)))+100)/100, VALUE(F838)&gt;0, (F838+100)/100, VALUE(F838)&lt;0, (ABS(F838)+100)/ABS(F838), F838=0, 0), ""))</f>
        <v/>
      </c>
      <c r="H838" s="1"/>
      <c r="I838" s="4" t="str">
        <f>IF(Bet_Log[[#This Row],[Result ]]="", "", IF(Bet_Log[[#This Row],[Result ]]="Win", Bet_Log[[#This Row],[Stake]]*Bet_Log[[#This Row],[Decimal]]-Bet_Log[[#This Row],[Stake]], IF(Bet_Log[[#This Row],[Result ]]="Loss", -Bet_Log[[#This Row],[Stake]], IF(Bet_Log[[#This Row],[Result ]]="Push", 0, ""))))</f>
        <v/>
      </c>
      <c r="J838" s="2" t="str">
        <f>IF(Bet_Log[[#This Row],[Return]]="", "", J837 + Bet_Log[[#This Row],[Return]])</f>
        <v/>
      </c>
      <c r="K838" s="9"/>
    </row>
    <row r="839" spans="1:11" x14ac:dyDescent="0.2">
      <c r="A839" s="27"/>
      <c r="B839" s="1"/>
      <c r="C839" s="6"/>
      <c r="D839" s="1"/>
      <c r="E839" s="7"/>
      <c r="F839" s="8"/>
      <c r="G839" s="3" t="str" cm="1">
        <f t="array" ref="G839">IF(ISBLANK(F839), "", IFERROR(_xlfn.IFS(LEFT(F839,1)="+", (VALUE(MID(F839,2,LEN(F839)))+100)/100, VALUE(F839)&gt;0, (F839+100)/100, VALUE(F839)&lt;0, (ABS(F839)+100)/ABS(F839), F839=0, 0), ""))</f>
        <v/>
      </c>
      <c r="H839" s="1"/>
      <c r="I839" s="4" t="str">
        <f>IF(Bet_Log[[#This Row],[Result ]]="", "", IF(Bet_Log[[#This Row],[Result ]]="Win", Bet_Log[[#This Row],[Stake]]*Bet_Log[[#This Row],[Decimal]]-Bet_Log[[#This Row],[Stake]], IF(Bet_Log[[#This Row],[Result ]]="Loss", -Bet_Log[[#This Row],[Stake]], IF(Bet_Log[[#This Row],[Result ]]="Push", 0, ""))))</f>
        <v/>
      </c>
      <c r="J839" s="2" t="str">
        <f>IF(Bet_Log[[#This Row],[Return]]="", "", J838 + Bet_Log[[#This Row],[Return]])</f>
        <v/>
      </c>
      <c r="K839" s="9"/>
    </row>
    <row r="840" spans="1:11" x14ac:dyDescent="0.2">
      <c r="A840" s="27"/>
      <c r="B840" s="1"/>
      <c r="C840" s="6"/>
      <c r="D840" s="1"/>
      <c r="E840" s="7"/>
      <c r="F840" s="8"/>
      <c r="G840" s="3" t="str" cm="1">
        <f t="array" ref="G840">IF(ISBLANK(F840), "", IFERROR(_xlfn.IFS(LEFT(F840,1)="+", (VALUE(MID(F840,2,LEN(F840)))+100)/100, VALUE(F840)&gt;0, (F840+100)/100, VALUE(F840)&lt;0, (ABS(F840)+100)/ABS(F840), F840=0, 0), ""))</f>
        <v/>
      </c>
      <c r="H840" s="1"/>
      <c r="I840" s="4" t="str">
        <f>IF(Bet_Log[[#This Row],[Result ]]="", "", IF(Bet_Log[[#This Row],[Result ]]="Win", Bet_Log[[#This Row],[Stake]]*Bet_Log[[#This Row],[Decimal]]-Bet_Log[[#This Row],[Stake]], IF(Bet_Log[[#This Row],[Result ]]="Loss", -Bet_Log[[#This Row],[Stake]], IF(Bet_Log[[#This Row],[Result ]]="Push", 0, ""))))</f>
        <v/>
      </c>
      <c r="J840" s="2" t="str">
        <f>IF(Bet_Log[[#This Row],[Return]]="", "", J839 + Bet_Log[[#This Row],[Return]])</f>
        <v/>
      </c>
      <c r="K840" s="9"/>
    </row>
    <row r="841" spans="1:11" x14ac:dyDescent="0.2">
      <c r="A841" s="27"/>
      <c r="B841" s="1"/>
      <c r="C841" s="6"/>
      <c r="D841" s="1"/>
      <c r="E841" s="7"/>
      <c r="F841" s="8"/>
      <c r="G841" s="3" t="str" cm="1">
        <f t="array" ref="G841">IF(ISBLANK(F841), "", IFERROR(_xlfn.IFS(LEFT(F841,1)="+", (VALUE(MID(F841,2,LEN(F841)))+100)/100, VALUE(F841)&gt;0, (F841+100)/100, VALUE(F841)&lt;0, (ABS(F841)+100)/ABS(F841), F841=0, 0), ""))</f>
        <v/>
      </c>
      <c r="H841" s="1"/>
      <c r="I841" s="4" t="str">
        <f>IF(Bet_Log[[#This Row],[Result ]]="", "", IF(Bet_Log[[#This Row],[Result ]]="Win", Bet_Log[[#This Row],[Stake]]*Bet_Log[[#This Row],[Decimal]]-Bet_Log[[#This Row],[Stake]], IF(Bet_Log[[#This Row],[Result ]]="Loss", -Bet_Log[[#This Row],[Stake]], IF(Bet_Log[[#This Row],[Result ]]="Push", 0, ""))))</f>
        <v/>
      </c>
      <c r="J841" s="2" t="str">
        <f>IF(Bet_Log[[#This Row],[Return]]="", "", J840 + Bet_Log[[#This Row],[Return]])</f>
        <v/>
      </c>
      <c r="K841" s="9"/>
    </row>
    <row r="842" spans="1:11" x14ac:dyDescent="0.2">
      <c r="A842" s="27"/>
      <c r="B842" s="1"/>
      <c r="C842" s="6"/>
      <c r="D842" s="1"/>
      <c r="E842" s="7"/>
      <c r="F842" s="8"/>
      <c r="G842" s="3" t="str" cm="1">
        <f t="array" ref="G842">IF(ISBLANK(F842), "", IFERROR(_xlfn.IFS(LEFT(F842,1)="+", (VALUE(MID(F842,2,LEN(F842)))+100)/100, VALUE(F842)&gt;0, (F842+100)/100, VALUE(F842)&lt;0, (ABS(F842)+100)/ABS(F842), F842=0, 0), ""))</f>
        <v/>
      </c>
      <c r="H842" s="1"/>
      <c r="I842" s="4" t="str">
        <f>IF(Bet_Log[[#This Row],[Result ]]="", "", IF(Bet_Log[[#This Row],[Result ]]="Win", Bet_Log[[#This Row],[Stake]]*Bet_Log[[#This Row],[Decimal]]-Bet_Log[[#This Row],[Stake]], IF(Bet_Log[[#This Row],[Result ]]="Loss", -Bet_Log[[#This Row],[Stake]], IF(Bet_Log[[#This Row],[Result ]]="Push", 0, ""))))</f>
        <v/>
      </c>
      <c r="J842" s="2" t="str">
        <f>IF(Bet_Log[[#This Row],[Return]]="", "", J841 + Bet_Log[[#This Row],[Return]])</f>
        <v/>
      </c>
      <c r="K842" s="9"/>
    </row>
    <row r="843" spans="1:11" x14ac:dyDescent="0.2">
      <c r="A843" s="27"/>
      <c r="B843" s="1"/>
      <c r="C843" s="6"/>
      <c r="D843" s="1"/>
      <c r="E843" s="7"/>
      <c r="F843" s="8"/>
      <c r="G843" s="3" t="str" cm="1">
        <f t="array" ref="G843">IF(ISBLANK(F843), "", IFERROR(_xlfn.IFS(LEFT(F843,1)="+", (VALUE(MID(F843,2,LEN(F843)))+100)/100, VALUE(F843)&gt;0, (F843+100)/100, VALUE(F843)&lt;0, (ABS(F843)+100)/ABS(F843), F843=0, 0), ""))</f>
        <v/>
      </c>
      <c r="H843" s="1"/>
      <c r="I843" s="4" t="str">
        <f>IF(Bet_Log[[#This Row],[Result ]]="", "", IF(Bet_Log[[#This Row],[Result ]]="Win", Bet_Log[[#This Row],[Stake]]*Bet_Log[[#This Row],[Decimal]]-Bet_Log[[#This Row],[Stake]], IF(Bet_Log[[#This Row],[Result ]]="Loss", -Bet_Log[[#This Row],[Stake]], IF(Bet_Log[[#This Row],[Result ]]="Push", 0, ""))))</f>
        <v/>
      </c>
      <c r="J843" s="2" t="str">
        <f>IF(Bet_Log[[#This Row],[Return]]="", "", J842 + Bet_Log[[#This Row],[Return]])</f>
        <v/>
      </c>
      <c r="K843" s="9"/>
    </row>
    <row r="844" spans="1:11" x14ac:dyDescent="0.2">
      <c r="A844" s="27"/>
      <c r="B844" s="1"/>
      <c r="C844" s="6"/>
      <c r="D844" s="1"/>
      <c r="E844" s="7"/>
      <c r="F844" s="8"/>
      <c r="G844" s="3" t="str" cm="1">
        <f t="array" ref="G844">IF(ISBLANK(F844), "", IFERROR(_xlfn.IFS(LEFT(F844,1)="+", (VALUE(MID(F844,2,LEN(F844)))+100)/100, VALUE(F844)&gt;0, (F844+100)/100, VALUE(F844)&lt;0, (ABS(F844)+100)/ABS(F844), F844=0, 0), ""))</f>
        <v/>
      </c>
      <c r="H844" s="1"/>
      <c r="I844" s="4" t="str">
        <f>IF(Bet_Log[[#This Row],[Result ]]="", "", IF(Bet_Log[[#This Row],[Result ]]="Win", Bet_Log[[#This Row],[Stake]]*Bet_Log[[#This Row],[Decimal]]-Bet_Log[[#This Row],[Stake]], IF(Bet_Log[[#This Row],[Result ]]="Loss", -Bet_Log[[#This Row],[Stake]], IF(Bet_Log[[#This Row],[Result ]]="Push", 0, ""))))</f>
        <v/>
      </c>
      <c r="J844" s="2" t="str">
        <f>IF(Bet_Log[[#This Row],[Return]]="", "", J843 + Bet_Log[[#This Row],[Return]])</f>
        <v/>
      </c>
      <c r="K844" s="9"/>
    </row>
    <row r="845" spans="1:11" x14ac:dyDescent="0.2">
      <c r="A845" s="27"/>
      <c r="B845" s="1"/>
      <c r="C845" s="6"/>
      <c r="D845" s="1"/>
      <c r="E845" s="7"/>
      <c r="F845" s="8"/>
      <c r="G845" s="3" t="str" cm="1">
        <f t="array" ref="G845">IF(ISBLANK(F845), "", IFERROR(_xlfn.IFS(LEFT(F845,1)="+", (VALUE(MID(F845,2,LEN(F845)))+100)/100, VALUE(F845)&gt;0, (F845+100)/100, VALUE(F845)&lt;0, (ABS(F845)+100)/ABS(F845), F845=0, 0), ""))</f>
        <v/>
      </c>
      <c r="H845" s="1"/>
      <c r="I845" s="4" t="str">
        <f>IF(Bet_Log[[#This Row],[Result ]]="", "", IF(Bet_Log[[#This Row],[Result ]]="Win", Bet_Log[[#This Row],[Stake]]*Bet_Log[[#This Row],[Decimal]]-Bet_Log[[#This Row],[Stake]], IF(Bet_Log[[#This Row],[Result ]]="Loss", -Bet_Log[[#This Row],[Stake]], IF(Bet_Log[[#This Row],[Result ]]="Push", 0, ""))))</f>
        <v/>
      </c>
      <c r="J845" s="2" t="str">
        <f>IF(Bet_Log[[#This Row],[Return]]="", "", J844 + Bet_Log[[#This Row],[Return]])</f>
        <v/>
      </c>
      <c r="K845" s="9"/>
    </row>
    <row r="846" spans="1:11" x14ac:dyDescent="0.2">
      <c r="A846" s="27"/>
      <c r="B846" s="1"/>
      <c r="C846" s="6"/>
      <c r="D846" s="1"/>
      <c r="E846" s="7"/>
      <c r="F846" s="8"/>
      <c r="G846" s="3" t="str" cm="1">
        <f t="array" ref="G846">IF(ISBLANK(F846), "", IFERROR(_xlfn.IFS(LEFT(F846,1)="+", (VALUE(MID(F846,2,LEN(F846)))+100)/100, VALUE(F846)&gt;0, (F846+100)/100, VALUE(F846)&lt;0, (ABS(F846)+100)/ABS(F846), F846=0, 0), ""))</f>
        <v/>
      </c>
      <c r="H846" s="1"/>
      <c r="I846" s="4" t="str">
        <f>IF(Bet_Log[[#This Row],[Result ]]="", "", IF(Bet_Log[[#This Row],[Result ]]="Win", Bet_Log[[#This Row],[Stake]]*Bet_Log[[#This Row],[Decimal]]-Bet_Log[[#This Row],[Stake]], IF(Bet_Log[[#This Row],[Result ]]="Loss", -Bet_Log[[#This Row],[Stake]], IF(Bet_Log[[#This Row],[Result ]]="Push", 0, ""))))</f>
        <v/>
      </c>
      <c r="J846" s="2" t="str">
        <f>IF(Bet_Log[[#This Row],[Return]]="", "", J845 + Bet_Log[[#This Row],[Return]])</f>
        <v/>
      </c>
      <c r="K846" s="9"/>
    </row>
    <row r="847" spans="1:11" x14ac:dyDescent="0.2">
      <c r="A847" s="27"/>
      <c r="B847" s="1"/>
      <c r="C847" s="6"/>
      <c r="D847" s="1"/>
      <c r="E847" s="7"/>
      <c r="F847" s="8"/>
      <c r="G847" s="3" t="str" cm="1">
        <f t="array" ref="G847">IF(ISBLANK(F847), "", IFERROR(_xlfn.IFS(LEFT(F847,1)="+", (VALUE(MID(F847,2,LEN(F847)))+100)/100, VALUE(F847)&gt;0, (F847+100)/100, VALUE(F847)&lt;0, (ABS(F847)+100)/ABS(F847), F847=0, 0), ""))</f>
        <v/>
      </c>
      <c r="H847" s="1"/>
      <c r="I847" s="4" t="str">
        <f>IF(Bet_Log[[#This Row],[Result ]]="", "", IF(Bet_Log[[#This Row],[Result ]]="Win", Bet_Log[[#This Row],[Stake]]*Bet_Log[[#This Row],[Decimal]]-Bet_Log[[#This Row],[Stake]], IF(Bet_Log[[#This Row],[Result ]]="Loss", -Bet_Log[[#This Row],[Stake]], IF(Bet_Log[[#This Row],[Result ]]="Push", 0, ""))))</f>
        <v/>
      </c>
      <c r="J847" s="2" t="str">
        <f>IF(Bet_Log[[#This Row],[Return]]="", "", J846 + Bet_Log[[#This Row],[Return]])</f>
        <v/>
      </c>
      <c r="K847" s="9"/>
    </row>
    <row r="848" spans="1:11" x14ac:dyDescent="0.2">
      <c r="A848" s="27"/>
      <c r="B848" s="1"/>
      <c r="C848" s="6"/>
      <c r="D848" s="1"/>
      <c r="E848" s="7"/>
      <c r="F848" s="8"/>
      <c r="G848" s="3" t="str" cm="1">
        <f t="array" ref="G848">IF(ISBLANK(F848), "", IFERROR(_xlfn.IFS(LEFT(F848,1)="+", (VALUE(MID(F848,2,LEN(F848)))+100)/100, VALUE(F848)&gt;0, (F848+100)/100, VALUE(F848)&lt;0, (ABS(F848)+100)/ABS(F848), F848=0, 0), ""))</f>
        <v/>
      </c>
      <c r="H848" s="1"/>
      <c r="I848" s="4" t="str">
        <f>IF(Bet_Log[[#This Row],[Result ]]="", "", IF(Bet_Log[[#This Row],[Result ]]="Win", Bet_Log[[#This Row],[Stake]]*Bet_Log[[#This Row],[Decimal]]-Bet_Log[[#This Row],[Stake]], IF(Bet_Log[[#This Row],[Result ]]="Loss", -Bet_Log[[#This Row],[Stake]], IF(Bet_Log[[#This Row],[Result ]]="Push", 0, ""))))</f>
        <v/>
      </c>
      <c r="J848" s="2" t="str">
        <f>IF(Bet_Log[[#This Row],[Return]]="", "", J847 + Bet_Log[[#This Row],[Return]])</f>
        <v/>
      </c>
      <c r="K848" s="9"/>
    </row>
    <row r="849" spans="1:11" x14ac:dyDescent="0.2">
      <c r="A849" s="27"/>
      <c r="B849" s="1"/>
      <c r="C849" s="6"/>
      <c r="D849" s="1"/>
      <c r="E849" s="7"/>
      <c r="F849" s="8"/>
      <c r="G849" s="3" t="str" cm="1">
        <f t="array" ref="G849">IF(ISBLANK(F849), "", IFERROR(_xlfn.IFS(LEFT(F849,1)="+", (VALUE(MID(F849,2,LEN(F849)))+100)/100, VALUE(F849)&gt;0, (F849+100)/100, VALUE(F849)&lt;0, (ABS(F849)+100)/ABS(F849), F849=0, 0), ""))</f>
        <v/>
      </c>
      <c r="H849" s="1"/>
      <c r="I849" s="4" t="str">
        <f>IF(Bet_Log[[#This Row],[Result ]]="", "", IF(Bet_Log[[#This Row],[Result ]]="Win", Bet_Log[[#This Row],[Stake]]*Bet_Log[[#This Row],[Decimal]]-Bet_Log[[#This Row],[Stake]], IF(Bet_Log[[#This Row],[Result ]]="Loss", -Bet_Log[[#This Row],[Stake]], IF(Bet_Log[[#This Row],[Result ]]="Push", 0, ""))))</f>
        <v/>
      </c>
      <c r="J849" s="2" t="str">
        <f>IF(Bet_Log[[#This Row],[Return]]="", "", J848 + Bet_Log[[#This Row],[Return]])</f>
        <v/>
      </c>
      <c r="K849" s="9"/>
    </row>
    <row r="850" spans="1:11" x14ac:dyDescent="0.2">
      <c r="A850" s="27"/>
      <c r="B850" s="1"/>
      <c r="C850" s="6"/>
      <c r="D850" s="1"/>
      <c r="E850" s="7"/>
      <c r="F850" s="8"/>
      <c r="G850" s="3" t="str" cm="1">
        <f t="array" ref="G850">IF(ISBLANK(F850), "", IFERROR(_xlfn.IFS(LEFT(F850,1)="+", (VALUE(MID(F850,2,LEN(F850)))+100)/100, VALUE(F850)&gt;0, (F850+100)/100, VALUE(F850)&lt;0, (ABS(F850)+100)/ABS(F850), F850=0, 0), ""))</f>
        <v/>
      </c>
      <c r="H850" s="1"/>
      <c r="I850" s="4" t="str">
        <f>IF(Bet_Log[[#This Row],[Result ]]="", "", IF(Bet_Log[[#This Row],[Result ]]="Win", Bet_Log[[#This Row],[Stake]]*Bet_Log[[#This Row],[Decimal]]-Bet_Log[[#This Row],[Stake]], IF(Bet_Log[[#This Row],[Result ]]="Loss", -Bet_Log[[#This Row],[Stake]], IF(Bet_Log[[#This Row],[Result ]]="Push", 0, ""))))</f>
        <v/>
      </c>
      <c r="J850" s="2" t="str">
        <f>IF(Bet_Log[[#This Row],[Return]]="", "", J849 + Bet_Log[[#This Row],[Return]])</f>
        <v/>
      </c>
      <c r="K850" s="9"/>
    </row>
    <row r="851" spans="1:11" x14ac:dyDescent="0.2">
      <c r="A851" s="27"/>
      <c r="B851" s="1"/>
      <c r="C851" s="6"/>
      <c r="D851" s="1"/>
      <c r="E851" s="7"/>
      <c r="F851" s="8"/>
      <c r="G851" s="3" t="str" cm="1">
        <f t="array" ref="G851">IF(ISBLANK(F851), "", IFERROR(_xlfn.IFS(LEFT(F851,1)="+", (VALUE(MID(F851,2,LEN(F851)))+100)/100, VALUE(F851)&gt;0, (F851+100)/100, VALUE(F851)&lt;0, (ABS(F851)+100)/ABS(F851), F851=0, 0), ""))</f>
        <v/>
      </c>
      <c r="H851" s="1"/>
      <c r="I851" s="4" t="str">
        <f>IF(Bet_Log[[#This Row],[Result ]]="", "", IF(Bet_Log[[#This Row],[Result ]]="Win", Bet_Log[[#This Row],[Stake]]*Bet_Log[[#This Row],[Decimal]]-Bet_Log[[#This Row],[Stake]], IF(Bet_Log[[#This Row],[Result ]]="Loss", -Bet_Log[[#This Row],[Stake]], IF(Bet_Log[[#This Row],[Result ]]="Push", 0, ""))))</f>
        <v/>
      </c>
      <c r="J851" s="2" t="str">
        <f>IF(Bet_Log[[#This Row],[Return]]="", "", J850 + Bet_Log[[#This Row],[Return]])</f>
        <v/>
      </c>
      <c r="K851" s="9"/>
    </row>
    <row r="852" spans="1:11" x14ac:dyDescent="0.2">
      <c r="A852" s="27"/>
      <c r="B852" s="1"/>
      <c r="C852" s="6"/>
      <c r="D852" s="1"/>
      <c r="E852" s="7"/>
      <c r="F852" s="8"/>
      <c r="G852" s="3" t="str" cm="1">
        <f t="array" ref="G852">IF(ISBLANK(F852), "", IFERROR(_xlfn.IFS(LEFT(F852,1)="+", (VALUE(MID(F852,2,LEN(F852)))+100)/100, VALUE(F852)&gt;0, (F852+100)/100, VALUE(F852)&lt;0, (ABS(F852)+100)/ABS(F852), F852=0, 0), ""))</f>
        <v/>
      </c>
      <c r="H852" s="1"/>
      <c r="I852" s="4" t="str">
        <f>IF(Bet_Log[[#This Row],[Result ]]="", "", IF(Bet_Log[[#This Row],[Result ]]="Win", Bet_Log[[#This Row],[Stake]]*Bet_Log[[#This Row],[Decimal]]-Bet_Log[[#This Row],[Stake]], IF(Bet_Log[[#This Row],[Result ]]="Loss", -Bet_Log[[#This Row],[Stake]], IF(Bet_Log[[#This Row],[Result ]]="Push", 0, ""))))</f>
        <v/>
      </c>
      <c r="J852" s="2" t="str">
        <f>IF(Bet_Log[[#This Row],[Return]]="", "", J851 + Bet_Log[[#This Row],[Return]])</f>
        <v/>
      </c>
      <c r="K852" s="9"/>
    </row>
    <row r="853" spans="1:11" x14ac:dyDescent="0.2">
      <c r="A853" s="27"/>
      <c r="B853" s="1"/>
      <c r="C853" s="6"/>
      <c r="D853" s="1"/>
      <c r="E853" s="7"/>
      <c r="F853" s="8"/>
      <c r="G853" s="3" t="str" cm="1">
        <f t="array" ref="G853">IF(ISBLANK(F853), "", IFERROR(_xlfn.IFS(LEFT(F853,1)="+", (VALUE(MID(F853,2,LEN(F853)))+100)/100, VALUE(F853)&gt;0, (F853+100)/100, VALUE(F853)&lt;0, (ABS(F853)+100)/ABS(F853), F853=0, 0), ""))</f>
        <v/>
      </c>
      <c r="H853" s="1"/>
      <c r="I853" s="4" t="str">
        <f>IF(Bet_Log[[#This Row],[Result ]]="", "", IF(Bet_Log[[#This Row],[Result ]]="Win", Bet_Log[[#This Row],[Stake]]*Bet_Log[[#This Row],[Decimal]]-Bet_Log[[#This Row],[Stake]], IF(Bet_Log[[#This Row],[Result ]]="Loss", -Bet_Log[[#This Row],[Stake]], IF(Bet_Log[[#This Row],[Result ]]="Push", 0, ""))))</f>
        <v/>
      </c>
      <c r="J853" s="2" t="str">
        <f>IF(Bet_Log[[#This Row],[Return]]="", "", J852 + Bet_Log[[#This Row],[Return]])</f>
        <v/>
      </c>
      <c r="K853" s="9"/>
    </row>
    <row r="854" spans="1:11" x14ac:dyDescent="0.2">
      <c r="A854" s="27"/>
      <c r="B854" s="1"/>
      <c r="C854" s="6"/>
      <c r="D854" s="1"/>
      <c r="E854" s="7"/>
      <c r="F854" s="8"/>
      <c r="G854" s="3" t="str" cm="1">
        <f t="array" ref="G854">IF(ISBLANK(F854), "", IFERROR(_xlfn.IFS(LEFT(F854,1)="+", (VALUE(MID(F854,2,LEN(F854)))+100)/100, VALUE(F854)&gt;0, (F854+100)/100, VALUE(F854)&lt;0, (ABS(F854)+100)/ABS(F854), F854=0, 0), ""))</f>
        <v/>
      </c>
      <c r="H854" s="1"/>
      <c r="I854" s="4" t="str">
        <f>IF(Bet_Log[[#This Row],[Result ]]="", "", IF(Bet_Log[[#This Row],[Result ]]="Win", Bet_Log[[#This Row],[Stake]]*Bet_Log[[#This Row],[Decimal]]-Bet_Log[[#This Row],[Stake]], IF(Bet_Log[[#This Row],[Result ]]="Loss", -Bet_Log[[#This Row],[Stake]], IF(Bet_Log[[#This Row],[Result ]]="Push", 0, ""))))</f>
        <v/>
      </c>
      <c r="J854" s="2" t="str">
        <f>IF(Bet_Log[[#This Row],[Return]]="", "", J853 + Bet_Log[[#This Row],[Return]])</f>
        <v/>
      </c>
      <c r="K854" s="9"/>
    </row>
    <row r="855" spans="1:11" x14ac:dyDescent="0.2">
      <c r="A855" s="27"/>
      <c r="B855" s="1"/>
      <c r="C855" s="6"/>
      <c r="D855" s="1"/>
      <c r="E855" s="7"/>
      <c r="F855" s="8"/>
      <c r="G855" s="3" t="str" cm="1">
        <f t="array" ref="G855">IF(ISBLANK(F855), "", IFERROR(_xlfn.IFS(LEFT(F855,1)="+", (VALUE(MID(F855,2,LEN(F855)))+100)/100, VALUE(F855)&gt;0, (F855+100)/100, VALUE(F855)&lt;0, (ABS(F855)+100)/ABS(F855), F855=0, 0), ""))</f>
        <v/>
      </c>
      <c r="H855" s="1"/>
      <c r="I855" s="4" t="str">
        <f>IF(Bet_Log[[#This Row],[Result ]]="", "", IF(Bet_Log[[#This Row],[Result ]]="Win", Bet_Log[[#This Row],[Stake]]*Bet_Log[[#This Row],[Decimal]]-Bet_Log[[#This Row],[Stake]], IF(Bet_Log[[#This Row],[Result ]]="Loss", -Bet_Log[[#This Row],[Stake]], IF(Bet_Log[[#This Row],[Result ]]="Push", 0, ""))))</f>
        <v/>
      </c>
      <c r="J855" s="2" t="str">
        <f>IF(Bet_Log[[#This Row],[Return]]="", "", J854 + Bet_Log[[#This Row],[Return]])</f>
        <v/>
      </c>
      <c r="K855" s="9"/>
    </row>
    <row r="856" spans="1:11" x14ac:dyDescent="0.2">
      <c r="A856" s="27"/>
      <c r="B856" s="1"/>
      <c r="C856" s="6"/>
      <c r="D856" s="1"/>
      <c r="E856" s="7"/>
      <c r="F856" s="8"/>
      <c r="G856" s="3" t="str" cm="1">
        <f t="array" ref="G856">IF(ISBLANK(F856), "", IFERROR(_xlfn.IFS(LEFT(F856,1)="+", (VALUE(MID(F856,2,LEN(F856)))+100)/100, VALUE(F856)&gt;0, (F856+100)/100, VALUE(F856)&lt;0, (ABS(F856)+100)/ABS(F856), F856=0, 0), ""))</f>
        <v/>
      </c>
      <c r="H856" s="1"/>
      <c r="I856" s="4" t="str">
        <f>IF(Bet_Log[[#This Row],[Result ]]="", "", IF(Bet_Log[[#This Row],[Result ]]="Win", Bet_Log[[#This Row],[Stake]]*Bet_Log[[#This Row],[Decimal]]-Bet_Log[[#This Row],[Stake]], IF(Bet_Log[[#This Row],[Result ]]="Loss", -Bet_Log[[#This Row],[Stake]], IF(Bet_Log[[#This Row],[Result ]]="Push", 0, ""))))</f>
        <v/>
      </c>
      <c r="J856" s="2" t="str">
        <f>IF(Bet_Log[[#This Row],[Return]]="", "", J855 + Bet_Log[[#This Row],[Return]])</f>
        <v/>
      </c>
      <c r="K856" s="9"/>
    </row>
    <row r="857" spans="1:11" x14ac:dyDescent="0.2">
      <c r="A857" s="27"/>
      <c r="B857" s="1"/>
      <c r="C857" s="6"/>
      <c r="D857" s="1"/>
      <c r="E857" s="7"/>
      <c r="F857" s="8"/>
      <c r="G857" s="3" t="str" cm="1">
        <f t="array" ref="G857">IF(ISBLANK(F857), "", IFERROR(_xlfn.IFS(LEFT(F857,1)="+", (VALUE(MID(F857,2,LEN(F857)))+100)/100, VALUE(F857)&gt;0, (F857+100)/100, VALUE(F857)&lt;0, (ABS(F857)+100)/ABS(F857), F857=0, 0), ""))</f>
        <v/>
      </c>
      <c r="H857" s="1"/>
      <c r="I857" s="4" t="str">
        <f>IF(Bet_Log[[#This Row],[Result ]]="", "", IF(Bet_Log[[#This Row],[Result ]]="Win", Bet_Log[[#This Row],[Stake]]*Bet_Log[[#This Row],[Decimal]]-Bet_Log[[#This Row],[Stake]], IF(Bet_Log[[#This Row],[Result ]]="Loss", -Bet_Log[[#This Row],[Stake]], IF(Bet_Log[[#This Row],[Result ]]="Push", 0, ""))))</f>
        <v/>
      </c>
      <c r="J857" s="2" t="str">
        <f>IF(Bet_Log[[#This Row],[Return]]="", "", J856 + Bet_Log[[#This Row],[Return]])</f>
        <v/>
      </c>
      <c r="K857" s="9"/>
    </row>
    <row r="858" spans="1:11" x14ac:dyDescent="0.2">
      <c r="A858" s="27"/>
      <c r="B858" s="1"/>
      <c r="C858" s="6"/>
      <c r="D858" s="1"/>
      <c r="E858" s="7"/>
      <c r="F858" s="8"/>
      <c r="G858" s="3" t="str" cm="1">
        <f t="array" ref="G858">IF(ISBLANK(F858), "", IFERROR(_xlfn.IFS(LEFT(F858,1)="+", (VALUE(MID(F858,2,LEN(F858)))+100)/100, VALUE(F858)&gt;0, (F858+100)/100, VALUE(F858)&lt;0, (ABS(F858)+100)/ABS(F858), F858=0, 0), ""))</f>
        <v/>
      </c>
      <c r="H858" s="1"/>
      <c r="I858" s="4" t="str">
        <f>IF(Bet_Log[[#This Row],[Result ]]="", "", IF(Bet_Log[[#This Row],[Result ]]="Win", Bet_Log[[#This Row],[Stake]]*Bet_Log[[#This Row],[Decimal]]-Bet_Log[[#This Row],[Stake]], IF(Bet_Log[[#This Row],[Result ]]="Loss", -Bet_Log[[#This Row],[Stake]], IF(Bet_Log[[#This Row],[Result ]]="Push", 0, ""))))</f>
        <v/>
      </c>
      <c r="J858" s="2" t="str">
        <f>IF(Bet_Log[[#This Row],[Return]]="", "", J857 + Bet_Log[[#This Row],[Return]])</f>
        <v/>
      </c>
      <c r="K858" s="9"/>
    </row>
    <row r="859" spans="1:11" x14ac:dyDescent="0.2">
      <c r="A859" s="27"/>
      <c r="B859" s="1"/>
      <c r="C859" s="6"/>
      <c r="D859" s="1"/>
      <c r="E859" s="7"/>
      <c r="F859" s="8"/>
      <c r="G859" s="3" t="str" cm="1">
        <f t="array" ref="G859">IF(ISBLANK(F859), "", IFERROR(_xlfn.IFS(LEFT(F859,1)="+", (VALUE(MID(F859,2,LEN(F859)))+100)/100, VALUE(F859)&gt;0, (F859+100)/100, VALUE(F859)&lt;0, (ABS(F859)+100)/ABS(F859), F859=0, 0), ""))</f>
        <v/>
      </c>
      <c r="H859" s="1"/>
      <c r="I859" s="4" t="str">
        <f>IF(Bet_Log[[#This Row],[Result ]]="", "", IF(Bet_Log[[#This Row],[Result ]]="Win", Bet_Log[[#This Row],[Stake]]*Bet_Log[[#This Row],[Decimal]]-Bet_Log[[#This Row],[Stake]], IF(Bet_Log[[#This Row],[Result ]]="Loss", -Bet_Log[[#This Row],[Stake]], IF(Bet_Log[[#This Row],[Result ]]="Push", 0, ""))))</f>
        <v/>
      </c>
      <c r="J859" s="2" t="str">
        <f>IF(Bet_Log[[#This Row],[Return]]="", "", J858 + Bet_Log[[#This Row],[Return]])</f>
        <v/>
      </c>
      <c r="K859" s="9"/>
    </row>
    <row r="860" spans="1:11" x14ac:dyDescent="0.2">
      <c r="A860" s="27"/>
      <c r="B860" s="1"/>
      <c r="C860" s="6"/>
      <c r="D860" s="1"/>
      <c r="E860" s="7"/>
      <c r="F860" s="8"/>
      <c r="G860" s="3" t="str" cm="1">
        <f t="array" ref="G860">IF(ISBLANK(F860), "", IFERROR(_xlfn.IFS(LEFT(F860,1)="+", (VALUE(MID(F860,2,LEN(F860)))+100)/100, VALUE(F860)&gt;0, (F860+100)/100, VALUE(F860)&lt;0, (ABS(F860)+100)/ABS(F860), F860=0, 0), ""))</f>
        <v/>
      </c>
      <c r="H860" s="1"/>
      <c r="I860" s="4" t="str">
        <f>IF(Bet_Log[[#This Row],[Result ]]="", "", IF(Bet_Log[[#This Row],[Result ]]="Win", Bet_Log[[#This Row],[Stake]]*Bet_Log[[#This Row],[Decimal]]-Bet_Log[[#This Row],[Stake]], IF(Bet_Log[[#This Row],[Result ]]="Loss", -Bet_Log[[#This Row],[Stake]], IF(Bet_Log[[#This Row],[Result ]]="Push", 0, ""))))</f>
        <v/>
      </c>
      <c r="J860" s="2" t="str">
        <f>IF(Bet_Log[[#This Row],[Return]]="", "", J859 + Bet_Log[[#This Row],[Return]])</f>
        <v/>
      </c>
      <c r="K860" s="9"/>
    </row>
    <row r="861" spans="1:11" x14ac:dyDescent="0.2">
      <c r="A861" s="27"/>
      <c r="B861" s="1"/>
      <c r="C861" s="6"/>
      <c r="D861" s="1"/>
      <c r="E861" s="7"/>
      <c r="F861" s="8"/>
      <c r="G861" s="3" t="str" cm="1">
        <f t="array" ref="G861">IF(ISBLANK(F861), "", IFERROR(_xlfn.IFS(LEFT(F861,1)="+", (VALUE(MID(F861,2,LEN(F861)))+100)/100, VALUE(F861)&gt;0, (F861+100)/100, VALUE(F861)&lt;0, (ABS(F861)+100)/ABS(F861), F861=0, 0), ""))</f>
        <v/>
      </c>
      <c r="H861" s="1"/>
      <c r="I861" s="4" t="str">
        <f>IF(Bet_Log[[#This Row],[Result ]]="", "", IF(Bet_Log[[#This Row],[Result ]]="Win", Bet_Log[[#This Row],[Stake]]*Bet_Log[[#This Row],[Decimal]]-Bet_Log[[#This Row],[Stake]], IF(Bet_Log[[#This Row],[Result ]]="Loss", -Bet_Log[[#This Row],[Stake]], IF(Bet_Log[[#This Row],[Result ]]="Push", 0, ""))))</f>
        <v/>
      </c>
      <c r="J861" s="2" t="str">
        <f>IF(Bet_Log[[#This Row],[Return]]="", "", J860 + Bet_Log[[#This Row],[Return]])</f>
        <v/>
      </c>
      <c r="K861" s="9"/>
    </row>
    <row r="862" spans="1:11" x14ac:dyDescent="0.2">
      <c r="A862" s="27"/>
      <c r="B862" s="1"/>
      <c r="C862" s="6"/>
      <c r="D862" s="1"/>
      <c r="E862" s="7"/>
      <c r="F862" s="8"/>
      <c r="G862" s="3" t="str" cm="1">
        <f t="array" ref="G862">IF(ISBLANK(F862), "", IFERROR(_xlfn.IFS(LEFT(F862,1)="+", (VALUE(MID(F862,2,LEN(F862)))+100)/100, VALUE(F862)&gt;0, (F862+100)/100, VALUE(F862)&lt;0, (ABS(F862)+100)/ABS(F862), F862=0, 0), ""))</f>
        <v/>
      </c>
      <c r="H862" s="1"/>
      <c r="I862" s="4" t="str">
        <f>IF(Bet_Log[[#This Row],[Result ]]="", "", IF(Bet_Log[[#This Row],[Result ]]="Win", Bet_Log[[#This Row],[Stake]]*Bet_Log[[#This Row],[Decimal]]-Bet_Log[[#This Row],[Stake]], IF(Bet_Log[[#This Row],[Result ]]="Loss", -Bet_Log[[#This Row],[Stake]], IF(Bet_Log[[#This Row],[Result ]]="Push", 0, ""))))</f>
        <v/>
      </c>
      <c r="J862" s="2" t="str">
        <f>IF(Bet_Log[[#This Row],[Return]]="", "", J861 + Bet_Log[[#This Row],[Return]])</f>
        <v/>
      </c>
      <c r="K862" s="9"/>
    </row>
    <row r="863" spans="1:11" x14ac:dyDescent="0.2">
      <c r="A863" s="27"/>
      <c r="B863" s="1"/>
      <c r="C863" s="6"/>
      <c r="D863" s="1"/>
      <c r="E863" s="7"/>
      <c r="F863" s="8"/>
      <c r="G863" s="3" t="str" cm="1">
        <f t="array" ref="G863">IF(ISBLANK(F863), "", IFERROR(_xlfn.IFS(LEFT(F863,1)="+", (VALUE(MID(F863,2,LEN(F863)))+100)/100, VALUE(F863)&gt;0, (F863+100)/100, VALUE(F863)&lt;0, (ABS(F863)+100)/ABS(F863), F863=0, 0), ""))</f>
        <v/>
      </c>
      <c r="H863" s="1"/>
      <c r="I863" s="4" t="str">
        <f>IF(Bet_Log[[#This Row],[Result ]]="", "", IF(Bet_Log[[#This Row],[Result ]]="Win", Bet_Log[[#This Row],[Stake]]*Bet_Log[[#This Row],[Decimal]]-Bet_Log[[#This Row],[Stake]], IF(Bet_Log[[#This Row],[Result ]]="Loss", -Bet_Log[[#This Row],[Stake]], IF(Bet_Log[[#This Row],[Result ]]="Push", 0, ""))))</f>
        <v/>
      </c>
      <c r="J863" s="2" t="str">
        <f>IF(Bet_Log[[#This Row],[Return]]="", "", J862 + Bet_Log[[#This Row],[Return]])</f>
        <v/>
      </c>
      <c r="K863" s="9"/>
    </row>
    <row r="864" spans="1:11" x14ac:dyDescent="0.2">
      <c r="A864" s="27"/>
      <c r="B864" s="1"/>
      <c r="C864" s="6"/>
      <c r="D864" s="1"/>
      <c r="E864" s="7"/>
      <c r="F864" s="8"/>
      <c r="G864" s="3" t="str" cm="1">
        <f t="array" ref="G864">IF(ISBLANK(F864), "", IFERROR(_xlfn.IFS(LEFT(F864,1)="+", (VALUE(MID(F864,2,LEN(F864)))+100)/100, VALUE(F864)&gt;0, (F864+100)/100, VALUE(F864)&lt;0, (ABS(F864)+100)/ABS(F864), F864=0, 0), ""))</f>
        <v/>
      </c>
      <c r="H864" s="1"/>
      <c r="I864" s="4" t="str">
        <f>IF(Bet_Log[[#This Row],[Result ]]="", "", IF(Bet_Log[[#This Row],[Result ]]="Win", Bet_Log[[#This Row],[Stake]]*Bet_Log[[#This Row],[Decimal]]-Bet_Log[[#This Row],[Stake]], IF(Bet_Log[[#This Row],[Result ]]="Loss", -Bet_Log[[#This Row],[Stake]], IF(Bet_Log[[#This Row],[Result ]]="Push", 0, ""))))</f>
        <v/>
      </c>
      <c r="J864" s="2" t="str">
        <f>IF(Bet_Log[[#This Row],[Return]]="", "", J863 + Bet_Log[[#This Row],[Return]])</f>
        <v/>
      </c>
      <c r="K864" s="9"/>
    </row>
    <row r="865" spans="1:11" x14ac:dyDescent="0.2">
      <c r="A865" s="27"/>
      <c r="B865" s="1"/>
      <c r="C865" s="6"/>
      <c r="D865" s="1"/>
      <c r="E865" s="7"/>
      <c r="F865" s="8"/>
      <c r="G865" s="3" t="str" cm="1">
        <f t="array" ref="G865">IF(ISBLANK(F865), "", IFERROR(_xlfn.IFS(LEFT(F865,1)="+", (VALUE(MID(F865,2,LEN(F865)))+100)/100, VALUE(F865)&gt;0, (F865+100)/100, VALUE(F865)&lt;0, (ABS(F865)+100)/ABS(F865), F865=0, 0), ""))</f>
        <v/>
      </c>
      <c r="H865" s="1"/>
      <c r="I865" s="4" t="str">
        <f>IF(Bet_Log[[#This Row],[Result ]]="", "", IF(Bet_Log[[#This Row],[Result ]]="Win", Bet_Log[[#This Row],[Stake]]*Bet_Log[[#This Row],[Decimal]]-Bet_Log[[#This Row],[Stake]], IF(Bet_Log[[#This Row],[Result ]]="Loss", -Bet_Log[[#This Row],[Stake]], IF(Bet_Log[[#This Row],[Result ]]="Push", 0, ""))))</f>
        <v/>
      </c>
      <c r="J865" s="2" t="str">
        <f>IF(Bet_Log[[#This Row],[Return]]="", "", J864 + Bet_Log[[#This Row],[Return]])</f>
        <v/>
      </c>
      <c r="K865" s="9"/>
    </row>
    <row r="866" spans="1:11" x14ac:dyDescent="0.2">
      <c r="A866" s="27"/>
      <c r="B866" s="1"/>
      <c r="C866" s="6"/>
      <c r="D866" s="1"/>
      <c r="E866" s="7"/>
      <c r="F866" s="8"/>
      <c r="G866" s="3" t="str" cm="1">
        <f t="array" ref="G866">IF(ISBLANK(F866), "", IFERROR(_xlfn.IFS(LEFT(F866,1)="+", (VALUE(MID(F866,2,LEN(F866)))+100)/100, VALUE(F866)&gt;0, (F866+100)/100, VALUE(F866)&lt;0, (ABS(F866)+100)/ABS(F866), F866=0, 0), ""))</f>
        <v/>
      </c>
      <c r="H866" s="1"/>
      <c r="I866" s="4" t="str">
        <f>IF(Bet_Log[[#This Row],[Result ]]="", "", IF(Bet_Log[[#This Row],[Result ]]="Win", Bet_Log[[#This Row],[Stake]]*Bet_Log[[#This Row],[Decimal]]-Bet_Log[[#This Row],[Stake]], IF(Bet_Log[[#This Row],[Result ]]="Loss", -Bet_Log[[#This Row],[Stake]], IF(Bet_Log[[#This Row],[Result ]]="Push", 0, ""))))</f>
        <v/>
      </c>
      <c r="J866" s="2" t="str">
        <f>IF(Bet_Log[[#This Row],[Return]]="", "", J865 + Bet_Log[[#This Row],[Return]])</f>
        <v/>
      </c>
      <c r="K866" s="9"/>
    </row>
    <row r="867" spans="1:11" x14ac:dyDescent="0.2">
      <c r="A867" s="27"/>
      <c r="B867" s="1"/>
      <c r="C867" s="6"/>
      <c r="D867" s="1"/>
      <c r="E867" s="7"/>
      <c r="F867" s="8"/>
      <c r="G867" s="3" t="str" cm="1">
        <f t="array" ref="G867">IF(ISBLANK(F867), "", IFERROR(_xlfn.IFS(LEFT(F867,1)="+", (VALUE(MID(F867,2,LEN(F867)))+100)/100, VALUE(F867)&gt;0, (F867+100)/100, VALUE(F867)&lt;0, (ABS(F867)+100)/ABS(F867), F867=0, 0), ""))</f>
        <v/>
      </c>
      <c r="H867" s="1"/>
      <c r="I867" s="4" t="str">
        <f>IF(Bet_Log[[#This Row],[Result ]]="", "", IF(Bet_Log[[#This Row],[Result ]]="Win", Bet_Log[[#This Row],[Stake]]*Bet_Log[[#This Row],[Decimal]]-Bet_Log[[#This Row],[Stake]], IF(Bet_Log[[#This Row],[Result ]]="Loss", -Bet_Log[[#This Row],[Stake]], IF(Bet_Log[[#This Row],[Result ]]="Push", 0, ""))))</f>
        <v/>
      </c>
      <c r="J867" s="2" t="str">
        <f>IF(Bet_Log[[#This Row],[Return]]="", "", J866 + Bet_Log[[#This Row],[Return]])</f>
        <v/>
      </c>
      <c r="K867" s="9"/>
    </row>
    <row r="868" spans="1:11" x14ac:dyDescent="0.2">
      <c r="A868" s="27"/>
      <c r="B868" s="1"/>
      <c r="C868" s="6"/>
      <c r="D868" s="1"/>
      <c r="E868" s="7"/>
      <c r="F868" s="8"/>
      <c r="G868" s="3" t="str" cm="1">
        <f t="array" ref="G868">IF(ISBLANK(F868), "", IFERROR(_xlfn.IFS(LEFT(F868,1)="+", (VALUE(MID(F868,2,LEN(F868)))+100)/100, VALUE(F868)&gt;0, (F868+100)/100, VALUE(F868)&lt;0, (ABS(F868)+100)/ABS(F868), F868=0, 0), ""))</f>
        <v/>
      </c>
      <c r="H868" s="1"/>
      <c r="I868" s="4" t="str">
        <f>IF(Bet_Log[[#This Row],[Result ]]="", "", IF(Bet_Log[[#This Row],[Result ]]="Win", Bet_Log[[#This Row],[Stake]]*Bet_Log[[#This Row],[Decimal]]-Bet_Log[[#This Row],[Stake]], IF(Bet_Log[[#This Row],[Result ]]="Loss", -Bet_Log[[#This Row],[Stake]], IF(Bet_Log[[#This Row],[Result ]]="Push", 0, ""))))</f>
        <v/>
      </c>
      <c r="J868" s="2" t="str">
        <f>IF(Bet_Log[[#This Row],[Return]]="", "", J867 + Bet_Log[[#This Row],[Return]])</f>
        <v/>
      </c>
      <c r="K868" s="9"/>
    </row>
    <row r="869" spans="1:11" x14ac:dyDescent="0.2">
      <c r="A869" s="27"/>
      <c r="B869" s="1"/>
      <c r="C869" s="6"/>
      <c r="D869" s="1"/>
      <c r="E869" s="7"/>
      <c r="F869" s="8"/>
      <c r="G869" s="3" t="str" cm="1">
        <f t="array" ref="G869">IF(ISBLANK(F869), "", IFERROR(_xlfn.IFS(LEFT(F869,1)="+", (VALUE(MID(F869,2,LEN(F869)))+100)/100, VALUE(F869)&gt;0, (F869+100)/100, VALUE(F869)&lt;0, (ABS(F869)+100)/ABS(F869), F869=0, 0), ""))</f>
        <v/>
      </c>
      <c r="H869" s="1"/>
      <c r="I869" s="4" t="str">
        <f>IF(Bet_Log[[#This Row],[Result ]]="", "", IF(Bet_Log[[#This Row],[Result ]]="Win", Bet_Log[[#This Row],[Stake]]*Bet_Log[[#This Row],[Decimal]]-Bet_Log[[#This Row],[Stake]], IF(Bet_Log[[#This Row],[Result ]]="Loss", -Bet_Log[[#This Row],[Stake]], IF(Bet_Log[[#This Row],[Result ]]="Push", 0, ""))))</f>
        <v/>
      </c>
      <c r="J869" s="2" t="str">
        <f>IF(Bet_Log[[#This Row],[Return]]="", "", J868 + Bet_Log[[#This Row],[Return]])</f>
        <v/>
      </c>
      <c r="K869" s="9"/>
    </row>
    <row r="870" spans="1:11" x14ac:dyDescent="0.2">
      <c r="A870" s="27"/>
      <c r="B870" s="1"/>
      <c r="C870" s="6"/>
      <c r="D870" s="1"/>
      <c r="E870" s="7"/>
      <c r="F870" s="8"/>
      <c r="G870" s="3" t="str" cm="1">
        <f t="array" ref="G870">IF(ISBLANK(F870), "", IFERROR(_xlfn.IFS(LEFT(F870,1)="+", (VALUE(MID(F870,2,LEN(F870)))+100)/100, VALUE(F870)&gt;0, (F870+100)/100, VALUE(F870)&lt;0, (ABS(F870)+100)/ABS(F870), F870=0, 0), ""))</f>
        <v/>
      </c>
      <c r="H870" s="1"/>
      <c r="I870" s="4" t="str">
        <f>IF(Bet_Log[[#This Row],[Result ]]="", "", IF(Bet_Log[[#This Row],[Result ]]="Win", Bet_Log[[#This Row],[Stake]]*Bet_Log[[#This Row],[Decimal]]-Bet_Log[[#This Row],[Stake]], IF(Bet_Log[[#This Row],[Result ]]="Loss", -Bet_Log[[#This Row],[Stake]], IF(Bet_Log[[#This Row],[Result ]]="Push", 0, ""))))</f>
        <v/>
      </c>
      <c r="J870" s="2" t="str">
        <f>IF(Bet_Log[[#This Row],[Return]]="", "", J869 + Bet_Log[[#This Row],[Return]])</f>
        <v/>
      </c>
      <c r="K870" s="9"/>
    </row>
    <row r="871" spans="1:11" x14ac:dyDescent="0.2">
      <c r="A871" s="27"/>
      <c r="B871" s="1"/>
      <c r="C871" s="6"/>
      <c r="D871" s="1"/>
      <c r="E871" s="7"/>
      <c r="F871" s="8"/>
      <c r="G871" s="3" t="str" cm="1">
        <f t="array" ref="G871">IF(ISBLANK(F871), "", IFERROR(_xlfn.IFS(LEFT(F871,1)="+", (VALUE(MID(F871,2,LEN(F871)))+100)/100, VALUE(F871)&gt;0, (F871+100)/100, VALUE(F871)&lt;0, (ABS(F871)+100)/ABS(F871), F871=0, 0), ""))</f>
        <v/>
      </c>
      <c r="H871" s="1"/>
      <c r="I871" s="4" t="str">
        <f>IF(Bet_Log[[#This Row],[Result ]]="", "", IF(Bet_Log[[#This Row],[Result ]]="Win", Bet_Log[[#This Row],[Stake]]*Bet_Log[[#This Row],[Decimal]]-Bet_Log[[#This Row],[Stake]], IF(Bet_Log[[#This Row],[Result ]]="Loss", -Bet_Log[[#This Row],[Stake]], IF(Bet_Log[[#This Row],[Result ]]="Push", 0, ""))))</f>
        <v/>
      </c>
      <c r="J871" s="2" t="str">
        <f>IF(Bet_Log[[#This Row],[Return]]="", "", J870 + Bet_Log[[#This Row],[Return]])</f>
        <v/>
      </c>
      <c r="K871" s="9"/>
    </row>
    <row r="872" spans="1:11" x14ac:dyDescent="0.2">
      <c r="A872" s="27"/>
      <c r="B872" s="1"/>
      <c r="C872" s="6"/>
      <c r="D872" s="1"/>
      <c r="E872" s="7"/>
      <c r="F872" s="8"/>
      <c r="G872" s="3" t="str" cm="1">
        <f t="array" ref="G872">IF(ISBLANK(F872), "", IFERROR(_xlfn.IFS(LEFT(F872,1)="+", (VALUE(MID(F872,2,LEN(F872)))+100)/100, VALUE(F872)&gt;0, (F872+100)/100, VALUE(F872)&lt;0, (ABS(F872)+100)/ABS(F872), F872=0, 0), ""))</f>
        <v/>
      </c>
      <c r="H872" s="1"/>
      <c r="I872" s="4" t="str">
        <f>IF(Bet_Log[[#This Row],[Result ]]="", "", IF(Bet_Log[[#This Row],[Result ]]="Win", Bet_Log[[#This Row],[Stake]]*Bet_Log[[#This Row],[Decimal]]-Bet_Log[[#This Row],[Stake]], IF(Bet_Log[[#This Row],[Result ]]="Loss", -Bet_Log[[#This Row],[Stake]], IF(Bet_Log[[#This Row],[Result ]]="Push", 0, ""))))</f>
        <v/>
      </c>
      <c r="J872" s="2" t="str">
        <f>IF(Bet_Log[[#This Row],[Return]]="", "", J871 + Bet_Log[[#This Row],[Return]])</f>
        <v/>
      </c>
      <c r="K872" s="9"/>
    </row>
    <row r="873" spans="1:11" x14ac:dyDescent="0.2">
      <c r="A873" s="27"/>
      <c r="B873" s="1"/>
      <c r="C873" s="6"/>
      <c r="D873" s="1"/>
      <c r="E873" s="7"/>
      <c r="F873" s="8"/>
      <c r="G873" s="3" t="str" cm="1">
        <f t="array" ref="G873">IF(ISBLANK(F873), "", IFERROR(_xlfn.IFS(LEFT(F873,1)="+", (VALUE(MID(F873,2,LEN(F873)))+100)/100, VALUE(F873)&gt;0, (F873+100)/100, VALUE(F873)&lt;0, (ABS(F873)+100)/ABS(F873), F873=0, 0), ""))</f>
        <v/>
      </c>
      <c r="H873" s="1"/>
      <c r="I873" s="4" t="str">
        <f>IF(Bet_Log[[#This Row],[Result ]]="", "", IF(Bet_Log[[#This Row],[Result ]]="Win", Bet_Log[[#This Row],[Stake]]*Bet_Log[[#This Row],[Decimal]]-Bet_Log[[#This Row],[Stake]], IF(Bet_Log[[#This Row],[Result ]]="Loss", -Bet_Log[[#This Row],[Stake]], IF(Bet_Log[[#This Row],[Result ]]="Push", 0, ""))))</f>
        <v/>
      </c>
      <c r="J873" s="2" t="str">
        <f>IF(Bet_Log[[#This Row],[Return]]="", "", J872 + Bet_Log[[#This Row],[Return]])</f>
        <v/>
      </c>
      <c r="K873" s="9"/>
    </row>
    <row r="874" spans="1:11" x14ac:dyDescent="0.2">
      <c r="A874" s="27"/>
      <c r="B874" s="1"/>
      <c r="C874" s="6"/>
      <c r="D874" s="1"/>
      <c r="E874" s="7"/>
      <c r="F874" s="8"/>
      <c r="G874" s="3" t="str" cm="1">
        <f t="array" ref="G874">IF(ISBLANK(F874), "", IFERROR(_xlfn.IFS(LEFT(F874,1)="+", (VALUE(MID(F874,2,LEN(F874)))+100)/100, VALUE(F874)&gt;0, (F874+100)/100, VALUE(F874)&lt;0, (ABS(F874)+100)/ABS(F874), F874=0, 0), ""))</f>
        <v/>
      </c>
      <c r="H874" s="1"/>
      <c r="I874" s="4" t="str">
        <f>IF(Bet_Log[[#This Row],[Result ]]="", "", IF(Bet_Log[[#This Row],[Result ]]="Win", Bet_Log[[#This Row],[Stake]]*Bet_Log[[#This Row],[Decimal]]-Bet_Log[[#This Row],[Stake]], IF(Bet_Log[[#This Row],[Result ]]="Loss", -Bet_Log[[#This Row],[Stake]], IF(Bet_Log[[#This Row],[Result ]]="Push", 0, ""))))</f>
        <v/>
      </c>
      <c r="J874" s="2" t="str">
        <f>IF(Bet_Log[[#This Row],[Return]]="", "", J873 + Bet_Log[[#This Row],[Return]])</f>
        <v/>
      </c>
      <c r="K874" s="9"/>
    </row>
    <row r="875" spans="1:11" x14ac:dyDescent="0.2">
      <c r="A875" s="27"/>
      <c r="B875" s="1"/>
      <c r="C875" s="6"/>
      <c r="D875" s="1"/>
      <c r="E875" s="7"/>
      <c r="F875" s="8"/>
      <c r="G875" s="3" t="str" cm="1">
        <f t="array" ref="G875">IF(ISBLANK(F875), "", IFERROR(_xlfn.IFS(LEFT(F875,1)="+", (VALUE(MID(F875,2,LEN(F875)))+100)/100, VALUE(F875)&gt;0, (F875+100)/100, VALUE(F875)&lt;0, (ABS(F875)+100)/ABS(F875), F875=0, 0), ""))</f>
        <v/>
      </c>
      <c r="H875" s="1"/>
      <c r="I875" s="4" t="str">
        <f>IF(Bet_Log[[#This Row],[Result ]]="", "", IF(Bet_Log[[#This Row],[Result ]]="Win", Bet_Log[[#This Row],[Stake]]*Bet_Log[[#This Row],[Decimal]]-Bet_Log[[#This Row],[Stake]], IF(Bet_Log[[#This Row],[Result ]]="Loss", -Bet_Log[[#This Row],[Stake]], IF(Bet_Log[[#This Row],[Result ]]="Push", 0, ""))))</f>
        <v/>
      </c>
      <c r="J875" s="2" t="str">
        <f>IF(Bet_Log[[#This Row],[Return]]="", "", J874 + Bet_Log[[#This Row],[Return]])</f>
        <v/>
      </c>
      <c r="K875" s="9"/>
    </row>
    <row r="876" spans="1:11" x14ac:dyDescent="0.2">
      <c r="A876" s="27"/>
      <c r="B876" s="1"/>
      <c r="C876" s="6"/>
      <c r="D876" s="1"/>
      <c r="E876" s="7"/>
      <c r="F876" s="8"/>
      <c r="G876" s="3" t="str" cm="1">
        <f t="array" ref="G876">IF(ISBLANK(F876), "", IFERROR(_xlfn.IFS(LEFT(F876,1)="+", (VALUE(MID(F876,2,LEN(F876)))+100)/100, VALUE(F876)&gt;0, (F876+100)/100, VALUE(F876)&lt;0, (ABS(F876)+100)/ABS(F876), F876=0, 0), ""))</f>
        <v/>
      </c>
      <c r="H876" s="1"/>
      <c r="I876" s="4" t="str">
        <f>IF(Bet_Log[[#This Row],[Result ]]="", "", IF(Bet_Log[[#This Row],[Result ]]="Win", Bet_Log[[#This Row],[Stake]]*Bet_Log[[#This Row],[Decimal]]-Bet_Log[[#This Row],[Stake]], IF(Bet_Log[[#This Row],[Result ]]="Loss", -Bet_Log[[#This Row],[Stake]], IF(Bet_Log[[#This Row],[Result ]]="Push", 0, ""))))</f>
        <v/>
      </c>
      <c r="J876" s="2" t="str">
        <f>IF(Bet_Log[[#This Row],[Return]]="", "", J875 + Bet_Log[[#This Row],[Return]])</f>
        <v/>
      </c>
      <c r="K876" s="9"/>
    </row>
    <row r="877" spans="1:11" x14ac:dyDescent="0.2">
      <c r="A877" s="27"/>
      <c r="B877" s="1"/>
      <c r="C877" s="6"/>
      <c r="D877" s="1"/>
      <c r="E877" s="7"/>
      <c r="F877" s="8"/>
      <c r="G877" s="3" t="str" cm="1">
        <f t="array" ref="G877">IF(ISBLANK(F877), "", IFERROR(_xlfn.IFS(LEFT(F877,1)="+", (VALUE(MID(F877,2,LEN(F877)))+100)/100, VALUE(F877)&gt;0, (F877+100)/100, VALUE(F877)&lt;0, (ABS(F877)+100)/ABS(F877), F877=0, 0), ""))</f>
        <v/>
      </c>
      <c r="H877" s="1"/>
      <c r="I877" s="4" t="str">
        <f>IF(Bet_Log[[#This Row],[Result ]]="", "", IF(Bet_Log[[#This Row],[Result ]]="Win", Bet_Log[[#This Row],[Stake]]*Bet_Log[[#This Row],[Decimal]]-Bet_Log[[#This Row],[Stake]], IF(Bet_Log[[#This Row],[Result ]]="Loss", -Bet_Log[[#This Row],[Stake]], IF(Bet_Log[[#This Row],[Result ]]="Push", 0, ""))))</f>
        <v/>
      </c>
      <c r="J877" s="2" t="str">
        <f>IF(Bet_Log[[#This Row],[Return]]="", "", J876 + Bet_Log[[#This Row],[Return]])</f>
        <v/>
      </c>
      <c r="K877" s="9"/>
    </row>
    <row r="878" spans="1:11" x14ac:dyDescent="0.2">
      <c r="A878" s="27"/>
      <c r="B878" s="1"/>
      <c r="C878" s="6"/>
      <c r="D878" s="1"/>
      <c r="E878" s="7"/>
      <c r="F878" s="8"/>
      <c r="G878" s="3" t="str" cm="1">
        <f t="array" ref="G878">IF(ISBLANK(F878), "", IFERROR(_xlfn.IFS(LEFT(F878,1)="+", (VALUE(MID(F878,2,LEN(F878)))+100)/100, VALUE(F878)&gt;0, (F878+100)/100, VALUE(F878)&lt;0, (ABS(F878)+100)/ABS(F878), F878=0, 0), ""))</f>
        <v/>
      </c>
      <c r="H878" s="1"/>
      <c r="I878" s="4" t="str">
        <f>IF(Bet_Log[[#This Row],[Result ]]="", "", IF(Bet_Log[[#This Row],[Result ]]="Win", Bet_Log[[#This Row],[Stake]]*Bet_Log[[#This Row],[Decimal]]-Bet_Log[[#This Row],[Stake]], IF(Bet_Log[[#This Row],[Result ]]="Loss", -Bet_Log[[#This Row],[Stake]], IF(Bet_Log[[#This Row],[Result ]]="Push", 0, ""))))</f>
        <v/>
      </c>
      <c r="J878" s="2" t="str">
        <f>IF(Bet_Log[[#This Row],[Return]]="", "", J877 + Bet_Log[[#This Row],[Return]])</f>
        <v/>
      </c>
      <c r="K878" s="9"/>
    </row>
    <row r="879" spans="1:11" x14ac:dyDescent="0.2">
      <c r="A879" s="27"/>
      <c r="B879" s="1"/>
      <c r="C879" s="6"/>
      <c r="D879" s="1"/>
      <c r="E879" s="7"/>
      <c r="F879" s="8"/>
      <c r="G879" s="3" t="str" cm="1">
        <f t="array" ref="G879">IF(ISBLANK(F879), "", IFERROR(_xlfn.IFS(LEFT(F879,1)="+", (VALUE(MID(F879,2,LEN(F879)))+100)/100, VALUE(F879)&gt;0, (F879+100)/100, VALUE(F879)&lt;0, (ABS(F879)+100)/ABS(F879), F879=0, 0), ""))</f>
        <v/>
      </c>
      <c r="H879" s="1"/>
      <c r="I879" s="4" t="str">
        <f>IF(Bet_Log[[#This Row],[Result ]]="", "", IF(Bet_Log[[#This Row],[Result ]]="Win", Bet_Log[[#This Row],[Stake]]*Bet_Log[[#This Row],[Decimal]]-Bet_Log[[#This Row],[Stake]], IF(Bet_Log[[#This Row],[Result ]]="Loss", -Bet_Log[[#This Row],[Stake]], IF(Bet_Log[[#This Row],[Result ]]="Push", 0, ""))))</f>
        <v/>
      </c>
      <c r="J879" s="2" t="str">
        <f>IF(Bet_Log[[#This Row],[Return]]="", "", J878 + Bet_Log[[#This Row],[Return]])</f>
        <v/>
      </c>
      <c r="K879" s="9"/>
    </row>
    <row r="880" spans="1:11" x14ac:dyDescent="0.2">
      <c r="A880" s="27"/>
      <c r="B880" s="1"/>
      <c r="C880" s="6"/>
      <c r="D880" s="1"/>
      <c r="E880" s="7"/>
      <c r="F880" s="8"/>
      <c r="G880" s="3" t="str" cm="1">
        <f t="array" ref="G880">IF(ISBLANK(F880), "", IFERROR(_xlfn.IFS(LEFT(F880,1)="+", (VALUE(MID(F880,2,LEN(F880)))+100)/100, VALUE(F880)&gt;0, (F880+100)/100, VALUE(F880)&lt;0, (ABS(F880)+100)/ABS(F880), F880=0, 0), ""))</f>
        <v/>
      </c>
      <c r="H880" s="1"/>
      <c r="I880" s="4" t="str">
        <f>IF(Bet_Log[[#This Row],[Result ]]="", "", IF(Bet_Log[[#This Row],[Result ]]="Win", Bet_Log[[#This Row],[Stake]]*Bet_Log[[#This Row],[Decimal]]-Bet_Log[[#This Row],[Stake]], IF(Bet_Log[[#This Row],[Result ]]="Loss", -Bet_Log[[#This Row],[Stake]], IF(Bet_Log[[#This Row],[Result ]]="Push", 0, ""))))</f>
        <v/>
      </c>
      <c r="J880" s="2" t="str">
        <f>IF(Bet_Log[[#This Row],[Return]]="", "", J879 + Bet_Log[[#This Row],[Return]])</f>
        <v/>
      </c>
      <c r="K880" s="9"/>
    </row>
    <row r="881" spans="1:11" x14ac:dyDescent="0.2">
      <c r="A881" s="27"/>
      <c r="B881" s="1"/>
      <c r="C881" s="6"/>
      <c r="D881" s="1"/>
      <c r="E881" s="7"/>
      <c r="F881" s="8"/>
      <c r="G881" s="3" t="str" cm="1">
        <f t="array" ref="G881">IF(ISBLANK(F881), "", IFERROR(_xlfn.IFS(LEFT(F881,1)="+", (VALUE(MID(F881,2,LEN(F881)))+100)/100, VALUE(F881)&gt;0, (F881+100)/100, VALUE(F881)&lt;0, (ABS(F881)+100)/ABS(F881), F881=0, 0), ""))</f>
        <v/>
      </c>
      <c r="H881" s="1"/>
      <c r="I881" s="4" t="str">
        <f>IF(Bet_Log[[#This Row],[Result ]]="", "", IF(Bet_Log[[#This Row],[Result ]]="Win", Bet_Log[[#This Row],[Stake]]*Bet_Log[[#This Row],[Decimal]]-Bet_Log[[#This Row],[Stake]], IF(Bet_Log[[#This Row],[Result ]]="Loss", -Bet_Log[[#This Row],[Stake]], IF(Bet_Log[[#This Row],[Result ]]="Push", 0, ""))))</f>
        <v/>
      </c>
      <c r="J881" s="2" t="str">
        <f>IF(Bet_Log[[#This Row],[Return]]="", "", J880 + Bet_Log[[#This Row],[Return]])</f>
        <v/>
      </c>
      <c r="K881" s="9"/>
    </row>
    <row r="882" spans="1:11" x14ac:dyDescent="0.2">
      <c r="A882" s="27"/>
      <c r="B882" s="1"/>
      <c r="C882" s="6"/>
      <c r="D882" s="1"/>
      <c r="E882" s="7"/>
      <c r="F882" s="8"/>
      <c r="G882" s="3" t="str" cm="1">
        <f t="array" ref="G882">IF(ISBLANK(F882), "", IFERROR(_xlfn.IFS(LEFT(F882,1)="+", (VALUE(MID(F882,2,LEN(F882)))+100)/100, VALUE(F882)&gt;0, (F882+100)/100, VALUE(F882)&lt;0, (ABS(F882)+100)/ABS(F882), F882=0, 0), ""))</f>
        <v/>
      </c>
      <c r="H882" s="1"/>
      <c r="I882" s="4" t="str">
        <f>IF(Bet_Log[[#This Row],[Result ]]="", "", IF(Bet_Log[[#This Row],[Result ]]="Win", Bet_Log[[#This Row],[Stake]]*Bet_Log[[#This Row],[Decimal]]-Bet_Log[[#This Row],[Stake]], IF(Bet_Log[[#This Row],[Result ]]="Loss", -Bet_Log[[#This Row],[Stake]], IF(Bet_Log[[#This Row],[Result ]]="Push", 0, ""))))</f>
        <v/>
      </c>
      <c r="J882" s="2" t="str">
        <f>IF(Bet_Log[[#This Row],[Return]]="", "", J881 + Bet_Log[[#This Row],[Return]])</f>
        <v/>
      </c>
      <c r="K882" s="9"/>
    </row>
    <row r="883" spans="1:11" x14ac:dyDescent="0.2">
      <c r="A883" s="27"/>
      <c r="B883" s="1"/>
      <c r="C883" s="6"/>
      <c r="D883" s="1"/>
      <c r="E883" s="7"/>
      <c r="F883" s="8"/>
      <c r="G883" s="3" t="str" cm="1">
        <f t="array" ref="G883">IF(ISBLANK(F883), "", IFERROR(_xlfn.IFS(LEFT(F883,1)="+", (VALUE(MID(F883,2,LEN(F883)))+100)/100, VALUE(F883)&gt;0, (F883+100)/100, VALUE(F883)&lt;0, (ABS(F883)+100)/ABS(F883), F883=0, 0), ""))</f>
        <v/>
      </c>
      <c r="H883" s="1"/>
      <c r="I883" s="4" t="str">
        <f>IF(Bet_Log[[#This Row],[Result ]]="", "", IF(Bet_Log[[#This Row],[Result ]]="Win", Bet_Log[[#This Row],[Stake]]*Bet_Log[[#This Row],[Decimal]]-Bet_Log[[#This Row],[Stake]], IF(Bet_Log[[#This Row],[Result ]]="Loss", -Bet_Log[[#This Row],[Stake]], IF(Bet_Log[[#This Row],[Result ]]="Push", 0, ""))))</f>
        <v/>
      </c>
      <c r="J883" s="2" t="str">
        <f>IF(Bet_Log[[#This Row],[Return]]="", "", J882 + Bet_Log[[#This Row],[Return]])</f>
        <v/>
      </c>
      <c r="K883" s="9"/>
    </row>
    <row r="884" spans="1:11" x14ac:dyDescent="0.2">
      <c r="A884" s="27"/>
      <c r="B884" s="1"/>
      <c r="C884" s="6"/>
      <c r="D884" s="1"/>
      <c r="E884" s="7"/>
      <c r="F884" s="8"/>
      <c r="G884" s="3" t="str" cm="1">
        <f t="array" ref="G884">IF(ISBLANK(F884), "", IFERROR(_xlfn.IFS(LEFT(F884,1)="+", (VALUE(MID(F884,2,LEN(F884)))+100)/100, VALUE(F884)&gt;0, (F884+100)/100, VALUE(F884)&lt;0, (ABS(F884)+100)/ABS(F884), F884=0, 0), ""))</f>
        <v/>
      </c>
      <c r="H884" s="1"/>
      <c r="I884" s="4" t="str">
        <f>IF(Bet_Log[[#This Row],[Result ]]="", "", IF(Bet_Log[[#This Row],[Result ]]="Win", Bet_Log[[#This Row],[Stake]]*Bet_Log[[#This Row],[Decimal]]-Bet_Log[[#This Row],[Stake]], IF(Bet_Log[[#This Row],[Result ]]="Loss", -Bet_Log[[#This Row],[Stake]], IF(Bet_Log[[#This Row],[Result ]]="Push", 0, ""))))</f>
        <v/>
      </c>
      <c r="J884" s="2" t="str">
        <f>IF(Bet_Log[[#This Row],[Return]]="", "", J883 + Bet_Log[[#This Row],[Return]])</f>
        <v/>
      </c>
      <c r="K884" s="9"/>
    </row>
    <row r="885" spans="1:11" x14ac:dyDescent="0.2">
      <c r="A885" s="27"/>
      <c r="B885" s="1"/>
      <c r="C885" s="6"/>
      <c r="D885" s="1"/>
      <c r="E885" s="7"/>
      <c r="F885" s="8"/>
      <c r="G885" s="3" t="str" cm="1">
        <f t="array" ref="G885">IF(ISBLANK(F885), "", IFERROR(_xlfn.IFS(LEFT(F885,1)="+", (VALUE(MID(F885,2,LEN(F885)))+100)/100, VALUE(F885)&gt;0, (F885+100)/100, VALUE(F885)&lt;0, (ABS(F885)+100)/ABS(F885), F885=0, 0), ""))</f>
        <v/>
      </c>
      <c r="H885" s="1"/>
      <c r="I885" s="4" t="str">
        <f>IF(Bet_Log[[#This Row],[Result ]]="", "", IF(Bet_Log[[#This Row],[Result ]]="Win", Bet_Log[[#This Row],[Stake]]*Bet_Log[[#This Row],[Decimal]]-Bet_Log[[#This Row],[Stake]], IF(Bet_Log[[#This Row],[Result ]]="Loss", -Bet_Log[[#This Row],[Stake]], IF(Bet_Log[[#This Row],[Result ]]="Push", 0, ""))))</f>
        <v/>
      </c>
      <c r="J885" s="2" t="str">
        <f>IF(Bet_Log[[#This Row],[Return]]="", "", J884 + Bet_Log[[#This Row],[Return]])</f>
        <v/>
      </c>
      <c r="K885" s="9"/>
    </row>
    <row r="886" spans="1:11" x14ac:dyDescent="0.2">
      <c r="A886" s="27"/>
      <c r="B886" s="1"/>
      <c r="C886" s="6"/>
      <c r="D886" s="1"/>
      <c r="E886" s="7"/>
      <c r="F886" s="8"/>
      <c r="G886" s="3" t="str" cm="1">
        <f t="array" ref="G886">IF(ISBLANK(F886), "", IFERROR(_xlfn.IFS(LEFT(F886,1)="+", (VALUE(MID(F886,2,LEN(F886)))+100)/100, VALUE(F886)&gt;0, (F886+100)/100, VALUE(F886)&lt;0, (ABS(F886)+100)/ABS(F886), F886=0, 0), ""))</f>
        <v/>
      </c>
      <c r="H886" s="1"/>
      <c r="I886" s="4" t="str">
        <f>IF(Bet_Log[[#This Row],[Result ]]="", "", IF(Bet_Log[[#This Row],[Result ]]="Win", Bet_Log[[#This Row],[Stake]]*Bet_Log[[#This Row],[Decimal]]-Bet_Log[[#This Row],[Stake]], IF(Bet_Log[[#This Row],[Result ]]="Loss", -Bet_Log[[#This Row],[Stake]], IF(Bet_Log[[#This Row],[Result ]]="Push", 0, ""))))</f>
        <v/>
      </c>
      <c r="J886" s="2" t="str">
        <f>IF(Bet_Log[[#This Row],[Return]]="", "", J885 + Bet_Log[[#This Row],[Return]])</f>
        <v/>
      </c>
      <c r="K886" s="9"/>
    </row>
    <row r="887" spans="1:11" x14ac:dyDescent="0.2">
      <c r="A887" s="27"/>
      <c r="B887" s="1"/>
      <c r="C887" s="6"/>
      <c r="D887" s="1"/>
      <c r="E887" s="7"/>
      <c r="F887" s="8"/>
      <c r="G887" s="3" t="str" cm="1">
        <f t="array" ref="G887">IF(ISBLANK(F887), "", IFERROR(_xlfn.IFS(LEFT(F887,1)="+", (VALUE(MID(F887,2,LEN(F887)))+100)/100, VALUE(F887)&gt;0, (F887+100)/100, VALUE(F887)&lt;0, (ABS(F887)+100)/ABS(F887), F887=0, 0), ""))</f>
        <v/>
      </c>
      <c r="H887" s="1"/>
      <c r="I887" s="4" t="str">
        <f>IF(Bet_Log[[#This Row],[Result ]]="", "", IF(Bet_Log[[#This Row],[Result ]]="Win", Bet_Log[[#This Row],[Stake]]*Bet_Log[[#This Row],[Decimal]]-Bet_Log[[#This Row],[Stake]], IF(Bet_Log[[#This Row],[Result ]]="Loss", -Bet_Log[[#This Row],[Stake]], IF(Bet_Log[[#This Row],[Result ]]="Push", 0, ""))))</f>
        <v/>
      </c>
      <c r="J887" s="2" t="str">
        <f>IF(Bet_Log[[#This Row],[Return]]="", "", J886 + Bet_Log[[#This Row],[Return]])</f>
        <v/>
      </c>
      <c r="K887" s="9"/>
    </row>
    <row r="888" spans="1:11" x14ac:dyDescent="0.2">
      <c r="A888" s="27"/>
      <c r="B888" s="1"/>
      <c r="C888" s="6"/>
      <c r="D888" s="1"/>
      <c r="E888" s="7"/>
      <c r="F888" s="8"/>
      <c r="G888" s="3" t="str" cm="1">
        <f t="array" ref="G888">IF(ISBLANK(F888), "", IFERROR(_xlfn.IFS(LEFT(F888,1)="+", (VALUE(MID(F888,2,LEN(F888)))+100)/100, VALUE(F888)&gt;0, (F888+100)/100, VALUE(F888)&lt;0, (ABS(F888)+100)/ABS(F888), F888=0, 0), ""))</f>
        <v/>
      </c>
      <c r="H888" s="1"/>
      <c r="I888" s="4" t="str">
        <f>IF(Bet_Log[[#This Row],[Result ]]="", "", IF(Bet_Log[[#This Row],[Result ]]="Win", Bet_Log[[#This Row],[Stake]]*Bet_Log[[#This Row],[Decimal]]-Bet_Log[[#This Row],[Stake]], IF(Bet_Log[[#This Row],[Result ]]="Loss", -Bet_Log[[#This Row],[Stake]], IF(Bet_Log[[#This Row],[Result ]]="Push", 0, ""))))</f>
        <v/>
      </c>
      <c r="J888" s="2" t="str">
        <f>IF(Bet_Log[[#This Row],[Return]]="", "", J887 + Bet_Log[[#This Row],[Return]])</f>
        <v/>
      </c>
      <c r="K888" s="9"/>
    </row>
    <row r="889" spans="1:11" x14ac:dyDescent="0.2">
      <c r="A889" s="27"/>
      <c r="B889" s="1"/>
      <c r="C889" s="6"/>
      <c r="D889" s="1"/>
      <c r="E889" s="7"/>
      <c r="F889" s="8"/>
      <c r="G889" s="3" t="str" cm="1">
        <f t="array" ref="G889">IF(ISBLANK(F889), "", IFERROR(_xlfn.IFS(LEFT(F889,1)="+", (VALUE(MID(F889,2,LEN(F889)))+100)/100, VALUE(F889)&gt;0, (F889+100)/100, VALUE(F889)&lt;0, (ABS(F889)+100)/ABS(F889), F889=0, 0), ""))</f>
        <v/>
      </c>
      <c r="H889" s="1"/>
      <c r="I889" s="4" t="str">
        <f>IF(Bet_Log[[#This Row],[Result ]]="", "", IF(Bet_Log[[#This Row],[Result ]]="Win", Bet_Log[[#This Row],[Stake]]*Bet_Log[[#This Row],[Decimal]]-Bet_Log[[#This Row],[Stake]], IF(Bet_Log[[#This Row],[Result ]]="Loss", -Bet_Log[[#This Row],[Stake]], IF(Bet_Log[[#This Row],[Result ]]="Push", 0, ""))))</f>
        <v/>
      </c>
      <c r="J889" s="2" t="str">
        <f>IF(Bet_Log[[#This Row],[Return]]="", "", J888 + Bet_Log[[#This Row],[Return]])</f>
        <v/>
      </c>
      <c r="K889" s="9"/>
    </row>
    <row r="890" spans="1:11" x14ac:dyDescent="0.2">
      <c r="A890" s="27"/>
      <c r="B890" s="1"/>
      <c r="C890" s="6"/>
      <c r="D890" s="1"/>
      <c r="E890" s="7"/>
      <c r="F890" s="8"/>
      <c r="G890" s="3" t="str" cm="1">
        <f t="array" ref="G890">IF(ISBLANK(F890), "", IFERROR(_xlfn.IFS(LEFT(F890,1)="+", (VALUE(MID(F890,2,LEN(F890)))+100)/100, VALUE(F890)&gt;0, (F890+100)/100, VALUE(F890)&lt;0, (ABS(F890)+100)/ABS(F890), F890=0, 0), ""))</f>
        <v/>
      </c>
      <c r="H890" s="1"/>
      <c r="I890" s="4" t="str">
        <f>IF(Bet_Log[[#This Row],[Result ]]="", "", IF(Bet_Log[[#This Row],[Result ]]="Win", Bet_Log[[#This Row],[Stake]]*Bet_Log[[#This Row],[Decimal]]-Bet_Log[[#This Row],[Stake]], IF(Bet_Log[[#This Row],[Result ]]="Loss", -Bet_Log[[#This Row],[Stake]], IF(Bet_Log[[#This Row],[Result ]]="Push", 0, ""))))</f>
        <v/>
      </c>
      <c r="J890" s="2" t="str">
        <f>IF(Bet_Log[[#This Row],[Return]]="", "", J889 + Bet_Log[[#This Row],[Return]])</f>
        <v/>
      </c>
      <c r="K890" s="9"/>
    </row>
    <row r="891" spans="1:11" x14ac:dyDescent="0.2">
      <c r="A891" s="27"/>
      <c r="B891" s="1"/>
      <c r="C891" s="6"/>
      <c r="D891" s="1"/>
      <c r="E891" s="7"/>
      <c r="F891" s="8"/>
      <c r="G891" s="3" t="str" cm="1">
        <f t="array" ref="G891">IF(ISBLANK(F891), "", IFERROR(_xlfn.IFS(LEFT(F891,1)="+", (VALUE(MID(F891,2,LEN(F891)))+100)/100, VALUE(F891)&gt;0, (F891+100)/100, VALUE(F891)&lt;0, (ABS(F891)+100)/ABS(F891), F891=0, 0), ""))</f>
        <v/>
      </c>
      <c r="H891" s="1"/>
      <c r="I891" s="4" t="str">
        <f>IF(Bet_Log[[#This Row],[Result ]]="", "", IF(Bet_Log[[#This Row],[Result ]]="Win", Bet_Log[[#This Row],[Stake]]*Bet_Log[[#This Row],[Decimal]]-Bet_Log[[#This Row],[Stake]], IF(Bet_Log[[#This Row],[Result ]]="Loss", -Bet_Log[[#This Row],[Stake]], IF(Bet_Log[[#This Row],[Result ]]="Push", 0, ""))))</f>
        <v/>
      </c>
      <c r="J891" s="2" t="str">
        <f>IF(Bet_Log[[#This Row],[Return]]="", "", J890 + Bet_Log[[#This Row],[Return]])</f>
        <v/>
      </c>
      <c r="K891" s="9"/>
    </row>
    <row r="892" spans="1:11" x14ac:dyDescent="0.2">
      <c r="A892" s="27"/>
      <c r="B892" s="1"/>
      <c r="C892" s="6"/>
      <c r="D892" s="1"/>
      <c r="E892" s="7"/>
      <c r="F892" s="8"/>
      <c r="G892" s="3" t="str" cm="1">
        <f t="array" ref="G892">IF(ISBLANK(F892), "", IFERROR(_xlfn.IFS(LEFT(F892,1)="+", (VALUE(MID(F892,2,LEN(F892)))+100)/100, VALUE(F892)&gt;0, (F892+100)/100, VALUE(F892)&lt;0, (ABS(F892)+100)/ABS(F892), F892=0, 0), ""))</f>
        <v/>
      </c>
      <c r="H892" s="1"/>
      <c r="I892" s="4" t="str">
        <f>IF(Bet_Log[[#This Row],[Result ]]="", "", IF(Bet_Log[[#This Row],[Result ]]="Win", Bet_Log[[#This Row],[Stake]]*Bet_Log[[#This Row],[Decimal]]-Bet_Log[[#This Row],[Stake]], IF(Bet_Log[[#This Row],[Result ]]="Loss", -Bet_Log[[#This Row],[Stake]], IF(Bet_Log[[#This Row],[Result ]]="Push", 0, ""))))</f>
        <v/>
      </c>
      <c r="J892" s="2" t="str">
        <f>IF(Bet_Log[[#This Row],[Return]]="", "", J891 + Bet_Log[[#This Row],[Return]])</f>
        <v/>
      </c>
      <c r="K892" s="9"/>
    </row>
    <row r="893" spans="1:11" x14ac:dyDescent="0.2">
      <c r="A893" s="27"/>
      <c r="B893" s="1"/>
      <c r="C893" s="6"/>
      <c r="D893" s="1"/>
      <c r="E893" s="7"/>
      <c r="F893" s="8"/>
      <c r="G893" s="3" t="str" cm="1">
        <f t="array" ref="G893">IF(ISBLANK(F893), "", IFERROR(_xlfn.IFS(LEFT(F893,1)="+", (VALUE(MID(F893,2,LEN(F893)))+100)/100, VALUE(F893)&gt;0, (F893+100)/100, VALUE(F893)&lt;0, (ABS(F893)+100)/ABS(F893), F893=0, 0), ""))</f>
        <v/>
      </c>
      <c r="H893" s="1"/>
      <c r="I893" s="4" t="str">
        <f>IF(Bet_Log[[#This Row],[Result ]]="", "", IF(Bet_Log[[#This Row],[Result ]]="Win", Bet_Log[[#This Row],[Stake]]*Bet_Log[[#This Row],[Decimal]]-Bet_Log[[#This Row],[Stake]], IF(Bet_Log[[#This Row],[Result ]]="Loss", -Bet_Log[[#This Row],[Stake]], IF(Bet_Log[[#This Row],[Result ]]="Push", 0, ""))))</f>
        <v/>
      </c>
      <c r="J893" s="2" t="str">
        <f>IF(Bet_Log[[#This Row],[Return]]="", "", J892 + Bet_Log[[#This Row],[Return]])</f>
        <v/>
      </c>
      <c r="K893" s="9"/>
    </row>
    <row r="894" spans="1:11" x14ac:dyDescent="0.2">
      <c r="A894" s="27"/>
      <c r="B894" s="1"/>
      <c r="C894" s="6"/>
      <c r="D894" s="1"/>
      <c r="E894" s="7"/>
      <c r="F894" s="8"/>
      <c r="G894" s="3" t="str" cm="1">
        <f t="array" ref="G894">IF(ISBLANK(F894), "", IFERROR(_xlfn.IFS(LEFT(F894,1)="+", (VALUE(MID(F894,2,LEN(F894)))+100)/100, VALUE(F894)&gt;0, (F894+100)/100, VALUE(F894)&lt;0, (ABS(F894)+100)/ABS(F894), F894=0, 0), ""))</f>
        <v/>
      </c>
      <c r="H894" s="1"/>
      <c r="I894" s="4" t="str">
        <f>IF(Bet_Log[[#This Row],[Result ]]="", "", IF(Bet_Log[[#This Row],[Result ]]="Win", Bet_Log[[#This Row],[Stake]]*Bet_Log[[#This Row],[Decimal]]-Bet_Log[[#This Row],[Stake]], IF(Bet_Log[[#This Row],[Result ]]="Loss", -Bet_Log[[#This Row],[Stake]], IF(Bet_Log[[#This Row],[Result ]]="Push", 0, ""))))</f>
        <v/>
      </c>
      <c r="J894" s="2" t="str">
        <f>IF(Bet_Log[[#This Row],[Return]]="", "", J893 + Bet_Log[[#This Row],[Return]])</f>
        <v/>
      </c>
      <c r="K894" s="9"/>
    </row>
    <row r="895" spans="1:11" x14ac:dyDescent="0.2">
      <c r="A895" s="27"/>
      <c r="B895" s="1"/>
      <c r="C895" s="6"/>
      <c r="D895" s="1"/>
      <c r="E895" s="7"/>
      <c r="F895" s="8"/>
      <c r="G895" s="3" t="str" cm="1">
        <f t="array" ref="G895">IF(ISBLANK(F895), "", IFERROR(_xlfn.IFS(LEFT(F895,1)="+", (VALUE(MID(F895,2,LEN(F895)))+100)/100, VALUE(F895)&gt;0, (F895+100)/100, VALUE(F895)&lt;0, (ABS(F895)+100)/ABS(F895), F895=0, 0), ""))</f>
        <v/>
      </c>
      <c r="H895" s="1"/>
      <c r="I895" s="4" t="str">
        <f>IF(Bet_Log[[#This Row],[Result ]]="", "", IF(Bet_Log[[#This Row],[Result ]]="Win", Bet_Log[[#This Row],[Stake]]*Bet_Log[[#This Row],[Decimal]]-Bet_Log[[#This Row],[Stake]], IF(Bet_Log[[#This Row],[Result ]]="Loss", -Bet_Log[[#This Row],[Stake]], IF(Bet_Log[[#This Row],[Result ]]="Push", 0, ""))))</f>
        <v/>
      </c>
      <c r="J895" s="2" t="str">
        <f>IF(Bet_Log[[#This Row],[Return]]="", "", J894 + Bet_Log[[#This Row],[Return]])</f>
        <v/>
      </c>
      <c r="K895" s="9"/>
    </row>
    <row r="896" spans="1:11" x14ac:dyDescent="0.2">
      <c r="A896" s="27"/>
      <c r="B896" s="1"/>
      <c r="C896" s="6"/>
      <c r="D896" s="1"/>
      <c r="E896" s="7"/>
      <c r="F896" s="8"/>
      <c r="G896" s="3" t="str" cm="1">
        <f t="array" ref="G896">IF(ISBLANK(F896), "", IFERROR(_xlfn.IFS(LEFT(F896,1)="+", (VALUE(MID(F896,2,LEN(F896)))+100)/100, VALUE(F896)&gt;0, (F896+100)/100, VALUE(F896)&lt;0, (ABS(F896)+100)/ABS(F896), F896=0, 0), ""))</f>
        <v/>
      </c>
      <c r="H896" s="1"/>
      <c r="I896" s="4" t="str">
        <f>IF(Bet_Log[[#This Row],[Result ]]="", "", IF(Bet_Log[[#This Row],[Result ]]="Win", Bet_Log[[#This Row],[Stake]]*Bet_Log[[#This Row],[Decimal]]-Bet_Log[[#This Row],[Stake]], IF(Bet_Log[[#This Row],[Result ]]="Loss", -Bet_Log[[#This Row],[Stake]], IF(Bet_Log[[#This Row],[Result ]]="Push", 0, ""))))</f>
        <v/>
      </c>
      <c r="J896" s="2" t="str">
        <f>IF(Bet_Log[[#This Row],[Return]]="", "", J895 + Bet_Log[[#This Row],[Return]])</f>
        <v/>
      </c>
      <c r="K896" s="9"/>
    </row>
    <row r="897" spans="1:11" x14ac:dyDescent="0.2">
      <c r="A897" s="27"/>
      <c r="B897" s="1"/>
      <c r="C897" s="6"/>
      <c r="D897" s="1"/>
      <c r="E897" s="7"/>
      <c r="F897" s="8"/>
      <c r="G897" s="3" t="str" cm="1">
        <f t="array" ref="G897">IF(ISBLANK(F897), "", IFERROR(_xlfn.IFS(LEFT(F897,1)="+", (VALUE(MID(F897,2,LEN(F897)))+100)/100, VALUE(F897)&gt;0, (F897+100)/100, VALUE(F897)&lt;0, (ABS(F897)+100)/ABS(F897), F897=0, 0), ""))</f>
        <v/>
      </c>
      <c r="H897" s="1"/>
      <c r="I897" s="4" t="str">
        <f>IF(Bet_Log[[#This Row],[Result ]]="", "", IF(Bet_Log[[#This Row],[Result ]]="Win", Bet_Log[[#This Row],[Stake]]*Bet_Log[[#This Row],[Decimal]]-Bet_Log[[#This Row],[Stake]], IF(Bet_Log[[#This Row],[Result ]]="Loss", -Bet_Log[[#This Row],[Stake]], IF(Bet_Log[[#This Row],[Result ]]="Push", 0, ""))))</f>
        <v/>
      </c>
      <c r="J897" s="2" t="str">
        <f>IF(Bet_Log[[#This Row],[Return]]="", "", J896 + Bet_Log[[#This Row],[Return]])</f>
        <v/>
      </c>
      <c r="K897" s="9"/>
    </row>
    <row r="898" spans="1:11" x14ac:dyDescent="0.2">
      <c r="A898" s="27"/>
      <c r="B898" s="1"/>
      <c r="C898" s="6"/>
      <c r="D898" s="1"/>
      <c r="E898" s="7"/>
      <c r="F898" s="8"/>
      <c r="G898" s="3" t="str" cm="1">
        <f t="array" ref="G898">IF(ISBLANK(F898), "", IFERROR(_xlfn.IFS(LEFT(F898,1)="+", (VALUE(MID(F898,2,LEN(F898)))+100)/100, VALUE(F898)&gt;0, (F898+100)/100, VALUE(F898)&lt;0, (ABS(F898)+100)/ABS(F898), F898=0, 0), ""))</f>
        <v/>
      </c>
      <c r="H898" s="1"/>
      <c r="I898" s="4" t="str">
        <f>IF(Bet_Log[[#This Row],[Result ]]="", "", IF(Bet_Log[[#This Row],[Result ]]="Win", Bet_Log[[#This Row],[Stake]]*Bet_Log[[#This Row],[Decimal]]-Bet_Log[[#This Row],[Stake]], IF(Bet_Log[[#This Row],[Result ]]="Loss", -Bet_Log[[#This Row],[Stake]], IF(Bet_Log[[#This Row],[Result ]]="Push", 0, ""))))</f>
        <v/>
      </c>
      <c r="J898" s="2" t="str">
        <f>IF(Bet_Log[[#This Row],[Return]]="", "", J897 + Bet_Log[[#This Row],[Return]])</f>
        <v/>
      </c>
      <c r="K898" s="9"/>
    </row>
    <row r="899" spans="1:11" x14ac:dyDescent="0.2">
      <c r="A899" s="27"/>
      <c r="B899" s="1"/>
      <c r="C899" s="6"/>
      <c r="D899" s="1"/>
      <c r="E899" s="7"/>
      <c r="F899" s="8"/>
      <c r="G899" s="3" t="str" cm="1">
        <f t="array" ref="G899">IF(ISBLANK(F899), "", IFERROR(_xlfn.IFS(LEFT(F899,1)="+", (VALUE(MID(F899,2,LEN(F899)))+100)/100, VALUE(F899)&gt;0, (F899+100)/100, VALUE(F899)&lt;0, (ABS(F899)+100)/ABS(F899), F899=0, 0), ""))</f>
        <v/>
      </c>
      <c r="H899" s="1"/>
      <c r="I899" s="4" t="str">
        <f>IF(Bet_Log[[#This Row],[Result ]]="", "", IF(Bet_Log[[#This Row],[Result ]]="Win", Bet_Log[[#This Row],[Stake]]*Bet_Log[[#This Row],[Decimal]]-Bet_Log[[#This Row],[Stake]], IF(Bet_Log[[#This Row],[Result ]]="Loss", -Bet_Log[[#This Row],[Stake]], IF(Bet_Log[[#This Row],[Result ]]="Push", 0, ""))))</f>
        <v/>
      </c>
      <c r="J899" s="2" t="str">
        <f>IF(Bet_Log[[#This Row],[Return]]="", "", J898 + Bet_Log[[#This Row],[Return]])</f>
        <v/>
      </c>
      <c r="K899" s="9"/>
    </row>
    <row r="900" spans="1:11" x14ac:dyDescent="0.2">
      <c r="A900" s="27"/>
      <c r="B900" s="1"/>
      <c r="C900" s="6"/>
      <c r="D900" s="1"/>
      <c r="E900" s="7"/>
      <c r="F900" s="8"/>
      <c r="G900" s="3" t="str" cm="1">
        <f t="array" ref="G900">IF(ISBLANK(F900), "", IFERROR(_xlfn.IFS(LEFT(F900,1)="+", (VALUE(MID(F900,2,LEN(F900)))+100)/100, VALUE(F900)&gt;0, (F900+100)/100, VALUE(F900)&lt;0, (ABS(F900)+100)/ABS(F900), F900=0, 0), ""))</f>
        <v/>
      </c>
      <c r="H900" s="1"/>
      <c r="I900" s="4" t="str">
        <f>IF(Bet_Log[[#This Row],[Result ]]="", "", IF(Bet_Log[[#This Row],[Result ]]="Win", Bet_Log[[#This Row],[Stake]]*Bet_Log[[#This Row],[Decimal]]-Bet_Log[[#This Row],[Stake]], IF(Bet_Log[[#This Row],[Result ]]="Loss", -Bet_Log[[#This Row],[Stake]], IF(Bet_Log[[#This Row],[Result ]]="Push", 0, ""))))</f>
        <v/>
      </c>
      <c r="J900" s="2" t="str">
        <f>IF(Bet_Log[[#This Row],[Return]]="", "", J899 + Bet_Log[[#This Row],[Return]])</f>
        <v/>
      </c>
      <c r="K900" s="9"/>
    </row>
    <row r="901" spans="1:11" x14ac:dyDescent="0.2">
      <c r="A901" s="27"/>
      <c r="B901" s="1"/>
      <c r="C901" s="6"/>
      <c r="D901" s="1"/>
      <c r="E901" s="7"/>
      <c r="F901" s="8"/>
      <c r="G901" s="3" t="str" cm="1">
        <f t="array" ref="G901">IF(ISBLANK(F901), "", IFERROR(_xlfn.IFS(LEFT(F901,1)="+", (VALUE(MID(F901,2,LEN(F901)))+100)/100, VALUE(F901)&gt;0, (F901+100)/100, VALUE(F901)&lt;0, (ABS(F901)+100)/ABS(F901), F901=0, 0), ""))</f>
        <v/>
      </c>
      <c r="H901" s="1"/>
      <c r="I901" s="4" t="str">
        <f>IF(Bet_Log[[#This Row],[Result ]]="", "", IF(Bet_Log[[#This Row],[Result ]]="Win", Bet_Log[[#This Row],[Stake]]*Bet_Log[[#This Row],[Decimal]]-Bet_Log[[#This Row],[Stake]], IF(Bet_Log[[#This Row],[Result ]]="Loss", -Bet_Log[[#This Row],[Stake]], IF(Bet_Log[[#This Row],[Result ]]="Push", 0, ""))))</f>
        <v/>
      </c>
      <c r="J901" s="2" t="str">
        <f>IF(Bet_Log[[#This Row],[Return]]="", "", J900 + Bet_Log[[#This Row],[Return]])</f>
        <v/>
      </c>
      <c r="K901" s="9"/>
    </row>
    <row r="902" spans="1:11" x14ac:dyDescent="0.2">
      <c r="A902" s="27"/>
      <c r="B902" s="1"/>
      <c r="C902" s="6"/>
      <c r="D902" s="1"/>
      <c r="E902" s="7"/>
      <c r="F902" s="8"/>
      <c r="G902" s="3" t="str" cm="1">
        <f t="array" ref="G902">IF(ISBLANK(F902), "", IFERROR(_xlfn.IFS(LEFT(F902,1)="+", (VALUE(MID(F902,2,LEN(F902)))+100)/100, VALUE(F902)&gt;0, (F902+100)/100, VALUE(F902)&lt;0, (ABS(F902)+100)/ABS(F902), F902=0, 0), ""))</f>
        <v/>
      </c>
      <c r="H902" s="1"/>
      <c r="I902" s="4" t="str">
        <f>IF(Bet_Log[[#This Row],[Result ]]="", "", IF(Bet_Log[[#This Row],[Result ]]="Win", Bet_Log[[#This Row],[Stake]]*Bet_Log[[#This Row],[Decimal]]-Bet_Log[[#This Row],[Stake]], IF(Bet_Log[[#This Row],[Result ]]="Loss", -Bet_Log[[#This Row],[Stake]], IF(Bet_Log[[#This Row],[Result ]]="Push", 0, ""))))</f>
        <v/>
      </c>
      <c r="J902" s="2" t="str">
        <f>IF(Bet_Log[[#This Row],[Return]]="", "", J901 + Bet_Log[[#This Row],[Return]])</f>
        <v/>
      </c>
      <c r="K902" s="9"/>
    </row>
    <row r="903" spans="1:11" x14ac:dyDescent="0.2">
      <c r="A903" s="27"/>
      <c r="B903" s="1"/>
      <c r="C903" s="6"/>
      <c r="D903" s="1"/>
      <c r="E903" s="7"/>
      <c r="F903" s="8"/>
      <c r="G903" s="3" t="str" cm="1">
        <f t="array" ref="G903">IF(ISBLANK(F903), "", IFERROR(_xlfn.IFS(LEFT(F903,1)="+", (VALUE(MID(F903,2,LEN(F903)))+100)/100, VALUE(F903)&gt;0, (F903+100)/100, VALUE(F903)&lt;0, (ABS(F903)+100)/ABS(F903), F903=0, 0), ""))</f>
        <v/>
      </c>
      <c r="H903" s="1"/>
      <c r="I903" s="4" t="str">
        <f>IF(Bet_Log[[#This Row],[Result ]]="", "", IF(Bet_Log[[#This Row],[Result ]]="Win", Bet_Log[[#This Row],[Stake]]*Bet_Log[[#This Row],[Decimal]]-Bet_Log[[#This Row],[Stake]], IF(Bet_Log[[#This Row],[Result ]]="Loss", -Bet_Log[[#This Row],[Stake]], IF(Bet_Log[[#This Row],[Result ]]="Push", 0, ""))))</f>
        <v/>
      </c>
      <c r="J903" s="2" t="str">
        <f>IF(Bet_Log[[#This Row],[Return]]="", "", J902 + Bet_Log[[#This Row],[Return]])</f>
        <v/>
      </c>
      <c r="K903" s="9"/>
    </row>
    <row r="904" spans="1:11" x14ac:dyDescent="0.2">
      <c r="A904" s="27"/>
      <c r="B904" s="1"/>
      <c r="C904" s="6"/>
      <c r="D904" s="1"/>
      <c r="E904" s="7"/>
      <c r="F904" s="8"/>
      <c r="G904" s="3" t="str" cm="1">
        <f t="array" ref="G904">IF(ISBLANK(F904), "", IFERROR(_xlfn.IFS(LEFT(F904,1)="+", (VALUE(MID(F904,2,LEN(F904)))+100)/100, VALUE(F904)&gt;0, (F904+100)/100, VALUE(F904)&lt;0, (ABS(F904)+100)/ABS(F904), F904=0, 0), ""))</f>
        <v/>
      </c>
      <c r="H904" s="1"/>
      <c r="I904" s="4" t="str">
        <f>IF(Bet_Log[[#This Row],[Result ]]="", "", IF(Bet_Log[[#This Row],[Result ]]="Win", Bet_Log[[#This Row],[Stake]]*Bet_Log[[#This Row],[Decimal]]-Bet_Log[[#This Row],[Stake]], IF(Bet_Log[[#This Row],[Result ]]="Loss", -Bet_Log[[#This Row],[Stake]], IF(Bet_Log[[#This Row],[Result ]]="Push", 0, ""))))</f>
        <v/>
      </c>
      <c r="J904" s="2" t="str">
        <f>IF(Bet_Log[[#This Row],[Return]]="", "", J903 + Bet_Log[[#This Row],[Return]])</f>
        <v/>
      </c>
      <c r="K904" s="9"/>
    </row>
    <row r="905" spans="1:11" x14ac:dyDescent="0.2">
      <c r="A905" s="27"/>
      <c r="B905" s="1"/>
      <c r="C905" s="6"/>
      <c r="D905" s="1"/>
      <c r="E905" s="7"/>
      <c r="F905" s="8"/>
      <c r="G905" s="3" t="str" cm="1">
        <f t="array" ref="G905">IF(ISBLANK(F905), "", IFERROR(_xlfn.IFS(LEFT(F905,1)="+", (VALUE(MID(F905,2,LEN(F905)))+100)/100, VALUE(F905)&gt;0, (F905+100)/100, VALUE(F905)&lt;0, (ABS(F905)+100)/ABS(F905), F905=0, 0), ""))</f>
        <v/>
      </c>
      <c r="H905" s="1"/>
      <c r="I905" s="4" t="str">
        <f>IF(Bet_Log[[#This Row],[Result ]]="", "", IF(Bet_Log[[#This Row],[Result ]]="Win", Bet_Log[[#This Row],[Stake]]*Bet_Log[[#This Row],[Decimal]]-Bet_Log[[#This Row],[Stake]], IF(Bet_Log[[#This Row],[Result ]]="Loss", -Bet_Log[[#This Row],[Stake]], IF(Bet_Log[[#This Row],[Result ]]="Push", 0, ""))))</f>
        <v/>
      </c>
      <c r="J905" s="2" t="str">
        <f>IF(Bet_Log[[#This Row],[Return]]="", "", J904 + Bet_Log[[#This Row],[Return]])</f>
        <v/>
      </c>
      <c r="K905" s="9"/>
    </row>
    <row r="906" spans="1:11" x14ac:dyDescent="0.2">
      <c r="A906" s="27"/>
      <c r="B906" s="1"/>
      <c r="C906" s="6"/>
      <c r="D906" s="1"/>
      <c r="E906" s="7"/>
      <c r="F906" s="8"/>
      <c r="G906" s="3" t="str" cm="1">
        <f t="array" ref="G906">IF(ISBLANK(F906), "", IFERROR(_xlfn.IFS(LEFT(F906,1)="+", (VALUE(MID(F906,2,LEN(F906)))+100)/100, VALUE(F906)&gt;0, (F906+100)/100, VALUE(F906)&lt;0, (ABS(F906)+100)/ABS(F906), F906=0, 0), ""))</f>
        <v/>
      </c>
      <c r="H906" s="1"/>
      <c r="I906" s="4" t="str">
        <f>IF(Bet_Log[[#This Row],[Result ]]="", "", IF(Bet_Log[[#This Row],[Result ]]="Win", Bet_Log[[#This Row],[Stake]]*Bet_Log[[#This Row],[Decimal]]-Bet_Log[[#This Row],[Stake]], IF(Bet_Log[[#This Row],[Result ]]="Loss", -Bet_Log[[#This Row],[Stake]], IF(Bet_Log[[#This Row],[Result ]]="Push", 0, ""))))</f>
        <v/>
      </c>
      <c r="J906" s="2" t="str">
        <f>IF(Bet_Log[[#This Row],[Return]]="", "", J905 + Bet_Log[[#This Row],[Return]])</f>
        <v/>
      </c>
      <c r="K906" s="9"/>
    </row>
    <row r="907" spans="1:11" x14ac:dyDescent="0.2">
      <c r="A907" s="27"/>
      <c r="B907" s="1"/>
      <c r="C907" s="6"/>
      <c r="D907" s="1"/>
      <c r="E907" s="7"/>
      <c r="F907" s="8"/>
      <c r="G907" s="3" t="str" cm="1">
        <f t="array" ref="G907">IF(ISBLANK(F907), "", IFERROR(_xlfn.IFS(LEFT(F907,1)="+", (VALUE(MID(F907,2,LEN(F907)))+100)/100, VALUE(F907)&gt;0, (F907+100)/100, VALUE(F907)&lt;0, (ABS(F907)+100)/ABS(F907), F907=0, 0), ""))</f>
        <v/>
      </c>
      <c r="H907" s="1"/>
      <c r="I907" s="4" t="str">
        <f>IF(Bet_Log[[#This Row],[Result ]]="", "", IF(Bet_Log[[#This Row],[Result ]]="Win", Bet_Log[[#This Row],[Stake]]*Bet_Log[[#This Row],[Decimal]]-Bet_Log[[#This Row],[Stake]], IF(Bet_Log[[#This Row],[Result ]]="Loss", -Bet_Log[[#This Row],[Stake]], IF(Bet_Log[[#This Row],[Result ]]="Push", 0, ""))))</f>
        <v/>
      </c>
      <c r="J907" s="2" t="str">
        <f>IF(Bet_Log[[#This Row],[Return]]="", "", J906 + Bet_Log[[#This Row],[Return]])</f>
        <v/>
      </c>
      <c r="K907" s="9"/>
    </row>
    <row r="908" spans="1:11" x14ac:dyDescent="0.2">
      <c r="A908" s="27"/>
      <c r="B908" s="1"/>
      <c r="C908" s="6"/>
      <c r="D908" s="1"/>
      <c r="E908" s="7"/>
      <c r="F908" s="8"/>
      <c r="G908" s="3" t="str" cm="1">
        <f t="array" ref="G908">IF(ISBLANK(F908), "", IFERROR(_xlfn.IFS(LEFT(F908,1)="+", (VALUE(MID(F908,2,LEN(F908)))+100)/100, VALUE(F908)&gt;0, (F908+100)/100, VALUE(F908)&lt;0, (ABS(F908)+100)/ABS(F908), F908=0, 0), ""))</f>
        <v/>
      </c>
      <c r="H908" s="1"/>
      <c r="I908" s="4" t="str">
        <f>IF(Bet_Log[[#This Row],[Result ]]="", "", IF(Bet_Log[[#This Row],[Result ]]="Win", Bet_Log[[#This Row],[Stake]]*Bet_Log[[#This Row],[Decimal]]-Bet_Log[[#This Row],[Stake]], IF(Bet_Log[[#This Row],[Result ]]="Loss", -Bet_Log[[#This Row],[Stake]], IF(Bet_Log[[#This Row],[Result ]]="Push", 0, ""))))</f>
        <v/>
      </c>
      <c r="J908" s="2" t="str">
        <f>IF(Bet_Log[[#This Row],[Return]]="", "", J907 + Bet_Log[[#This Row],[Return]])</f>
        <v/>
      </c>
      <c r="K908" s="9"/>
    </row>
    <row r="909" spans="1:11" x14ac:dyDescent="0.2">
      <c r="A909" s="27"/>
      <c r="B909" s="1"/>
      <c r="C909" s="6"/>
      <c r="D909" s="1"/>
      <c r="E909" s="7"/>
      <c r="F909" s="8"/>
      <c r="G909" s="3" t="str" cm="1">
        <f t="array" ref="G909">IF(ISBLANK(F909), "", IFERROR(_xlfn.IFS(LEFT(F909,1)="+", (VALUE(MID(F909,2,LEN(F909)))+100)/100, VALUE(F909)&gt;0, (F909+100)/100, VALUE(F909)&lt;0, (ABS(F909)+100)/ABS(F909), F909=0, 0), ""))</f>
        <v/>
      </c>
      <c r="H909" s="1"/>
      <c r="I909" s="4" t="str">
        <f>IF(Bet_Log[[#This Row],[Result ]]="", "", IF(Bet_Log[[#This Row],[Result ]]="Win", Bet_Log[[#This Row],[Stake]]*Bet_Log[[#This Row],[Decimal]]-Bet_Log[[#This Row],[Stake]], IF(Bet_Log[[#This Row],[Result ]]="Loss", -Bet_Log[[#This Row],[Stake]], IF(Bet_Log[[#This Row],[Result ]]="Push", 0, ""))))</f>
        <v/>
      </c>
      <c r="J909" s="2" t="str">
        <f>IF(Bet_Log[[#This Row],[Return]]="", "", J908 + Bet_Log[[#This Row],[Return]])</f>
        <v/>
      </c>
      <c r="K909" s="9"/>
    </row>
    <row r="910" spans="1:11" x14ac:dyDescent="0.2">
      <c r="A910" s="27"/>
      <c r="B910" s="1"/>
      <c r="C910" s="6"/>
      <c r="D910" s="1"/>
      <c r="E910" s="7"/>
      <c r="F910" s="8"/>
      <c r="G910" s="3" t="str" cm="1">
        <f t="array" ref="G910">IF(ISBLANK(F910), "", IFERROR(_xlfn.IFS(LEFT(F910,1)="+", (VALUE(MID(F910,2,LEN(F910)))+100)/100, VALUE(F910)&gt;0, (F910+100)/100, VALUE(F910)&lt;0, (ABS(F910)+100)/ABS(F910), F910=0, 0), ""))</f>
        <v/>
      </c>
      <c r="H910" s="1"/>
      <c r="I910" s="4" t="str">
        <f>IF(Bet_Log[[#This Row],[Result ]]="", "", IF(Bet_Log[[#This Row],[Result ]]="Win", Bet_Log[[#This Row],[Stake]]*Bet_Log[[#This Row],[Decimal]]-Bet_Log[[#This Row],[Stake]], IF(Bet_Log[[#This Row],[Result ]]="Loss", -Bet_Log[[#This Row],[Stake]], IF(Bet_Log[[#This Row],[Result ]]="Push", 0, ""))))</f>
        <v/>
      </c>
      <c r="J910" s="2" t="str">
        <f>IF(Bet_Log[[#This Row],[Return]]="", "", J909 + Bet_Log[[#This Row],[Return]])</f>
        <v/>
      </c>
      <c r="K910" s="9"/>
    </row>
    <row r="911" spans="1:11" x14ac:dyDescent="0.2">
      <c r="A911" s="27"/>
      <c r="B911" s="1"/>
      <c r="C911" s="6"/>
      <c r="D911" s="1"/>
      <c r="E911" s="7"/>
      <c r="F911" s="8"/>
      <c r="G911" s="3" t="str" cm="1">
        <f t="array" ref="G911">IF(ISBLANK(F911), "", IFERROR(_xlfn.IFS(LEFT(F911,1)="+", (VALUE(MID(F911,2,LEN(F911)))+100)/100, VALUE(F911)&gt;0, (F911+100)/100, VALUE(F911)&lt;0, (ABS(F911)+100)/ABS(F911), F911=0, 0), ""))</f>
        <v/>
      </c>
      <c r="H911" s="1"/>
      <c r="I911" s="4" t="str">
        <f>IF(Bet_Log[[#This Row],[Result ]]="", "", IF(Bet_Log[[#This Row],[Result ]]="Win", Bet_Log[[#This Row],[Stake]]*Bet_Log[[#This Row],[Decimal]]-Bet_Log[[#This Row],[Stake]], IF(Bet_Log[[#This Row],[Result ]]="Loss", -Bet_Log[[#This Row],[Stake]], IF(Bet_Log[[#This Row],[Result ]]="Push", 0, ""))))</f>
        <v/>
      </c>
      <c r="J911" s="2" t="str">
        <f>IF(Bet_Log[[#This Row],[Return]]="", "", J910 + Bet_Log[[#This Row],[Return]])</f>
        <v/>
      </c>
      <c r="K911" s="9"/>
    </row>
    <row r="912" spans="1:11" x14ac:dyDescent="0.2">
      <c r="A912" s="27"/>
      <c r="B912" s="1"/>
      <c r="C912" s="6"/>
      <c r="D912" s="1"/>
      <c r="E912" s="7"/>
      <c r="F912" s="8"/>
      <c r="G912" s="3" t="str" cm="1">
        <f t="array" ref="G912">IF(ISBLANK(F912), "", IFERROR(_xlfn.IFS(LEFT(F912,1)="+", (VALUE(MID(F912,2,LEN(F912)))+100)/100, VALUE(F912)&gt;0, (F912+100)/100, VALUE(F912)&lt;0, (ABS(F912)+100)/ABS(F912), F912=0, 0), ""))</f>
        <v/>
      </c>
      <c r="H912" s="1"/>
      <c r="I912" s="4" t="str">
        <f>IF(Bet_Log[[#This Row],[Result ]]="", "", IF(Bet_Log[[#This Row],[Result ]]="Win", Bet_Log[[#This Row],[Stake]]*Bet_Log[[#This Row],[Decimal]]-Bet_Log[[#This Row],[Stake]], IF(Bet_Log[[#This Row],[Result ]]="Loss", -Bet_Log[[#This Row],[Stake]], IF(Bet_Log[[#This Row],[Result ]]="Push", 0, ""))))</f>
        <v/>
      </c>
      <c r="J912" s="2" t="str">
        <f>IF(Bet_Log[[#This Row],[Return]]="", "", J911 + Bet_Log[[#This Row],[Return]])</f>
        <v/>
      </c>
      <c r="K912" s="9"/>
    </row>
    <row r="913" spans="1:11" x14ac:dyDescent="0.2">
      <c r="A913" s="27"/>
      <c r="B913" s="1"/>
      <c r="C913" s="6"/>
      <c r="D913" s="1"/>
      <c r="E913" s="7"/>
      <c r="F913" s="8"/>
      <c r="G913" s="3" t="str" cm="1">
        <f t="array" ref="G913">IF(ISBLANK(F913), "", IFERROR(_xlfn.IFS(LEFT(F913,1)="+", (VALUE(MID(F913,2,LEN(F913)))+100)/100, VALUE(F913)&gt;0, (F913+100)/100, VALUE(F913)&lt;0, (ABS(F913)+100)/ABS(F913), F913=0, 0), ""))</f>
        <v/>
      </c>
      <c r="H913" s="1"/>
      <c r="I913" s="4" t="str">
        <f>IF(Bet_Log[[#This Row],[Result ]]="", "", IF(Bet_Log[[#This Row],[Result ]]="Win", Bet_Log[[#This Row],[Stake]]*Bet_Log[[#This Row],[Decimal]]-Bet_Log[[#This Row],[Stake]], IF(Bet_Log[[#This Row],[Result ]]="Loss", -Bet_Log[[#This Row],[Stake]], IF(Bet_Log[[#This Row],[Result ]]="Push", 0, ""))))</f>
        <v/>
      </c>
      <c r="J913" s="2" t="str">
        <f>IF(Bet_Log[[#This Row],[Return]]="", "", J912 + Bet_Log[[#This Row],[Return]])</f>
        <v/>
      </c>
      <c r="K913" s="9"/>
    </row>
    <row r="914" spans="1:11" x14ac:dyDescent="0.2">
      <c r="A914" s="27"/>
      <c r="B914" s="1"/>
      <c r="C914" s="6"/>
      <c r="D914" s="1"/>
      <c r="E914" s="7"/>
      <c r="F914" s="8"/>
      <c r="G914" s="3" t="str" cm="1">
        <f t="array" ref="G914">IF(ISBLANK(F914), "", IFERROR(_xlfn.IFS(LEFT(F914,1)="+", (VALUE(MID(F914,2,LEN(F914)))+100)/100, VALUE(F914)&gt;0, (F914+100)/100, VALUE(F914)&lt;0, (ABS(F914)+100)/ABS(F914), F914=0, 0), ""))</f>
        <v/>
      </c>
      <c r="H914" s="1"/>
      <c r="I914" s="4" t="str">
        <f>IF(Bet_Log[[#This Row],[Result ]]="", "", IF(Bet_Log[[#This Row],[Result ]]="Win", Bet_Log[[#This Row],[Stake]]*Bet_Log[[#This Row],[Decimal]]-Bet_Log[[#This Row],[Stake]], IF(Bet_Log[[#This Row],[Result ]]="Loss", -Bet_Log[[#This Row],[Stake]], IF(Bet_Log[[#This Row],[Result ]]="Push", 0, ""))))</f>
        <v/>
      </c>
      <c r="J914" s="2" t="str">
        <f>IF(Bet_Log[[#This Row],[Return]]="", "", J913 + Bet_Log[[#This Row],[Return]])</f>
        <v/>
      </c>
      <c r="K914" s="9"/>
    </row>
    <row r="915" spans="1:11" x14ac:dyDescent="0.2">
      <c r="A915" s="27"/>
      <c r="B915" s="1"/>
      <c r="C915" s="6"/>
      <c r="D915" s="1"/>
      <c r="E915" s="7"/>
      <c r="F915" s="8"/>
      <c r="G915" s="3" t="str" cm="1">
        <f t="array" ref="G915">IF(ISBLANK(F915), "", IFERROR(_xlfn.IFS(LEFT(F915,1)="+", (VALUE(MID(F915,2,LEN(F915)))+100)/100, VALUE(F915)&gt;0, (F915+100)/100, VALUE(F915)&lt;0, (ABS(F915)+100)/ABS(F915), F915=0, 0), ""))</f>
        <v/>
      </c>
      <c r="H915" s="1"/>
      <c r="I915" s="4" t="str">
        <f>IF(Bet_Log[[#This Row],[Result ]]="", "", IF(Bet_Log[[#This Row],[Result ]]="Win", Bet_Log[[#This Row],[Stake]]*Bet_Log[[#This Row],[Decimal]]-Bet_Log[[#This Row],[Stake]], IF(Bet_Log[[#This Row],[Result ]]="Loss", -Bet_Log[[#This Row],[Stake]], IF(Bet_Log[[#This Row],[Result ]]="Push", 0, ""))))</f>
        <v/>
      </c>
      <c r="J915" s="2" t="str">
        <f>IF(Bet_Log[[#This Row],[Return]]="", "", J914 + Bet_Log[[#This Row],[Return]])</f>
        <v/>
      </c>
      <c r="K915" s="9"/>
    </row>
    <row r="916" spans="1:11" x14ac:dyDescent="0.2">
      <c r="A916" s="27"/>
      <c r="B916" s="1"/>
      <c r="C916" s="6"/>
      <c r="D916" s="1"/>
      <c r="E916" s="7"/>
      <c r="F916" s="8"/>
      <c r="G916" s="3" t="str" cm="1">
        <f t="array" ref="G916">IF(ISBLANK(F916), "", IFERROR(_xlfn.IFS(LEFT(F916,1)="+", (VALUE(MID(F916,2,LEN(F916)))+100)/100, VALUE(F916)&gt;0, (F916+100)/100, VALUE(F916)&lt;0, (ABS(F916)+100)/ABS(F916), F916=0, 0), ""))</f>
        <v/>
      </c>
      <c r="H916" s="1"/>
      <c r="I916" s="4" t="str">
        <f>IF(Bet_Log[[#This Row],[Result ]]="", "", IF(Bet_Log[[#This Row],[Result ]]="Win", Bet_Log[[#This Row],[Stake]]*Bet_Log[[#This Row],[Decimal]]-Bet_Log[[#This Row],[Stake]], IF(Bet_Log[[#This Row],[Result ]]="Loss", -Bet_Log[[#This Row],[Stake]], IF(Bet_Log[[#This Row],[Result ]]="Push", 0, ""))))</f>
        <v/>
      </c>
      <c r="J916" s="2" t="str">
        <f>IF(Bet_Log[[#This Row],[Return]]="", "", J915 + Bet_Log[[#This Row],[Return]])</f>
        <v/>
      </c>
      <c r="K916" s="9"/>
    </row>
    <row r="917" spans="1:11" x14ac:dyDescent="0.2">
      <c r="A917" s="27"/>
      <c r="B917" s="1"/>
      <c r="C917" s="6"/>
      <c r="D917" s="1"/>
      <c r="E917" s="7"/>
      <c r="F917" s="8"/>
      <c r="G917" s="3" t="str" cm="1">
        <f t="array" ref="G917">IF(ISBLANK(F917), "", IFERROR(_xlfn.IFS(LEFT(F917,1)="+", (VALUE(MID(F917,2,LEN(F917)))+100)/100, VALUE(F917)&gt;0, (F917+100)/100, VALUE(F917)&lt;0, (ABS(F917)+100)/ABS(F917), F917=0, 0), ""))</f>
        <v/>
      </c>
      <c r="H917" s="1"/>
      <c r="I917" s="4" t="str">
        <f>IF(Bet_Log[[#This Row],[Result ]]="", "", IF(Bet_Log[[#This Row],[Result ]]="Win", Bet_Log[[#This Row],[Stake]]*Bet_Log[[#This Row],[Decimal]]-Bet_Log[[#This Row],[Stake]], IF(Bet_Log[[#This Row],[Result ]]="Loss", -Bet_Log[[#This Row],[Stake]], IF(Bet_Log[[#This Row],[Result ]]="Push", 0, ""))))</f>
        <v/>
      </c>
      <c r="J917" s="2" t="str">
        <f>IF(Bet_Log[[#This Row],[Return]]="", "", J916 + Bet_Log[[#This Row],[Return]])</f>
        <v/>
      </c>
      <c r="K917" s="9"/>
    </row>
    <row r="918" spans="1:11" x14ac:dyDescent="0.2">
      <c r="A918" s="27"/>
      <c r="B918" s="1"/>
      <c r="C918" s="6"/>
      <c r="D918" s="1"/>
      <c r="E918" s="7"/>
      <c r="F918" s="8"/>
      <c r="G918" s="3" t="str" cm="1">
        <f t="array" ref="G918">IF(ISBLANK(F918), "", IFERROR(_xlfn.IFS(LEFT(F918,1)="+", (VALUE(MID(F918,2,LEN(F918)))+100)/100, VALUE(F918)&gt;0, (F918+100)/100, VALUE(F918)&lt;0, (ABS(F918)+100)/ABS(F918), F918=0, 0), ""))</f>
        <v/>
      </c>
      <c r="H918" s="1"/>
      <c r="I918" s="4" t="str">
        <f>IF(Bet_Log[[#This Row],[Result ]]="", "", IF(Bet_Log[[#This Row],[Result ]]="Win", Bet_Log[[#This Row],[Stake]]*Bet_Log[[#This Row],[Decimal]]-Bet_Log[[#This Row],[Stake]], IF(Bet_Log[[#This Row],[Result ]]="Loss", -Bet_Log[[#This Row],[Stake]], IF(Bet_Log[[#This Row],[Result ]]="Push", 0, ""))))</f>
        <v/>
      </c>
      <c r="J918" s="2" t="str">
        <f>IF(Bet_Log[[#This Row],[Return]]="", "", J917 + Bet_Log[[#This Row],[Return]])</f>
        <v/>
      </c>
      <c r="K918" s="9"/>
    </row>
    <row r="919" spans="1:11" x14ac:dyDescent="0.2">
      <c r="A919" s="27"/>
      <c r="B919" s="1"/>
      <c r="C919" s="6"/>
      <c r="D919" s="1"/>
      <c r="E919" s="7"/>
      <c r="F919" s="8"/>
      <c r="G919" s="3" t="str" cm="1">
        <f t="array" ref="G919">IF(ISBLANK(F919), "", IFERROR(_xlfn.IFS(LEFT(F919,1)="+", (VALUE(MID(F919,2,LEN(F919)))+100)/100, VALUE(F919)&gt;0, (F919+100)/100, VALUE(F919)&lt;0, (ABS(F919)+100)/ABS(F919), F919=0, 0), ""))</f>
        <v/>
      </c>
      <c r="H919" s="1"/>
      <c r="I919" s="4" t="str">
        <f>IF(Bet_Log[[#This Row],[Result ]]="", "", IF(Bet_Log[[#This Row],[Result ]]="Win", Bet_Log[[#This Row],[Stake]]*Bet_Log[[#This Row],[Decimal]]-Bet_Log[[#This Row],[Stake]], IF(Bet_Log[[#This Row],[Result ]]="Loss", -Bet_Log[[#This Row],[Stake]], IF(Bet_Log[[#This Row],[Result ]]="Push", 0, ""))))</f>
        <v/>
      </c>
      <c r="J919" s="2" t="str">
        <f>IF(Bet_Log[[#This Row],[Return]]="", "", J918 + Bet_Log[[#This Row],[Return]])</f>
        <v/>
      </c>
      <c r="K919" s="9"/>
    </row>
    <row r="920" spans="1:11" x14ac:dyDescent="0.2">
      <c r="A920" s="27"/>
      <c r="B920" s="1"/>
      <c r="C920" s="6"/>
      <c r="D920" s="1"/>
      <c r="E920" s="7"/>
      <c r="F920" s="8"/>
      <c r="G920" s="3" t="str" cm="1">
        <f t="array" ref="G920">IF(ISBLANK(F920), "", IFERROR(_xlfn.IFS(LEFT(F920,1)="+", (VALUE(MID(F920,2,LEN(F920)))+100)/100, VALUE(F920)&gt;0, (F920+100)/100, VALUE(F920)&lt;0, (ABS(F920)+100)/ABS(F920), F920=0, 0), ""))</f>
        <v/>
      </c>
      <c r="H920" s="1"/>
      <c r="I920" s="4" t="str">
        <f>IF(Bet_Log[[#This Row],[Result ]]="", "", IF(Bet_Log[[#This Row],[Result ]]="Win", Bet_Log[[#This Row],[Stake]]*Bet_Log[[#This Row],[Decimal]]-Bet_Log[[#This Row],[Stake]], IF(Bet_Log[[#This Row],[Result ]]="Loss", -Bet_Log[[#This Row],[Stake]], IF(Bet_Log[[#This Row],[Result ]]="Push", 0, ""))))</f>
        <v/>
      </c>
      <c r="J920" s="2" t="str">
        <f>IF(Bet_Log[[#This Row],[Return]]="", "", J919 + Bet_Log[[#This Row],[Return]])</f>
        <v/>
      </c>
      <c r="K920" s="9"/>
    </row>
    <row r="921" spans="1:11" x14ac:dyDescent="0.2">
      <c r="A921" s="27"/>
      <c r="B921" s="1"/>
      <c r="C921" s="6"/>
      <c r="D921" s="1"/>
      <c r="E921" s="7"/>
      <c r="F921" s="8"/>
      <c r="G921" s="3" t="str" cm="1">
        <f t="array" ref="G921">IF(ISBLANK(F921), "", IFERROR(_xlfn.IFS(LEFT(F921,1)="+", (VALUE(MID(F921,2,LEN(F921)))+100)/100, VALUE(F921)&gt;0, (F921+100)/100, VALUE(F921)&lt;0, (ABS(F921)+100)/ABS(F921), F921=0, 0), ""))</f>
        <v/>
      </c>
      <c r="H921" s="1"/>
      <c r="I921" s="4" t="str">
        <f>IF(Bet_Log[[#This Row],[Result ]]="", "", IF(Bet_Log[[#This Row],[Result ]]="Win", Bet_Log[[#This Row],[Stake]]*Bet_Log[[#This Row],[Decimal]]-Bet_Log[[#This Row],[Stake]], IF(Bet_Log[[#This Row],[Result ]]="Loss", -Bet_Log[[#This Row],[Stake]], IF(Bet_Log[[#This Row],[Result ]]="Push", 0, ""))))</f>
        <v/>
      </c>
      <c r="J921" s="2" t="str">
        <f>IF(Bet_Log[[#This Row],[Return]]="", "", J920 + Bet_Log[[#This Row],[Return]])</f>
        <v/>
      </c>
      <c r="K921" s="9"/>
    </row>
    <row r="922" spans="1:11" x14ac:dyDescent="0.2">
      <c r="A922" s="27"/>
      <c r="B922" s="1"/>
      <c r="C922" s="6"/>
      <c r="D922" s="1"/>
      <c r="E922" s="7"/>
      <c r="F922" s="8"/>
      <c r="G922" s="3" t="str" cm="1">
        <f t="array" ref="G922">IF(ISBLANK(F922), "", IFERROR(_xlfn.IFS(LEFT(F922,1)="+", (VALUE(MID(F922,2,LEN(F922)))+100)/100, VALUE(F922)&gt;0, (F922+100)/100, VALUE(F922)&lt;0, (ABS(F922)+100)/ABS(F922), F922=0, 0), ""))</f>
        <v/>
      </c>
      <c r="H922" s="1"/>
      <c r="I922" s="4" t="str">
        <f>IF(Bet_Log[[#This Row],[Result ]]="", "", IF(Bet_Log[[#This Row],[Result ]]="Win", Bet_Log[[#This Row],[Stake]]*Bet_Log[[#This Row],[Decimal]]-Bet_Log[[#This Row],[Stake]], IF(Bet_Log[[#This Row],[Result ]]="Loss", -Bet_Log[[#This Row],[Stake]], IF(Bet_Log[[#This Row],[Result ]]="Push", 0, ""))))</f>
        <v/>
      </c>
      <c r="J922" s="2" t="str">
        <f>IF(Bet_Log[[#This Row],[Return]]="", "", J921 + Bet_Log[[#This Row],[Return]])</f>
        <v/>
      </c>
      <c r="K922" s="9"/>
    </row>
    <row r="923" spans="1:11" x14ac:dyDescent="0.2">
      <c r="A923" s="27"/>
      <c r="B923" s="1"/>
      <c r="C923" s="6"/>
      <c r="D923" s="1"/>
      <c r="E923" s="7"/>
      <c r="F923" s="8"/>
      <c r="G923" s="3" t="str" cm="1">
        <f t="array" ref="G923">IF(ISBLANK(F923), "", IFERROR(_xlfn.IFS(LEFT(F923,1)="+", (VALUE(MID(F923,2,LEN(F923)))+100)/100, VALUE(F923)&gt;0, (F923+100)/100, VALUE(F923)&lt;0, (ABS(F923)+100)/ABS(F923), F923=0, 0), ""))</f>
        <v/>
      </c>
      <c r="H923" s="1"/>
      <c r="I923" s="4" t="str">
        <f>IF(Bet_Log[[#This Row],[Result ]]="", "", IF(Bet_Log[[#This Row],[Result ]]="Win", Bet_Log[[#This Row],[Stake]]*Bet_Log[[#This Row],[Decimal]]-Bet_Log[[#This Row],[Stake]], IF(Bet_Log[[#This Row],[Result ]]="Loss", -Bet_Log[[#This Row],[Stake]], IF(Bet_Log[[#This Row],[Result ]]="Push", 0, ""))))</f>
        <v/>
      </c>
      <c r="J923" s="2" t="str">
        <f>IF(Bet_Log[[#This Row],[Return]]="", "", J922 + Bet_Log[[#This Row],[Return]])</f>
        <v/>
      </c>
      <c r="K923" s="9"/>
    </row>
    <row r="924" spans="1:11" x14ac:dyDescent="0.2">
      <c r="A924" s="27"/>
      <c r="B924" s="1"/>
      <c r="C924" s="6"/>
      <c r="D924" s="1"/>
      <c r="E924" s="7"/>
      <c r="F924" s="8"/>
      <c r="G924" s="3" t="str" cm="1">
        <f t="array" ref="G924">IF(ISBLANK(F924), "", IFERROR(_xlfn.IFS(LEFT(F924,1)="+", (VALUE(MID(F924,2,LEN(F924)))+100)/100, VALUE(F924)&gt;0, (F924+100)/100, VALUE(F924)&lt;0, (ABS(F924)+100)/ABS(F924), F924=0, 0), ""))</f>
        <v/>
      </c>
      <c r="H924" s="1"/>
      <c r="I924" s="4" t="str">
        <f>IF(Bet_Log[[#This Row],[Result ]]="", "", IF(Bet_Log[[#This Row],[Result ]]="Win", Bet_Log[[#This Row],[Stake]]*Bet_Log[[#This Row],[Decimal]]-Bet_Log[[#This Row],[Stake]], IF(Bet_Log[[#This Row],[Result ]]="Loss", -Bet_Log[[#This Row],[Stake]], IF(Bet_Log[[#This Row],[Result ]]="Push", 0, ""))))</f>
        <v/>
      </c>
      <c r="J924" s="2" t="str">
        <f>IF(Bet_Log[[#This Row],[Return]]="", "", J923 + Bet_Log[[#This Row],[Return]])</f>
        <v/>
      </c>
      <c r="K924" s="9"/>
    </row>
    <row r="925" spans="1:11" x14ac:dyDescent="0.2">
      <c r="A925" s="27"/>
      <c r="B925" s="1"/>
      <c r="C925" s="6"/>
      <c r="D925" s="1"/>
      <c r="E925" s="7"/>
      <c r="F925" s="8"/>
      <c r="G925" s="3" t="str" cm="1">
        <f t="array" ref="G925">IF(ISBLANK(F925), "", IFERROR(_xlfn.IFS(LEFT(F925,1)="+", (VALUE(MID(F925,2,LEN(F925)))+100)/100, VALUE(F925)&gt;0, (F925+100)/100, VALUE(F925)&lt;0, (ABS(F925)+100)/ABS(F925), F925=0, 0), ""))</f>
        <v/>
      </c>
      <c r="H925" s="1"/>
      <c r="I925" s="4" t="str">
        <f>IF(Bet_Log[[#This Row],[Result ]]="", "", IF(Bet_Log[[#This Row],[Result ]]="Win", Bet_Log[[#This Row],[Stake]]*Bet_Log[[#This Row],[Decimal]]-Bet_Log[[#This Row],[Stake]], IF(Bet_Log[[#This Row],[Result ]]="Loss", -Bet_Log[[#This Row],[Stake]], IF(Bet_Log[[#This Row],[Result ]]="Push", 0, ""))))</f>
        <v/>
      </c>
      <c r="J925" s="2" t="str">
        <f>IF(Bet_Log[[#This Row],[Return]]="", "", J924 + Bet_Log[[#This Row],[Return]])</f>
        <v/>
      </c>
      <c r="K925" s="9"/>
    </row>
    <row r="926" spans="1:11" x14ac:dyDescent="0.2">
      <c r="A926" s="27"/>
      <c r="B926" s="1"/>
      <c r="C926" s="6"/>
      <c r="D926" s="1"/>
      <c r="E926" s="7"/>
      <c r="F926" s="8"/>
      <c r="G926" s="3" t="str" cm="1">
        <f t="array" ref="G926">IF(ISBLANK(F926), "", IFERROR(_xlfn.IFS(LEFT(F926,1)="+", (VALUE(MID(F926,2,LEN(F926)))+100)/100, VALUE(F926)&gt;0, (F926+100)/100, VALUE(F926)&lt;0, (ABS(F926)+100)/ABS(F926), F926=0, 0), ""))</f>
        <v/>
      </c>
      <c r="H926" s="1"/>
      <c r="I926" s="4" t="str">
        <f>IF(Bet_Log[[#This Row],[Result ]]="", "", IF(Bet_Log[[#This Row],[Result ]]="Win", Bet_Log[[#This Row],[Stake]]*Bet_Log[[#This Row],[Decimal]]-Bet_Log[[#This Row],[Stake]], IF(Bet_Log[[#This Row],[Result ]]="Loss", -Bet_Log[[#This Row],[Stake]], IF(Bet_Log[[#This Row],[Result ]]="Push", 0, ""))))</f>
        <v/>
      </c>
      <c r="J926" s="2" t="str">
        <f>IF(Bet_Log[[#This Row],[Return]]="", "", J925 + Bet_Log[[#This Row],[Return]])</f>
        <v/>
      </c>
      <c r="K926" s="9"/>
    </row>
    <row r="927" spans="1:11" x14ac:dyDescent="0.2">
      <c r="A927" s="27"/>
      <c r="B927" s="1"/>
      <c r="C927" s="6"/>
      <c r="D927" s="1"/>
      <c r="E927" s="7"/>
      <c r="F927" s="8"/>
      <c r="G927" s="3" t="str" cm="1">
        <f t="array" ref="G927">IF(ISBLANK(F927), "", IFERROR(_xlfn.IFS(LEFT(F927,1)="+", (VALUE(MID(F927,2,LEN(F927)))+100)/100, VALUE(F927)&gt;0, (F927+100)/100, VALUE(F927)&lt;0, (ABS(F927)+100)/ABS(F927), F927=0, 0), ""))</f>
        <v/>
      </c>
      <c r="H927" s="1"/>
      <c r="I927" s="4" t="str">
        <f>IF(Bet_Log[[#This Row],[Result ]]="", "", IF(Bet_Log[[#This Row],[Result ]]="Win", Bet_Log[[#This Row],[Stake]]*Bet_Log[[#This Row],[Decimal]]-Bet_Log[[#This Row],[Stake]], IF(Bet_Log[[#This Row],[Result ]]="Loss", -Bet_Log[[#This Row],[Stake]], IF(Bet_Log[[#This Row],[Result ]]="Push", 0, ""))))</f>
        <v/>
      </c>
      <c r="J927" s="2" t="str">
        <f>IF(Bet_Log[[#This Row],[Return]]="", "", J926 + Bet_Log[[#This Row],[Return]])</f>
        <v/>
      </c>
      <c r="K927" s="9"/>
    </row>
    <row r="928" spans="1:11" x14ac:dyDescent="0.2">
      <c r="A928" s="27"/>
      <c r="B928" s="1"/>
      <c r="C928" s="6"/>
      <c r="D928" s="1"/>
      <c r="E928" s="7"/>
      <c r="F928" s="8"/>
      <c r="G928" s="3" t="str" cm="1">
        <f t="array" ref="G928">IF(ISBLANK(F928), "", IFERROR(_xlfn.IFS(LEFT(F928,1)="+", (VALUE(MID(F928,2,LEN(F928)))+100)/100, VALUE(F928)&gt;0, (F928+100)/100, VALUE(F928)&lt;0, (ABS(F928)+100)/ABS(F928), F928=0, 0), ""))</f>
        <v/>
      </c>
      <c r="H928" s="1"/>
      <c r="I928" s="4" t="str">
        <f>IF(Bet_Log[[#This Row],[Result ]]="", "", IF(Bet_Log[[#This Row],[Result ]]="Win", Bet_Log[[#This Row],[Stake]]*Bet_Log[[#This Row],[Decimal]]-Bet_Log[[#This Row],[Stake]], IF(Bet_Log[[#This Row],[Result ]]="Loss", -Bet_Log[[#This Row],[Stake]], IF(Bet_Log[[#This Row],[Result ]]="Push", 0, ""))))</f>
        <v/>
      </c>
      <c r="J928" s="2" t="str">
        <f>IF(Bet_Log[[#This Row],[Return]]="", "", J927 + Bet_Log[[#This Row],[Return]])</f>
        <v/>
      </c>
      <c r="K928" s="9"/>
    </row>
    <row r="929" spans="1:11" x14ac:dyDescent="0.2">
      <c r="A929" s="27"/>
      <c r="B929" s="1"/>
      <c r="C929" s="6"/>
      <c r="D929" s="1"/>
      <c r="E929" s="7"/>
      <c r="F929" s="8"/>
      <c r="G929" s="3" t="str" cm="1">
        <f t="array" ref="G929">IF(ISBLANK(F929), "", IFERROR(_xlfn.IFS(LEFT(F929,1)="+", (VALUE(MID(F929,2,LEN(F929)))+100)/100, VALUE(F929)&gt;0, (F929+100)/100, VALUE(F929)&lt;0, (ABS(F929)+100)/ABS(F929), F929=0, 0), ""))</f>
        <v/>
      </c>
      <c r="H929" s="1"/>
      <c r="I929" s="4" t="str">
        <f>IF(Bet_Log[[#This Row],[Result ]]="", "", IF(Bet_Log[[#This Row],[Result ]]="Win", Bet_Log[[#This Row],[Stake]]*Bet_Log[[#This Row],[Decimal]]-Bet_Log[[#This Row],[Stake]], IF(Bet_Log[[#This Row],[Result ]]="Loss", -Bet_Log[[#This Row],[Stake]], IF(Bet_Log[[#This Row],[Result ]]="Push", 0, ""))))</f>
        <v/>
      </c>
      <c r="J929" s="2" t="str">
        <f>IF(Bet_Log[[#This Row],[Return]]="", "", J928 + Bet_Log[[#This Row],[Return]])</f>
        <v/>
      </c>
      <c r="K929" s="9"/>
    </row>
    <row r="930" spans="1:11" x14ac:dyDescent="0.2">
      <c r="A930" s="27"/>
      <c r="B930" s="1"/>
      <c r="C930" s="6"/>
      <c r="D930" s="1"/>
      <c r="E930" s="7"/>
      <c r="F930" s="8"/>
      <c r="G930" s="3" t="str" cm="1">
        <f t="array" ref="G930">IF(ISBLANK(F930), "", IFERROR(_xlfn.IFS(LEFT(F930,1)="+", (VALUE(MID(F930,2,LEN(F930)))+100)/100, VALUE(F930)&gt;0, (F930+100)/100, VALUE(F930)&lt;0, (ABS(F930)+100)/ABS(F930), F930=0, 0), ""))</f>
        <v/>
      </c>
      <c r="H930" s="1"/>
      <c r="I930" s="4" t="str">
        <f>IF(Bet_Log[[#This Row],[Result ]]="", "", IF(Bet_Log[[#This Row],[Result ]]="Win", Bet_Log[[#This Row],[Stake]]*Bet_Log[[#This Row],[Decimal]]-Bet_Log[[#This Row],[Stake]], IF(Bet_Log[[#This Row],[Result ]]="Loss", -Bet_Log[[#This Row],[Stake]], IF(Bet_Log[[#This Row],[Result ]]="Push", 0, ""))))</f>
        <v/>
      </c>
      <c r="J930" s="2" t="str">
        <f>IF(Bet_Log[[#This Row],[Return]]="", "", J929 + Bet_Log[[#This Row],[Return]])</f>
        <v/>
      </c>
      <c r="K930" s="9"/>
    </row>
    <row r="931" spans="1:11" x14ac:dyDescent="0.2">
      <c r="A931" s="27"/>
      <c r="B931" s="1"/>
      <c r="C931" s="6"/>
      <c r="D931" s="1"/>
      <c r="E931" s="7"/>
      <c r="F931" s="8"/>
      <c r="G931" s="3" t="str" cm="1">
        <f t="array" ref="G931">IF(ISBLANK(F931), "", IFERROR(_xlfn.IFS(LEFT(F931,1)="+", (VALUE(MID(F931,2,LEN(F931)))+100)/100, VALUE(F931)&gt;0, (F931+100)/100, VALUE(F931)&lt;0, (ABS(F931)+100)/ABS(F931), F931=0, 0), ""))</f>
        <v/>
      </c>
      <c r="H931" s="1"/>
      <c r="I931" s="4" t="str">
        <f>IF(Bet_Log[[#This Row],[Result ]]="", "", IF(Bet_Log[[#This Row],[Result ]]="Win", Bet_Log[[#This Row],[Stake]]*Bet_Log[[#This Row],[Decimal]]-Bet_Log[[#This Row],[Stake]], IF(Bet_Log[[#This Row],[Result ]]="Loss", -Bet_Log[[#This Row],[Stake]], IF(Bet_Log[[#This Row],[Result ]]="Push", 0, ""))))</f>
        <v/>
      </c>
      <c r="J931" s="2" t="str">
        <f>IF(Bet_Log[[#This Row],[Return]]="", "", J930 + Bet_Log[[#This Row],[Return]])</f>
        <v/>
      </c>
      <c r="K931" s="9"/>
    </row>
    <row r="932" spans="1:11" x14ac:dyDescent="0.2">
      <c r="A932" s="27"/>
      <c r="B932" s="1"/>
      <c r="C932" s="6"/>
      <c r="D932" s="1"/>
      <c r="E932" s="7"/>
      <c r="F932" s="8"/>
      <c r="G932" s="3" t="str" cm="1">
        <f t="array" ref="G932">IF(ISBLANK(F932), "", IFERROR(_xlfn.IFS(LEFT(F932,1)="+", (VALUE(MID(F932,2,LEN(F932)))+100)/100, VALUE(F932)&gt;0, (F932+100)/100, VALUE(F932)&lt;0, (ABS(F932)+100)/ABS(F932), F932=0, 0), ""))</f>
        <v/>
      </c>
      <c r="H932" s="1"/>
      <c r="I932" s="4" t="str">
        <f>IF(Bet_Log[[#This Row],[Result ]]="", "", IF(Bet_Log[[#This Row],[Result ]]="Win", Bet_Log[[#This Row],[Stake]]*Bet_Log[[#This Row],[Decimal]]-Bet_Log[[#This Row],[Stake]], IF(Bet_Log[[#This Row],[Result ]]="Loss", -Bet_Log[[#This Row],[Stake]], IF(Bet_Log[[#This Row],[Result ]]="Push", 0, ""))))</f>
        <v/>
      </c>
      <c r="J932" s="2" t="str">
        <f>IF(Bet_Log[[#This Row],[Return]]="", "", J931 + Bet_Log[[#This Row],[Return]])</f>
        <v/>
      </c>
      <c r="K932" s="9"/>
    </row>
    <row r="933" spans="1:11" x14ac:dyDescent="0.2">
      <c r="A933" s="27"/>
      <c r="B933" s="1"/>
      <c r="C933" s="6"/>
      <c r="D933" s="1"/>
      <c r="E933" s="7"/>
      <c r="F933" s="8"/>
      <c r="G933" s="3" t="str" cm="1">
        <f t="array" ref="G933">IF(ISBLANK(F933), "", IFERROR(_xlfn.IFS(LEFT(F933,1)="+", (VALUE(MID(F933,2,LEN(F933)))+100)/100, VALUE(F933)&gt;0, (F933+100)/100, VALUE(F933)&lt;0, (ABS(F933)+100)/ABS(F933), F933=0, 0), ""))</f>
        <v/>
      </c>
      <c r="H933" s="1"/>
      <c r="I933" s="4" t="str">
        <f>IF(Bet_Log[[#This Row],[Result ]]="", "", IF(Bet_Log[[#This Row],[Result ]]="Win", Bet_Log[[#This Row],[Stake]]*Bet_Log[[#This Row],[Decimal]]-Bet_Log[[#This Row],[Stake]], IF(Bet_Log[[#This Row],[Result ]]="Loss", -Bet_Log[[#This Row],[Stake]], IF(Bet_Log[[#This Row],[Result ]]="Push", 0, ""))))</f>
        <v/>
      </c>
      <c r="J933" s="2" t="str">
        <f>IF(Bet_Log[[#This Row],[Return]]="", "", J932 + Bet_Log[[#This Row],[Return]])</f>
        <v/>
      </c>
      <c r="K933" s="9"/>
    </row>
    <row r="934" spans="1:11" x14ac:dyDescent="0.2">
      <c r="A934" s="27"/>
      <c r="B934" s="1"/>
      <c r="C934" s="6"/>
      <c r="D934" s="1"/>
      <c r="E934" s="7"/>
      <c r="F934" s="8"/>
      <c r="G934" s="3" t="str" cm="1">
        <f t="array" ref="G934">IF(ISBLANK(F934), "", IFERROR(_xlfn.IFS(LEFT(F934,1)="+", (VALUE(MID(F934,2,LEN(F934)))+100)/100, VALUE(F934)&gt;0, (F934+100)/100, VALUE(F934)&lt;0, (ABS(F934)+100)/ABS(F934), F934=0, 0), ""))</f>
        <v/>
      </c>
      <c r="H934" s="1"/>
      <c r="I934" s="4" t="str">
        <f>IF(Bet_Log[[#This Row],[Result ]]="", "", IF(Bet_Log[[#This Row],[Result ]]="Win", Bet_Log[[#This Row],[Stake]]*Bet_Log[[#This Row],[Decimal]]-Bet_Log[[#This Row],[Stake]], IF(Bet_Log[[#This Row],[Result ]]="Loss", -Bet_Log[[#This Row],[Stake]], IF(Bet_Log[[#This Row],[Result ]]="Push", 0, ""))))</f>
        <v/>
      </c>
      <c r="J934" s="2" t="str">
        <f>IF(Bet_Log[[#This Row],[Return]]="", "", J933 + Bet_Log[[#This Row],[Return]])</f>
        <v/>
      </c>
      <c r="K934" s="9"/>
    </row>
    <row r="935" spans="1:11" x14ac:dyDescent="0.2">
      <c r="A935" s="27"/>
      <c r="B935" s="1"/>
      <c r="C935" s="6"/>
      <c r="D935" s="1"/>
      <c r="E935" s="7"/>
      <c r="F935" s="8"/>
      <c r="G935" s="3" t="str" cm="1">
        <f t="array" ref="G935">IF(ISBLANK(F935), "", IFERROR(_xlfn.IFS(LEFT(F935,1)="+", (VALUE(MID(F935,2,LEN(F935)))+100)/100, VALUE(F935)&gt;0, (F935+100)/100, VALUE(F935)&lt;0, (ABS(F935)+100)/ABS(F935), F935=0, 0), ""))</f>
        <v/>
      </c>
      <c r="H935" s="1"/>
      <c r="I935" s="4" t="str">
        <f>IF(Bet_Log[[#This Row],[Result ]]="", "", IF(Bet_Log[[#This Row],[Result ]]="Win", Bet_Log[[#This Row],[Stake]]*Bet_Log[[#This Row],[Decimal]]-Bet_Log[[#This Row],[Stake]], IF(Bet_Log[[#This Row],[Result ]]="Loss", -Bet_Log[[#This Row],[Stake]], IF(Bet_Log[[#This Row],[Result ]]="Push", 0, ""))))</f>
        <v/>
      </c>
      <c r="J935" s="2" t="str">
        <f>IF(Bet_Log[[#This Row],[Return]]="", "", J934 + Bet_Log[[#This Row],[Return]])</f>
        <v/>
      </c>
      <c r="K935" s="9"/>
    </row>
    <row r="936" spans="1:11" x14ac:dyDescent="0.2">
      <c r="A936" s="27"/>
      <c r="B936" s="1"/>
      <c r="C936" s="6"/>
      <c r="D936" s="1"/>
      <c r="E936" s="7"/>
      <c r="F936" s="8"/>
      <c r="G936" s="3" t="str" cm="1">
        <f t="array" ref="G936">IF(ISBLANK(F936), "", IFERROR(_xlfn.IFS(LEFT(F936,1)="+", (VALUE(MID(F936,2,LEN(F936)))+100)/100, VALUE(F936)&gt;0, (F936+100)/100, VALUE(F936)&lt;0, (ABS(F936)+100)/ABS(F936), F936=0, 0), ""))</f>
        <v/>
      </c>
      <c r="H936" s="1"/>
      <c r="I936" s="4" t="str">
        <f>IF(Bet_Log[[#This Row],[Result ]]="", "", IF(Bet_Log[[#This Row],[Result ]]="Win", Bet_Log[[#This Row],[Stake]]*Bet_Log[[#This Row],[Decimal]]-Bet_Log[[#This Row],[Stake]], IF(Bet_Log[[#This Row],[Result ]]="Loss", -Bet_Log[[#This Row],[Stake]], IF(Bet_Log[[#This Row],[Result ]]="Push", 0, ""))))</f>
        <v/>
      </c>
      <c r="J936" s="2" t="str">
        <f>IF(Bet_Log[[#This Row],[Return]]="", "", J935 + Bet_Log[[#This Row],[Return]])</f>
        <v/>
      </c>
      <c r="K936" s="9"/>
    </row>
    <row r="937" spans="1:11" x14ac:dyDescent="0.2">
      <c r="A937" s="27"/>
      <c r="B937" s="1"/>
      <c r="C937" s="6"/>
      <c r="D937" s="1"/>
      <c r="E937" s="7"/>
      <c r="F937" s="8"/>
      <c r="G937" s="3" t="str" cm="1">
        <f t="array" ref="G937">IF(ISBLANK(F937), "", IFERROR(_xlfn.IFS(LEFT(F937,1)="+", (VALUE(MID(F937,2,LEN(F937)))+100)/100, VALUE(F937)&gt;0, (F937+100)/100, VALUE(F937)&lt;0, (ABS(F937)+100)/ABS(F937), F937=0, 0), ""))</f>
        <v/>
      </c>
      <c r="H937" s="1"/>
      <c r="I937" s="4" t="str">
        <f>IF(Bet_Log[[#This Row],[Result ]]="", "", IF(Bet_Log[[#This Row],[Result ]]="Win", Bet_Log[[#This Row],[Stake]]*Bet_Log[[#This Row],[Decimal]]-Bet_Log[[#This Row],[Stake]], IF(Bet_Log[[#This Row],[Result ]]="Loss", -Bet_Log[[#This Row],[Stake]], IF(Bet_Log[[#This Row],[Result ]]="Push", 0, ""))))</f>
        <v/>
      </c>
      <c r="J937" s="2" t="str">
        <f>IF(Bet_Log[[#This Row],[Return]]="", "", J936 + Bet_Log[[#This Row],[Return]])</f>
        <v/>
      </c>
      <c r="K937" s="9"/>
    </row>
    <row r="938" spans="1:11" x14ac:dyDescent="0.2">
      <c r="A938" s="27"/>
      <c r="B938" s="1"/>
      <c r="C938" s="6"/>
      <c r="D938" s="1"/>
      <c r="E938" s="7"/>
      <c r="F938" s="8"/>
      <c r="G938" s="3" t="str" cm="1">
        <f t="array" ref="G938">IF(ISBLANK(F938), "", IFERROR(_xlfn.IFS(LEFT(F938,1)="+", (VALUE(MID(F938,2,LEN(F938)))+100)/100, VALUE(F938)&gt;0, (F938+100)/100, VALUE(F938)&lt;0, (ABS(F938)+100)/ABS(F938), F938=0, 0), ""))</f>
        <v/>
      </c>
      <c r="H938" s="1"/>
      <c r="I938" s="4" t="str">
        <f>IF(Bet_Log[[#This Row],[Result ]]="", "", IF(Bet_Log[[#This Row],[Result ]]="Win", Bet_Log[[#This Row],[Stake]]*Bet_Log[[#This Row],[Decimal]]-Bet_Log[[#This Row],[Stake]], IF(Bet_Log[[#This Row],[Result ]]="Loss", -Bet_Log[[#This Row],[Stake]], IF(Bet_Log[[#This Row],[Result ]]="Push", 0, ""))))</f>
        <v/>
      </c>
      <c r="J938" s="2" t="str">
        <f>IF(Bet_Log[[#This Row],[Return]]="", "", J937 + Bet_Log[[#This Row],[Return]])</f>
        <v/>
      </c>
      <c r="K938" s="9"/>
    </row>
    <row r="939" spans="1:11" x14ac:dyDescent="0.2">
      <c r="A939" s="27"/>
      <c r="B939" s="1"/>
      <c r="C939" s="6"/>
      <c r="D939" s="1"/>
      <c r="E939" s="7"/>
      <c r="F939" s="8"/>
      <c r="G939" s="3" t="str" cm="1">
        <f t="array" ref="G939">IF(ISBLANK(F939), "", IFERROR(_xlfn.IFS(LEFT(F939,1)="+", (VALUE(MID(F939,2,LEN(F939)))+100)/100, VALUE(F939)&gt;0, (F939+100)/100, VALUE(F939)&lt;0, (ABS(F939)+100)/ABS(F939), F939=0, 0), ""))</f>
        <v/>
      </c>
      <c r="H939" s="1"/>
      <c r="I939" s="4" t="str">
        <f>IF(Bet_Log[[#This Row],[Result ]]="", "", IF(Bet_Log[[#This Row],[Result ]]="Win", Bet_Log[[#This Row],[Stake]]*Bet_Log[[#This Row],[Decimal]]-Bet_Log[[#This Row],[Stake]], IF(Bet_Log[[#This Row],[Result ]]="Loss", -Bet_Log[[#This Row],[Stake]], IF(Bet_Log[[#This Row],[Result ]]="Push", 0, ""))))</f>
        <v/>
      </c>
      <c r="J939" s="2" t="str">
        <f>IF(Bet_Log[[#This Row],[Return]]="", "", J938 + Bet_Log[[#This Row],[Return]])</f>
        <v/>
      </c>
      <c r="K939" s="9"/>
    </row>
    <row r="940" spans="1:11" x14ac:dyDescent="0.2">
      <c r="A940" s="27"/>
      <c r="B940" s="1"/>
      <c r="C940" s="6"/>
      <c r="D940" s="1"/>
      <c r="E940" s="7"/>
      <c r="F940" s="8"/>
      <c r="G940" s="3" t="str" cm="1">
        <f t="array" ref="G940">IF(ISBLANK(F940), "", IFERROR(_xlfn.IFS(LEFT(F940,1)="+", (VALUE(MID(F940,2,LEN(F940)))+100)/100, VALUE(F940)&gt;0, (F940+100)/100, VALUE(F940)&lt;0, (ABS(F940)+100)/ABS(F940), F940=0, 0), ""))</f>
        <v/>
      </c>
      <c r="H940" s="1"/>
      <c r="I940" s="4" t="str">
        <f>IF(Bet_Log[[#This Row],[Result ]]="", "", IF(Bet_Log[[#This Row],[Result ]]="Win", Bet_Log[[#This Row],[Stake]]*Bet_Log[[#This Row],[Decimal]]-Bet_Log[[#This Row],[Stake]], IF(Bet_Log[[#This Row],[Result ]]="Loss", -Bet_Log[[#This Row],[Stake]], IF(Bet_Log[[#This Row],[Result ]]="Push", 0, ""))))</f>
        <v/>
      </c>
      <c r="J940" s="2" t="str">
        <f>IF(Bet_Log[[#This Row],[Return]]="", "", J939 + Bet_Log[[#This Row],[Return]])</f>
        <v/>
      </c>
      <c r="K940" s="9"/>
    </row>
    <row r="941" spans="1:11" x14ac:dyDescent="0.2">
      <c r="A941" s="27"/>
      <c r="B941" s="1"/>
      <c r="C941" s="6"/>
      <c r="D941" s="1"/>
      <c r="E941" s="7"/>
      <c r="F941" s="8"/>
      <c r="G941" s="3" t="str" cm="1">
        <f t="array" ref="G941">IF(ISBLANK(F941), "", IFERROR(_xlfn.IFS(LEFT(F941,1)="+", (VALUE(MID(F941,2,LEN(F941)))+100)/100, VALUE(F941)&gt;0, (F941+100)/100, VALUE(F941)&lt;0, (ABS(F941)+100)/ABS(F941), F941=0, 0), ""))</f>
        <v/>
      </c>
      <c r="H941" s="1"/>
      <c r="I941" s="4" t="str">
        <f>IF(Bet_Log[[#This Row],[Result ]]="", "", IF(Bet_Log[[#This Row],[Result ]]="Win", Bet_Log[[#This Row],[Stake]]*Bet_Log[[#This Row],[Decimal]]-Bet_Log[[#This Row],[Stake]], IF(Bet_Log[[#This Row],[Result ]]="Loss", -Bet_Log[[#This Row],[Stake]], IF(Bet_Log[[#This Row],[Result ]]="Push", 0, ""))))</f>
        <v/>
      </c>
      <c r="J941" s="2" t="str">
        <f>IF(Bet_Log[[#This Row],[Return]]="", "", J940 + Bet_Log[[#This Row],[Return]])</f>
        <v/>
      </c>
      <c r="K941" s="9"/>
    </row>
    <row r="942" spans="1:11" x14ac:dyDescent="0.2">
      <c r="A942" s="27"/>
      <c r="B942" s="1"/>
      <c r="C942" s="6"/>
      <c r="D942" s="1"/>
      <c r="E942" s="7"/>
      <c r="F942" s="8"/>
      <c r="G942" s="3" t="str" cm="1">
        <f t="array" ref="G942">IF(ISBLANK(F942), "", IFERROR(_xlfn.IFS(LEFT(F942,1)="+", (VALUE(MID(F942,2,LEN(F942)))+100)/100, VALUE(F942)&gt;0, (F942+100)/100, VALUE(F942)&lt;0, (ABS(F942)+100)/ABS(F942), F942=0, 0), ""))</f>
        <v/>
      </c>
      <c r="H942" s="1"/>
      <c r="I942" s="4" t="str">
        <f>IF(Bet_Log[[#This Row],[Result ]]="", "", IF(Bet_Log[[#This Row],[Result ]]="Win", Bet_Log[[#This Row],[Stake]]*Bet_Log[[#This Row],[Decimal]]-Bet_Log[[#This Row],[Stake]], IF(Bet_Log[[#This Row],[Result ]]="Loss", -Bet_Log[[#This Row],[Stake]], IF(Bet_Log[[#This Row],[Result ]]="Push", 0, ""))))</f>
        <v/>
      </c>
      <c r="J942" s="2" t="str">
        <f>IF(Bet_Log[[#This Row],[Return]]="", "", J941 + Bet_Log[[#This Row],[Return]])</f>
        <v/>
      </c>
      <c r="K942" s="9"/>
    </row>
    <row r="943" spans="1:11" x14ac:dyDescent="0.2">
      <c r="A943" s="27"/>
      <c r="B943" s="1"/>
      <c r="C943" s="6"/>
      <c r="D943" s="1"/>
      <c r="E943" s="7"/>
      <c r="F943" s="8"/>
      <c r="G943" s="3" t="str" cm="1">
        <f t="array" ref="G943">IF(ISBLANK(F943), "", IFERROR(_xlfn.IFS(LEFT(F943,1)="+", (VALUE(MID(F943,2,LEN(F943)))+100)/100, VALUE(F943)&gt;0, (F943+100)/100, VALUE(F943)&lt;0, (ABS(F943)+100)/ABS(F943), F943=0, 0), ""))</f>
        <v/>
      </c>
      <c r="H943" s="1"/>
      <c r="I943" s="4" t="str">
        <f>IF(Bet_Log[[#This Row],[Result ]]="", "", IF(Bet_Log[[#This Row],[Result ]]="Win", Bet_Log[[#This Row],[Stake]]*Bet_Log[[#This Row],[Decimal]]-Bet_Log[[#This Row],[Stake]], IF(Bet_Log[[#This Row],[Result ]]="Loss", -Bet_Log[[#This Row],[Stake]], IF(Bet_Log[[#This Row],[Result ]]="Push", 0, ""))))</f>
        <v/>
      </c>
      <c r="J943" s="2" t="str">
        <f>IF(Bet_Log[[#This Row],[Return]]="", "", J942 + Bet_Log[[#This Row],[Return]])</f>
        <v/>
      </c>
      <c r="K943" s="9"/>
    </row>
    <row r="944" spans="1:11" x14ac:dyDescent="0.2">
      <c r="A944" s="27"/>
      <c r="B944" s="1"/>
      <c r="C944" s="6"/>
      <c r="D944" s="1"/>
      <c r="E944" s="7"/>
      <c r="F944" s="8"/>
      <c r="G944" s="3" t="str" cm="1">
        <f t="array" ref="G944">IF(ISBLANK(F944), "", IFERROR(_xlfn.IFS(LEFT(F944,1)="+", (VALUE(MID(F944,2,LEN(F944)))+100)/100, VALUE(F944)&gt;0, (F944+100)/100, VALUE(F944)&lt;0, (ABS(F944)+100)/ABS(F944), F944=0, 0), ""))</f>
        <v/>
      </c>
      <c r="H944" s="1"/>
      <c r="I944" s="4" t="str">
        <f>IF(Bet_Log[[#This Row],[Result ]]="", "", IF(Bet_Log[[#This Row],[Result ]]="Win", Bet_Log[[#This Row],[Stake]]*Bet_Log[[#This Row],[Decimal]]-Bet_Log[[#This Row],[Stake]], IF(Bet_Log[[#This Row],[Result ]]="Loss", -Bet_Log[[#This Row],[Stake]], IF(Bet_Log[[#This Row],[Result ]]="Push", 0, ""))))</f>
        <v/>
      </c>
      <c r="J944" s="2" t="str">
        <f>IF(Bet_Log[[#This Row],[Return]]="", "", J943 + Bet_Log[[#This Row],[Return]])</f>
        <v/>
      </c>
      <c r="K944" s="9"/>
    </row>
    <row r="945" spans="1:11" x14ac:dyDescent="0.2">
      <c r="A945" s="27"/>
      <c r="B945" s="1"/>
      <c r="C945" s="6"/>
      <c r="D945" s="1"/>
      <c r="E945" s="7"/>
      <c r="F945" s="8"/>
      <c r="G945" s="3" t="str" cm="1">
        <f t="array" ref="G945">IF(ISBLANK(F945), "", IFERROR(_xlfn.IFS(LEFT(F945,1)="+", (VALUE(MID(F945,2,LEN(F945)))+100)/100, VALUE(F945)&gt;0, (F945+100)/100, VALUE(F945)&lt;0, (ABS(F945)+100)/ABS(F945), F945=0, 0), ""))</f>
        <v/>
      </c>
      <c r="H945" s="1"/>
      <c r="I945" s="4" t="str">
        <f>IF(Bet_Log[[#This Row],[Result ]]="", "", IF(Bet_Log[[#This Row],[Result ]]="Win", Bet_Log[[#This Row],[Stake]]*Bet_Log[[#This Row],[Decimal]]-Bet_Log[[#This Row],[Stake]], IF(Bet_Log[[#This Row],[Result ]]="Loss", -Bet_Log[[#This Row],[Stake]], IF(Bet_Log[[#This Row],[Result ]]="Push", 0, ""))))</f>
        <v/>
      </c>
      <c r="J945" s="2" t="str">
        <f>IF(Bet_Log[[#This Row],[Return]]="", "", J944 + Bet_Log[[#This Row],[Return]])</f>
        <v/>
      </c>
      <c r="K945" s="9"/>
    </row>
    <row r="946" spans="1:11" x14ac:dyDescent="0.2">
      <c r="A946" s="27"/>
      <c r="B946" s="1"/>
      <c r="C946" s="6"/>
      <c r="D946" s="1"/>
      <c r="E946" s="7"/>
      <c r="F946" s="8"/>
      <c r="G946" s="3" t="str" cm="1">
        <f t="array" ref="G946">IF(ISBLANK(F946), "", IFERROR(_xlfn.IFS(LEFT(F946,1)="+", (VALUE(MID(F946,2,LEN(F946)))+100)/100, VALUE(F946)&gt;0, (F946+100)/100, VALUE(F946)&lt;0, (ABS(F946)+100)/ABS(F946), F946=0, 0), ""))</f>
        <v/>
      </c>
      <c r="H946" s="1"/>
      <c r="I946" s="4" t="str">
        <f>IF(Bet_Log[[#This Row],[Result ]]="", "", IF(Bet_Log[[#This Row],[Result ]]="Win", Bet_Log[[#This Row],[Stake]]*Bet_Log[[#This Row],[Decimal]]-Bet_Log[[#This Row],[Stake]], IF(Bet_Log[[#This Row],[Result ]]="Loss", -Bet_Log[[#This Row],[Stake]], IF(Bet_Log[[#This Row],[Result ]]="Push", 0, ""))))</f>
        <v/>
      </c>
      <c r="J946" s="2" t="str">
        <f>IF(Bet_Log[[#This Row],[Return]]="", "", J945 + Bet_Log[[#This Row],[Return]])</f>
        <v/>
      </c>
      <c r="K946" s="9"/>
    </row>
    <row r="947" spans="1:11" x14ac:dyDescent="0.2">
      <c r="A947" s="27"/>
      <c r="B947" s="1"/>
      <c r="C947" s="6"/>
      <c r="D947" s="1"/>
      <c r="E947" s="7"/>
      <c r="F947" s="8"/>
      <c r="G947" s="3" t="str" cm="1">
        <f t="array" ref="G947">IF(ISBLANK(F947), "", IFERROR(_xlfn.IFS(LEFT(F947,1)="+", (VALUE(MID(F947,2,LEN(F947)))+100)/100, VALUE(F947)&gt;0, (F947+100)/100, VALUE(F947)&lt;0, (ABS(F947)+100)/ABS(F947), F947=0, 0), ""))</f>
        <v/>
      </c>
      <c r="H947" s="1"/>
      <c r="I947" s="4" t="str">
        <f>IF(Bet_Log[[#This Row],[Result ]]="", "", IF(Bet_Log[[#This Row],[Result ]]="Win", Bet_Log[[#This Row],[Stake]]*Bet_Log[[#This Row],[Decimal]]-Bet_Log[[#This Row],[Stake]], IF(Bet_Log[[#This Row],[Result ]]="Loss", -Bet_Log[[#This Row],[Stake]], IF(Bet_Log[[#This Row],[Result ]]="Push", 0, ""))))</f>
        <v/>
      </c>
      <c r="J947" s="2" t="str">
        <f>IF(Bet_Log[[#This Row],[Return]]="", "", J946 + Bet_Log[[#This Row],[Return]])</f>
        <v/>
      </c>
      <c r="K947" s="9"/>
    </row>
    <row r="948" spans="1:11" x14ac:dyDescent="0.2">
      <c r="A948" s="27"/>
      <c r="B948" s="1"/>
      <c r="C948" s="6"/>
      <c r="D948" s="1"/>
      <c r="E948" s="7"/>
      <c r="F948" s="8"/>
      <c r="G948" s="3" t="str" cm="1">
        <f t="array" ref="G948">IF(ISBLANK(F948), "", IFERROR(_xlfn.IFS(LEFT(F948,1)="+", (VALUE(MID(F948,2,LEN(F948)))+100)/100, VALUE(F948)&gt;0, (F948+100)/100, VALUE(F948)&lt;0, (ABS(F948)+100)/ABS(F948), F948=0, 0), ""))</f>
        <v/>
      </c>
      <c r="H948" s="1"/>
      <c r="I948" s="4" t="str">
        <f>IF(Bet_Log[[#This Row],[Result ]]="", "", IF(Bet_Log[[#This Row],[Result ]]="Win", Bet_Log[[#This Row],[Stake]]*Bet_Log[[#This Row],[Decimal]]-Bet_Log[[#This Row],[Stake]], IF(Bet_Log[[#This Row],[Result ]]="Loss", -Bet_Log[[#This Row],[Stake]], IF(Bet_Log[[#This Row],[Result ]]="Push", 0, ""))))</f>
        <v/>
      </c>
      <c r="J948" s="2" t="str">
        <f>IF(Bet_Log[[#This Row],[Return]]="", "", J947 + Bet_Log[[#This Row],[Return]])</f>
        <v/>
      </c>
      <c r="K948" s="9"/>
    </row>
    <row r="949" spans="1:11" x14ac:dyDescent="0.2">
      <c r="A949" s="27"/>
      <c r="B949" s="1"/>
      <c r="C949" s="6"/>
      <c r="D949" s="1"/>
      <c r="E949" s="7"/>
      <c r="F949" s="8"/>
      <c r="G949" s="3" t="str" cm="1">
        <f t="array" ref="G949">IF(ISBLANK(F949), "", IFERROR(_xlfn.IFS(LEFT(F949,1)="+", (VALUE(MID(F949,2,LEN(F949)))+100)/100, VALUE(F949)&gt;0, (F949+100)/100, VALUE(F949)&lt;0, (ABS(F949)+100)/ABS(F949), F949=0, 0), ""))</f>
        <v/>
      </c>
      <c r="H949" s="1"/>
      <c r="I949" s="4" t="str">
        <f>IF(Bet_Log[[#This Row],[Result ]]="", "", IF(Bet_Log[[#This Row],[Result ]]="Win", Bet_Log[[#This Row],[Stake]]*Bet_Log[[#This Row],[Decimal]]-Bet_Log[[#This Row],[Stake]], IF(Bet_Log[[#This Row],[Result ]]="Loss", -Bet_Log[[#This Row],[Stake]], IF(Bet_Log[[#This Row],[Result ]]="Push", 0, ""))))</f>
        <v/>
      </c>
      <c r="J949" s="2" t="str">
        <f>IF(Bet_Log[[#This Row],[Return]]="", "", J948 + Bet_Log[[#This Row],[Return]])</f>
        <v/>
      </c>
      <c r="K949" s="9"/>
    </row>
    <row r="950" spans="1:11" x14ac:dyDescent="0.2">
      <c r="A950" s="27"/>
      <c r="B950" s="1"/>
      <c r="C950" s="6"/>
      <c r="D950" s="1"/>
      <c r="E950" s="7"/>
      <c r="F950" s="8"/>
      <c r="G950" s="3" t="str" cm="1">
        <f t="array" ref="G950">IF(ISBLANK(F950), "", IFERROR(_xlfn.IFS(LEFT(F950,1)="+", (VALUE(MID(F950,2,LEN(F950)))+100)/100, VALUE(F950)&gt;0, (F950+100)/100, VALUE(F950)&lt;0, (ABS(F950)+100)/ABS(F950), F950=0, 0), ""))</f>
        <v/>
      </c>
      <c r="H950" s="1"/>
      <c r="I950" s="4" t="str">
        <f>IF(Bet_Log[[#This Row],[Result ]]="", "", IF(Bet_Log[[#This Row],[Result ]]="Win", Bet_Log[[#This Row],[Stake]]*Bet_Log[[#This Row],[Decimal]]-Bet_Log[[#This Row],[Stake]], IF(Bet_Log[[#This Row],[Result ]]="Loss", -Bet_Log[[#This Row],[Stake]], IF(Bet_Log[[#This Row],[Result ]]="Push", 0, ""))))</f>
        <v/>
      </c>
      <c r="J950" s="2" t="str">
        <f>IF(Bet_Log[[#This Row],[Return]]="", "", J949 + Bet_Log[[#This Row],[Return]])</f>
        <v/>
      </c>
      <c r="K950" s="9"/>
    </row>
    <row r="951" spans="1:11" x14ac:dyDescent="0.2">
      <c r="A951" s="27"/>
      <c r="B951" s="1"/>
      <c r="C951" s="6"/>
      <c r="D951" s="1"/>
      <c r="E951" s="7"/>
      <c r="F951" s="8"/>
      <c r="G951" s="3" t="str" cm="1">
        <f t="array" ref="G951">IF(ISBLANK(F951), "", IFERROR(_xlfn.IFS(LEFT(F951,1)="+", (VALUE(MID(F951,2,LEN(F951)))+100)/100, VALUE(F951)&gt;0, (F951+100)/100, VALUE(F951)&lt;0, (ABS(F951)+100)/ABS(F951), F951=0, 0), ""))</f>
        <v/>
      </c>
      <c r="H951" s="1"/>
      <c r="I951" s="4" t="str">
        <f>IF(Bet_Log[[#This Row],[Result ]]="", "", IF(Bet_Log[[#This Row],[Result ]]="Win", Bet_Log[[#This Row],[Stake]]*Bet_Log[[#This Row],[Decimal]]-Bet_Log[[#This Row],[Stake]], IF(Bet_Log[[#This Row],[Result ]]="Loss", -Bet_Log[[#This Row],[Stake]], IF(Bet_Log[[#This Row],[Result ]]="Push", 0, ""))))</f>
        <v/>
      </c>
      <c r="J951" s="2" t="str">
        <f>IF(Bet_Log[[#This Row],[Return]]="", "", J950 + Bet_Log[[#This Row],[Return]])</f>
        <v/>
      </c>
      <c r="K951" s="9"/>
    </row>
    <row r="952" spans="1:11" x14ac:dyDescent="0.2">
      <c r="A952" s="27"/>
      <c r="B952" s="1"/>
      <c r="C952" s="6"/>
      <c r="D952" s="1"/>
      <c r="E952" s="7"/>
      <c r="F952" s="8"/>
      <c r="G952" s="3" t="str" cm="1">
        <f t="array" ref="G952">IF(ISBLANK(F952), "", IFERROR(_xlfn.IFS(LEFT(F952,1)="+", (VALUE(MID(F952,2,LEN(F952)))+100)/100, VALUE(F952)&gt;0, (F952+100)/100, VALUE(F952)&lt;0, (ABS(F952)+100)/ABS(F952), F952=0, 0), ""))</f>
        <v/>
      </c>
      <c r="H952" s="1"/>
      <c r="I952" s="4" t="str">
        <f>IF(Bet_Log[[#This Row],[Result ]]="", "", IF(Bet_Log[[#This Row],[Result ]]="Win", Bet_Log[[#This Row],[Stake]]*Bet_Log[[#This Row],[Decimal]]-Bet_Log[[#This Row],[Stake]], IF(Bet_Log[[#This Row],[Result ]]="Loss", -Bet_Log[[#This Row],[Stake]], IF(Bet_Log[[#This Row],[Result ]]="Push", 0, ""))))</f>
        <v/>
      </c>
      <c r="J952" s="2" t="str">
        <f>IF(Bet_Log[[#This Row],[Return]]="", "", J951 + Bet_Log[[#This Row],[Return]])</f>
        <v/>
      </c>
      <c r="K952" s="9"/>
    </row>
    <row r="953" spans="1:11" x14ac:dyDescent="0.2">
      <c r="A953" s="27"/>
      <c r="B953" s="1"/>
      <c r="C953" s="6"/>
      <c r="D953" s="1"/>
      <c r="E953" s="7"/>
      <c r="F953" s="8"/>
      <c r="G953" s="3" t="str" cm="1">
        <f t="array" ref="G953">IF(ISBLANK(F953), "", IFERROR(_xlfn.IFS(LEFT(F953,1)="+", (VALUE(MID(F953,2,LEN(F953)))+100)/100, VALUE(F953)&gt;0, (F953+100)/100, VALUE(F953)&lt;0, (ABS(F953)+100)/ABS(F953), F953=0, 0), ""))</f>
        <v/>
      </c>
      <c r="H953" s="1"/>
      <c r="I953" s="4" t="str">
        <f>IF(Bet_Log[[#This Row],[Result ]]="", "", IF(Bet_Log[[#This Row],[Result ]]="Win", Bet_Log[[#This Row],[Stake]]*Bet_Log[[#This Row],[Decimal]]-Bet_Log[[#This Row],[Stake]], IF(Bet_Log[[#This Row],[Result ]]="Loss", -Bet_Log[[#This Row],[Stake]], IF(Bet_Log[[#This Row],[Result ]]="Push", 0, ""))))</f>
        <v/>
      </c>
      <c r="J953" s="2" t="str">
        <f>IF(Bet_Log[[#This Row],[Return]]="", "", J952 + Bet_Log[[#This Row],[Return]])</f>
        <v/>
      </c>
      <c r="K953" s="9"/>
    </row>
    <row r="954" spans="1:11" x14ac:dyDescent="0.2">
      <c r="A954" s="27"/>
      <c r="B954" s="1"/>
      <c r="C954" s="6"/>
      <c r="D954" s="1"/>
      <c r="E954" s="7"/>
      <c r="F954" s="8"/>
      <c r="G954" s="3" t="str" cm="1">
        <f t="array" ref="G954">IF(ISBLANK(F954), "", IFERROR(_xlfn.IFS(LEFT(F954,1)="+", (VALUE(MID(F954,2,LEN(F954)))+100)/100, VALUE(F954)&gt;0, (F954+100)/100, VALUE(F954)&lt;0, (ABS(F954)+100)/ABS(F954), F954=0, 0), ""))</f>
        <v/>
      </c>
      <c r="H954" s="1"/>
      <c r="I954" s="4" t="str">
        <f>IF(Bet_Log[[#This Row],[Result ]]="", "", IF(Bet_Log[[#This Row],[Result ]]="Win", Bet_Log[[#This Row],[Stake]]*Bet_Log[[#This Row],[Decimal]]-Bet_Log[[#This Row],[Stake]], IF(Bet_Log[[#This Row],[Result ]]="Loss", -Bet_Log[[#This Row],[Stake]], IF(Bet_Log[[#This Row],[Result ]]="Push", 0, ""))))</f>
        <v/>
      </c>
      <c r="J954" s="2" t="str">
        <f>IF(Bet_Log[[#This Row],[Return]]="", "", J953 + Bet_Log[[#This Row],[Return]])</f>
        <v/>
      </c>
      <c r="K954" s="9"/>
    </row>
    <row r="955" spans="1:11" x14ac:dyDescent="0.2">
      <c r="A955" s="27"/>
      <c r="B955" s="1"/>
      <c r="C955" s="6"/>
      <c r="D955" s="1"/>
      <c r="E955" s="7"/>
      <c r="F955" s="8"/>
      <c r="G955" s="3" t="str" cm="1">
        <f t="array" ref="G955">IF(ISBLANK(F955), "", IFERROR(_xlfn.IFS(LEFT(F955,1)="+", (VALUE(MID(F955,2,LEN(F955)))+100)/100, VALUE(F955)&gt;0, (F955+100)/100, VALUE(F955)&lt;0, (ABS(F955)+100)/ABS(F955), F955=0, 0), ""))</f>
        <v/>
      </c>
      <c r="H955" s="1"/>
      <c r="I955" s="4" t="str">
        <f>IF(Bet_Log[[#This Row],[Result ]]="", "", IF(Bet_Log[[#This Row],[Result ]]="Win", Bet_Log[[#This Row],[Stake]]*Bet_Log[[#This Row],[Decimal]]-Bet_Log[[#This Row],[Stake]], IF(Bet_Log[[#This Row],[Result ]]="Loss", -Bet_Log[[#This Row],[Stake]], IF(Bet_Log[[#This Row],[Result ]]="Push", 0, ""))))</f>
        <v/>
      </c>
      <c r="J955" s="2" t="str">
        <f>IF(Bet_Log[[#This Row],[Return]]="", "", J954 + Bet_Log[[#This Row],[Return]])</f>
        <v/>
      </c>
      <c r="K955" s="9"/>
    </row>
    <row r="956" spans="1:11" x14ac:dyDescent="0.2">
      <c r="A956" s="27"/>
      <c r="B956" s="1"/>
      <c r="C956" s="6"/>
      <c r="D956" s="1"/>
      <c r="E956" s="7"/>
      <c r="F956" s="8"/>
      <c r="G956" s="3" t="str" cm="1">
        <f t="array" ref="G956">IF(ISBLANK(F956), "", IFERROR(_xlfn.IFS(LEFT(F956,1)="+", (VALUE(MID(F956,2,LEN(F956)))+100)/100, VALUE(F956)&gt;0, (F956+100)/100, VALUE(F956)&lt;0, (ABS(F956)+100)/ABS(F956), F956=0, 0), ""))</f>
        <v/>
      </c>
      <c r="H956" s="1"/>
      <c r="I956" s="4" t="str">
        <f>IF(Bet_Log[[#This Row],[Result ]]="", "", IF(Bet_Log[[#This Row],[Result ]]="Win", Bet_Log[[#This Row],[Stake]]*Bet_Log[[#This Row],[Decimal]]-Bet_Log[[#This Row],[Stake]], IF(Bet_Log[[#This Row],[Result ]]="Loss", -Bet_Log[[#This Row],[Stake]], IF(Bet_Log[[#This Row],[Result ]]="Push", 0, ""))))</f>
        <v/>
      </c>
      <c r="J956" s="2" t="str">
        <f>IF(Bet_Log[[#This Row],[Return]]="", "", J955 + Bet_Log[[#This Row],[Return]])</f>
        <v/>
      </c>
      <c r="K956" s="9"/>
    </row>
    <row r="957" spans="1:11" x14ac:dyDescent="0.2">
      <c r="A957" s="27"/>
      <c r="B957" s="1"/>
      <c r="C957" s="6"/>
      <c r="D957" s="1"/>
      <c r="E957" s="7"/>
      <c r="F957" s="8"/>
      <c r="G957" s="3" t="str" cm="1">
        <f t="array" ref="G957">IF(ISBLANK(F957), "", IFERROR(_xlfn.IFS(LEFT(F957,1)="+", (VALUE(MID(F957,2,LEN(F957)))+100)/100, VALUE(F957)&gt;0, (F957+100)/100, VALUE(F957)&lt;0, (ABS(F957)+100)/ABS(F957), F957=0, 0), ""))</f>
        <v/>
      </c>
      <c r="H957" s="1"/>
      <c r="I957" s="4" t="str">
        <f>IF(Bet_Log[[#This Row],[Result ]]="", "", IF(Bet_Log[[#This Row],[Result ]]="Win", Bet_Log[[#This Row],[Stake]]*Bet_Log[[#This Row],[Decimal]]-Bet_Log[[#This Row],[Stake]], IF(Bet_Log[[#This Row],[Result ]]="Loss", -Bet_Log[[#This Row],[Stake]], IF(Bet_Log[[#This Row],[Result ]]="Push", 0, ""))))</f>
        <v/>
      </c>
      <c r="J957" s="2" t="str">
        <f>IF(Bet_Log[[#This Row],[Return]]="", "", J956 + Bet_Log[[#This Row],[Return]])</f>
        <v/>
      </c>
      <c r="K957" s="9"/>
    </row>
    <row r="958" spans="1:11" x14ac:dyDescent="0.2">
      <c r="A958" s="27"/>
      <c r="B958" s="1"/>
      <c r="C958" s="6"/>
      <c r="D958" s="1"/>
      <c r="E958" s="7"/>
      <c r="F958" s="8"/>
      <c r="G958" s="3" t="str" cm="1">
        <f t="array" ref="G958">IF(ISBLANK(F958), "", IFERROR(_xlfn.IFS(LEFT(F958,1)="+", (VALUE(MID(F958,2,LEN(F958)))+100)/100, VALUE(F958)&gt;0, (F958+100)/100, VALUE(F958)&lt;0, (ABS(F958)+100)/ABS(F958), F958=0, 0), ""))</f>
        <v/>
      </c>
      <c r="H958" s="1"/>
      <c r="I958" s="4" t="str">
        <f>IF(Bet_Log[[#This Row],[Result ]]="", "", IF(Bet_Log[[#This Row],[Result ]]="Win", Bet_Log[[#This Row],[Stake]]*Bet_Log[[#This Row],[Decimal]]-Bet_Log[[#This Row],[Stake]], IF(Bet_Log[[#This Row],[Result ]]="Loss", -Bet_Log[[#This Row],[Stake]], IF(Bet_Log[[#This Row],[Result ]]="Push", 0, ""))))</f>
        <v/>
      </c>
      <c r="J958" s="2" t="str">
        <f>IF(Bet_Log[[#This Row],[Return]]="", "", J957 + Bet_Log[[#This Row],[Return]])</f>
        <v/>
      </c>
      <c r="K958" s="9"/>
    </row>
    <row r="959" spans="1:11" x14ac:dyDescent="0.2">
      <c r="A959" s="27"/>
      <c r="B959" s="1"/>
      <c r="C959" s="6"/>
      <c r="D959" s="1"/>
      <c r="E959" s="7"/>
      <c r="F959" s="8"/>
      <c r="G959" s="3" t="str" cm="1">
        <f t="array" ref="G959">IF(ISBLANK(F959), "", IFERROR(_xlfn.IFS(LEFT(F959,1)="+", (VALUE(MID(F959,2,LEN(F959)))+100)/100, VALUE(F959)&gt;0, (F959+100)/100, VALUE(F959)&lt;0, (ABS(F959)+100)/ABS(F959), F959=0, 0), ""))</f>
        <v/>
      </c>
      <c r="H959" s="1"/>
      <c r="I959" s="4" t="str">
        <f>IF(Bet_Log[[#This Row],[Result ]]="", "", IF(Bet_Log[[#This Row],[Result ]]="Win", Bet_Log[[#This Row],[Stake]]*Bet_Log[[#This Row],[Decimal]]-Bet_Log[[#This Row],[Stake]], IF(Bet_Log[[#This Row],[Result ]]="Loss", -Bet_Log[[#This Row],[Stake]], IF(Bet_Log[[#This Row],[Result ]]="Push", 0, ""))))</f>
        <v/>
      </c>
      <c r="J959" s="2" t="str">
        <f>IF(Bet_Log[[#This Row],[Return]]="", "", J958 + Bet_Log[[#This Row],[Return]])</f>
        <v/>
      </c>
      <c r="K959" s="9"/>
    </row>
    <row r="960" spans="1:11" x14ac:dyDescent="0.2">
      <c r="A960" s="27"/>
      <c r="B960" s="1"/>
      <c r="C960" s="6"/>
      <c r="D960" s="1"/>
      <c r="E960" s="7"/>
      <c r="F960" s="8"/>
      <c r="G960" s="3" t="str" cm="1">
        <f t="array" ref="G960">IF(ISBLANK(F960), "", IFERROR(_xlfn.IFS(LEFT(F960,1)="+", (VALUE(MID(F960,2,LEN(F960)))+100)/100, VALUE(F960)&gt;0, (F960+100)/100, VALUE(F960)&lt;0, (ABS(F960)+100)/ABS(F960), F960=0, 0), ""))</f>
        <v/>
      </c>
      <c r="H960" s="1"/>
      <c r="I960" s="4" t="str">
        <f>IF(Bet_Log[[#This Row],[Result ]]="", "", IF(Bet_Log[[#This Row],[Result ]]="Win", Bet_Log[[#This Row],[Stake]]*Bet_Log[[#This Row],[Decimal]]-Bet_Log[[#This Row],[Stake]], IF(Bet_Log[[#This Row],[Result ]]="Loss", -Bet_Log[[#This Row],[Stake]], IF(Bet_Log[[#This Row],[Result ]]="Push", 0, ""))))</f>
        <v/>
      </c>
      <c r="J960" s="2" t="str">
        <f>IF(Bet_Log[[#This Row],[Return]]="", "", J959 + Bet_Log[[#This Row],[Return]])</f>
        <v/>
      </c>
      <c r="K960" s="9"/>
    </row>
    <row r="961" spans="1:11" x14ac:dyDescent="0.2">
      <c r="A961" s="27"/>
      <c r="B961" s="1"/>
      <c r="C961" s="6"/>
      <c r="D961" s="1"/>
      <c r="E961" s="7"/>
      <c r="F961" s="8"/>
      <c r="G961" s="3" t="str" cm="1">
        <f t="array" ref="G961">IF(ISBLANK(F961), "", IFERROR(_xlfn.IFS(LEFT(F961,1)="+", (VALUE(MID(F961,2,LEN(F961)))+100)/100, VALUE(F961)&gt;0, (F961+100)/100, VALUE(F961)&lt;0, (ABS(F961)+100)/ABS(F961), F961=0, 0), ""))</f>
        <v/>
      </c>
      <c r="H961" s="1"/>
      <c r="I961" s="4" t="str">
        <f>IF(Bet_Log[[#This Row],[Result ]]="", "", IF(Bet_Log[[#This Row],[Result ]]="Win", Bet_Log[[#This Row],[Stake]]*Bet_Log[[#This Row],[Decimal]]-Bet_Log[[#This Row],[Stake]], IF(Bet_Log[[#This Row],[Result ]]="Loss", -Bet_Log[[#This Row],[Stake]], IF(Bet_Log[[#This Row],[Result ]]="Push", 0, ""))))</f>
        <v/>
      </c>
      <c r="J961" s="2" t="str">
        <f>IF(Bet_Log[[#This Row],[Return]]="", "", J960 + Bet_Log[[#This Row],[Return]])</f>
        <v/>
      </c>
      <c r="K961" s="9"/>
    </row>
    <row r="962" spans="1:11" x14ac:dyDescent="0.2">
      <c r="A962" s="27"/>
      <c r="B962" s="1"/>
      <c r="C962" s="6"/>
      <c r="D962" s="1"/>
      <c r="E962" s="7"/>
      <c r="F962" s="8"/>
      <c r="G962" s="3" t="str" cm="1">
        <f t="array" ref="G962">IF(ISBLANK(F962), "", IFERROR(_xlfn.IFS(LEFT(F962,1)="+", (VALUE(MID(F962,2,LEN(F962)))+100)/100, VALUE(F962)&gt;0, (F962+100)/100, VALUE(F962)&lt;0, (ABS(F962)+100)/ABS(F962), F962=0, 0), ""))</f>
        <v/>
      </c>
      <c r="H962" s="1"/>
      <c r="I962" s="4" t="str">
        <f>IF(Bet_Log[[#This Row],[Result ]]="", "", IF(Bet_Log[[#This Row],[Result ]]="Win", Bet_Log[[#This Row],[Stake]]*Bet_Log[[#This Row],[Decimal]]-Bet_Log[[#This Row],[Stake]], IF(Bet_Log[[#This Row],[Result ]]="Loss", -Bet_Log[[#This Row],[Stake]], IF(Bet_Log[[#This Row],[Result ]]="Push", 0, ""))))</f>
        <v/>
      </c>
      <c r="J962" s="2" t="str">
        <f>IF(Bet_Log[[#This Row],[Return]]="", "", J961 + Bet_Log[[#This Row],[Return]])</f>
        <v/>
      </c>
      <c r="K962" s="9"/>
    </row>
    <row r="963" spans="1:11" x14ac:dyDescent="0.2">
      <c r="A963" s="27"/>
      <c r="B963" s="1"/>
      <c r="C963" s="6"/>
      <c r="D963" s="1"/>
      <c r="E963" s="7"/>
      <c r="F963" s="8"/>
      <c r="G963" s="3" t="str" cm="1">
        <f t="array" ref="G963">IF(ISBLANK(F963), "", IFERROR(_xlfn.IFS(LEFT(F963,1)="+", (VALUE(MID(F963,2,LEN(F963)))+100)/100, VALUE(F963)&gt;0, (F963+100)/100, VALUE(F963)&lt;0, (ABS(F963)+100)/ABS(F963), F963=0, 0), ""))</f>
        <v/>
      </c>
      <c r="H963" s="1"/>
      <c r="I963" s="4" t="str">
        <f>IF(Bet_Log[[#This Row],[Result ]]="", "", IF(Bet_Log[[#This Row],[Result ]]="Win", Bet_Log[[#This Row],[Stake]]*Bet_Log[[#This Row],[Decimal]]-Bet_Log[[#This Row],[Stake]], IF(Bet_Log[[#This Row],[Result ]]="Loss", -Bet_Log[[#This Row],[Stake]], IF(Bet_Log[[#This Row],[Result ]]="Push", 0, ""))))</f>
        <v/>
      </c>
      <c r="J963" s="2" t="str">
        <f>IF(Bet_Log[[#This Row],[Return]]="", "", J962 + Bet_Log[[#This Row],[Return]])</f>
        <v/>
      </c>
      <c r="K963" s="9"/>
    </row>
    <row r="964" spans="1:11" x14ac:dyDescent="0.2">
      <c r="A964" s="27"/>
      <c r="B964" s="1"/>
      <c r="C964" s="6"/>
      <c r="D964" s="1"/>
      <c r="E964" s="7"/>
      <c r="F964" s="8"/>
      <c r="G964" s="3" t="str" cm="1">
        <f t="array" ref="G964">IF(ISBLANK(F964), "", IFERROR(_xlfn.IFS(LEFT(F964,1)="+", (VALUE(MID(F964,2,LEN(F964)))+100)/100, VALUE(F964)&gt;0, (F964+100)/100, VALUE(F964)&lt;0, (ABS(F964)+100)/ABS(F964), F964=0, 0), ""))</f>
        <v/>
      </c>
      <c r="H964" s="1"/>
      <c r="I964" s="4" t="str">
        <f>IF(Bet_Log[[#This Row],[Result ]]="", "", IF(Bet_Log[[#This Row],[Result ]]="Win", Bet_Log[[#This Row],[Stake]]*Bet_Log[[#This Row],[Decimal]]-Bet_Log[[#This Row],[Stake]], IF(Bet_Log[[#This Row],[Result ]]="Loss", -Bet_Log[[#This Row],[Stake]], IF(Bet_Log[[#This Row],[Result ]]="Push", 0, ""))))</f>
        <v/>
      </c>
      <c r="J964" s="2" t="str">
        <f>IF(Bet_Log[[#This Row],[Return]]="", "", J963 + Bet_Log[[#This Row],[Return]])</f>
        <v/>
      </c>
      <c r="K964" s="9"/>
    </row>
    <row r="965" spans="1:11" x14ac:dyDescent="0.2">
      <c r="A965" s="27"/>
      <c r="B965" s="1"/>
      <c r="C965" s="6"/>
      <c r="D965" s="1"/>
      <c r="E965" s="7"/>
      <c r="F965" s="8"/>
      <c r="G965" s="3" t="str" cm="1">
        <f t="array" ref="G965">IF(ISBLANK(F965), "", IFERROR(_xlfn.IFS(LEFT(F965,1)="+", (VALUE(MID(F965,2,LEN(F965)))+100)/100, VALUE(F965)&gt;0, (F965+100)/100, VALUE(F965)&lt;0, (ABS(F965)+100)/ABS(F965), F965=0, 0), ""))</f>
        <v/>
      </c>
      <c r="H965" s="1"/>
      <c r="I965" s="4" t="str">
        <f>IF(Bet_Log[[#This Row],[Result ]]="", "", IF(Bet_Log[[#This Row],[Result ]]="Win", Bet_Log[[#This Row],[Stake]]*Bet_Log[[#This Row],[Decimal]]-Bet_Log[[#This Row],[Stake]], IF(Bet_Log[[#This Row],[Result ]]="Loss", -Bet_Log[[#This Row],[Stake]], IF(Bet_Log[[#This Row],[Result ]]="Push", 0, ""))))</f>
        <v/>
      </c>
      <c r="J965" s="2" t="str">
        <f>IF(Bet_Log[[#This Row],[Return]]="", "", J964 + Bet_Log[[#This Row],[Return]])</f>
        <v/>
      </c>
      <c r="K965" s="9"/>
    </row>
    <row r="966" spans="1:11" x14ac:dyDescent="0.2">
      <c r="A966" s="27"/>
      <c r="B966" s="1"/>
      <c r="C966" s="6"/>
      <c r="D966" s="1"/>
      <c r="E966" s="7"/>
      <c r="F966" s="8"/>
      <c r="G966" s="3" t="str" cm="1">
        <f t="array" ref="G966">IF(ISBLANK(F966), "", IFERROR(_xlfn.IFS(LEFT(F966,1)="+", (VALUE(MID(F966,2,LEN(F966)))+100)/100, VALUE(F966)&gt;0, (F966+100)/100, VALUE(F966)&lt;0, (ABS(F966)+100)/ABS(F966), F966=0, 0), ""))</f>
        <v/>
      </c>
      <c r="H966" s="1"/>
      <c r="I966" s="4" t="str">
        <f>IF(Bet_Log[[#This Row],[Result ]]="", "", IF(Bet_Log[[#This Row],[Result ]]="Win", Bet_Log[[#This Row],[Stake]]*Bet_Log[[#This Row],[Decimal]]-Bet_Log[[#This Row],[Stake]], IF(Bet_Log[[#This Row],[Result ]]="Loss", -Bet_Log[[#This Row],[Stake]], IF(Bet_Log[[#This Row],[Result ]]="Push", 0, ""))))</f>
        <v/>
      </c>
      <c r="J966" s="2" t="str">
        <f>IF(Bet_Log[[#This Row],[Return]]="", "", J965 + Bet_Log[[#This Row],[Return]])</f>
        <v/>
      </c>
      <c r="K966" s="9"/>
    </row>
    <row r="967" spans="1:11" x14ac:dyDescent="0.2">
      <c r="A967" s="27"/>
      <c r="B967" s="1"/>
      <c r="C967" s="6"/>
      <c r="D967" s="1"/>
      <c r="E967" s="7"/>
      <c r="F967" s="8"/>
      <c r="G967" s="3" t="str" cm="1">
        <f t="array" ref="G967">IF(ISBLANK(F967), "", IFERROR(_xlfn.IFS(LEFT(F967,1)="+", (VALUE(MID(F967,2,LEN(F967)))+100)/100, VALUE(F967)&gt;0, (F967+100)/100, VALUE(F967)&lt;0, (ABS(F967)+100)/ABS(F967), F967=0, 0), ""))</f>
        <v/>
      </c>
      <c r="H967" s="1"/>
      <c r="I967" s="4" t="str">
        <f>IF(Bet_Log[[#This Row],[Result ]]="", "", IF(Bet_Log[[#This Row],[Result ]]="Win", Bet_Log[[#This Row],[Stake]]*Bet_Log[[#This Row],[Decimal]]-Bet_Log[[#This Row],[Stake]], IF(Bet_Log[[#This Row],[Result ]]="Loss", -Bet_Log[[#This Row],[Stake]], IF(Bet_Log[[#This Row],[Result ]]="Push", 0, ""))))</f>
        <v/>
      </c>
      <c r="J967" s="2" t="str">
        <f>IF(Bet_Log[[#This Row],[Return]]="", "", J966 + Bet_Log[[#This Row],[Return]])</f>
        <v/>
      </c>
      <c r="K967" s="9"/>
    </row>
    <row r="968" spans="1:11" x14ac:dyDescent="0.2">
      <c r="A968" s="27"/>
      <c r="B968" s="1"/>
      <c r="C968" s="6"/>
      <c r="D968" s="1"/>
      <c r="E968" s="7"/>
      <c r="F968" s="8"/>
      <c r="G968" s="3" t="str" cm="1">
        <f t="array" ref="G968">IF(ISBLANK(F968), "", IFERROR(_xlfn.IFS(LEFT(F968,1)="+", (VALUE(MID(F968,2,LEN(F968)))+100)/100, VALUE(F968)&gt;0, (F968+100)/100, VALUE(F968)&lt;0, (ABS(F968)+100)/ABS(F968), F968=0, 0), ""))</f>
        <v/>
      </c>
      <c r="H968" s="1"/>
      <c r="I968" s="4" t="str">
        <f>IF(Bet_Log[[#This Row],[Result ]]="", "", IF(Bet_Log[[#This Row],[Result ]]="Win", Bet_Log[[#This Row],[Stake]]*Bet_Log[[#This Row],[Decimal]]-Bet_Log[[#This Row],[Stake]], IF(Bet_Log[[#This Row],[Result ]]="Loss", -Bet_Log[[#This Row],[Stake]], IF(Bet_Log[[#This Row],[Result ]]="Push", 0, ""))))</f>
        <v/>
      </c>
      <c r="J968" s="2" t="str">
        <f>IF(Bet_Log[[#This Row],[Return]]="", "", J967 + Bet_Log[[#This Row],[Return]])</f>
        <v/>
      </c>
      <c r="K968" s="9"/>
    </row>
    <row r="969" spans="1:11" x14ac:dyDescent="0.2">
      <c r="A969" s="27"/>
      <c r="B969" s="1"/>
      <c r="C969" s="6"/>
      <c r="D969" s="1"/>
      <c r="E969" s="7"/>
      <c r="F969" s="8"/>
      <c r="G969" s="3" t="str" cm="1">
        <f t="array" ref="G969">IF(ISBLANK(F969), "", IFERROR(_xlfn.IFS(LEFT(F969,1)="+", (VALUE(MID(F969,2,LEN(F969)))+100)/100, VALUE(F969)&gt;0, (F969+100)/100, VALUE(F969)&lt;0, (ABS(F969)+100)/ABS(F969), F969=0, 0), ""))</f>
        <v/>
      </c>
      <c r="H969" s="1"/>
      <c r="I969" s="4" t="str">
        <f>IF(Bet_Log[[#This Row],[Result ]]="", "", IF(Bet_Log[[#This Row],[Result ]]="Win", Bet_Log[[#This Row],[Stake]]*Bet_Log[[#This Row],[Decimal]]-Bet_Log[[#This Row],[Stake]], IF(Bet_Log[[#This Row],[Result ]]="Loss", -Bet_Log[[#This Row],[Stake]], IF(Bet_Log[[#This Row],[Result ]]="Push", 0, ""))))</f>
        <v/>
      </c>
      <c r="J969" s="2" t="str">
        <f>IF(Bet_Log[[#This Row],[Return]]="", "", J968 + Bet_Log[[#This Row],[Return]])</f>
        <v/>
      </c>
      <c r="K969" s="9"/>
    </row>
    <row r="970" spans="1:11" x14ac:dyDescent="0.2">
      <c r="A970" s="27"/>
      <c r="B970" s="1"/>
      <c r="C970" s="6"/>
      <c r="D970" s="1"/>
      <c r="E970" s="7"/>
      <c r="F970" s="8"/>
      <c r="G970" s="3" t="str" cm="1">
        <f t="array" ref="G970">IF(ISBLANK(F970), "", IFERROR(_xlfn.IFS(LEFT(F970,1)="+", (VALUE(MID(F970,2,LEN(F970)))+100)/100, VALUE(F970)&gt;0, (F970+100)/100, VALUE(F970)&lt;0, (ABS(F970)+100)/ABS(F970), F970=0, 0), ""))</f>
        <v/>
      </c>
      <c r="H970" s="1"/>
      <c r="I970" s="4" t="str">
        <f>IF(Bet_Log[[#This Row],[Result ]]="", "", IF(Bet_Log[[#This Row],[Result ]]="Win", Bet_Log[[#This Row],[Stake]]*Bet_Log[[#This Row],[Decimal]]-Bet_Log[[#This Row],[Stake]], IF(Bet_Log[[#This Row],[Result ]]="Loss", -Bet_Log[[#This Row],[Stake]], IF(Bet_Log[[#This Row],[Result ]]="Push", 0, ""))))</f>
        <v/>
      </c>
      <c r="J970" s="2" t="str">
        <f>IF(Bet_Log[[#This Row],[Return]]="", "", J969 + Bet_Log[[#This Row],[Return]])</f>
        <v/>
      </c>
      <c r="K970" s="9"/>
    </row>
    <row r="971" spans="1:11" x14ac:dyDescent="0.2">
      <c r="A971" s="27"/>
      <c r="B971" s="1"/>
      <c r="C971" s="6"/>
      <c r="D971" s="1"/>
      <c r="E971" s="7"/>
      <c r="F971" s="8"/>
      <c r="G971" s="3" t="str" cm="1">
        <f t="array" ref="G971">IF(ISBLANK(F971), "", IFERROR(_xlfn.IFS(LEFT(F971,1)="+", (VALUE(MID(F971,2,LEN(F971)))+100)/100, VALUE(F971)&gt;0, (F971+100)/100, VALUE(F971)&lt;0, (ABS(F971)+100)/ABS(F971), F971=0, 0), ""))</f>
        <v/>
      </c>
      <c r="H971" s="1"/>
      <c r="I971" s="4" t="str">
        <f>IF(Bet_Log[[#This Row],[Result ]]="", "", IF(Bet_Log[[#This Row],[Result ]]="Win", Bet_Log[[#This Row],[Stake]]*Bet_Log[[#This Row],[Decimal]]-Bet_Log[[#This Row],[Stake]], IF(Bet_Log[[#This Row],[Result ]]="Loss", -Bet_Log[[#This Row],[Stake]], IF(Bet_Log[[#This Row],[Result ]]="Push", 0, ""))))</f>
        <v/>
      </c>
      <c r="J971" s="2" t="str">
        <f>IF(Bet_Log[[#This Row],[Return]]="", "", J970 + Bet_Log[[#This Row],[Return]])</f>
        <v/>
      </c>
      <c r="K971" s="9"/>
    </row>
    <row r="972" spans="1:11" x14ac:dyDescent="0.2">
      <c r="A972" s="27"/>
      <c r="B972" s="1"/>
      <c r="C972" s="6"/>
      <c r="D972" s="1"/>
      <c r="E972" s="7"/>
      <c r="F972" s="8"/>
      <c r="G972" s="3" t="str" cm="1">
        <f t="array" ref="G972">IF(ISBLANK(F972), "", IFERROR(_xlfn.IFS(LEFT(F972,1)="+", (VALUE(MID(F972,2,LEN(F972)))+100)/100, VALUE(F972)&gt;0, (F972+100)/100, VALUE(F972)&lt;0, (ABS(F972)+100)/ABS(F972), F972=0, 0), ""))</f>
        <v/>
      </c>
      <c r="H972" s="1"/>
      <c r="I972" s="4" t="str">
        <f>IF(Bet_Log[[#This Row],[Result ]]="", "", IF(Bet_Log[[#This Row],[Result ]]="Win", Bet_Log[[#This Row],[Stake]]*Bet_Log[[#This Row],[Decimal]]-Bet_Log[[#This Row],[Stake]], IF(Bet_Log[[#This Row],[Result ]]="Loss", -Bet_Log[[#This Row],[Stake]], IF(Bet_Log[[#This Row],[Result ]]="Push", 0, ""))))</f>
        <v/>
      </c>
      <c r="J972" s="2" t="str">
        <f>IF(Bet_Log[[#This Row],[Return]]="", "", J971 + Bet_Log[[#This Row],[Return]])</f>
        <v/>
      </c>
      <c r="K972" s="9"/>
    </row>
    <row r="973" spans="1:11" x14ac:dyDescent="0.2">
      <c r="A973" s="27"/>
      <c r="B973" s="1"/>
      <c r="C973" s="6"/>
      <c r="D973" s="1"/>
      <c r="E973" s="7"/>
      <c r="F973" s="8"/>
      <c r="G973" s="3" t="str" cm="1">
        <f t="array" ref="G973">IF(ISBLANK(F973), "", IFERROR(_xlfn.IFS(LEFT(F973,1)="+", (VALUE(MID(F973,2,LEN(F973)))+100)/100, VALUE(F973)&gt;0, (F973+100)/100, VALUE(F973)&lt;0, (ABS(F973)+100)/ABS(F973), F973=0, 0), ""))</f>
        <v/>
      </c>
      <c r="H973" s="1"/>
      <c r="I973" s="4" t="str">
        <f>IF(Bet_Log[[#This Row],[Result ]]="", "", IF(Bet_Log[[#This Row],[Result ]]="Win", Bet_Log[[#This Row],[Stake]]*Bet_Log[[#This Row],[Decimal]]-Bet_Log[[#This Row],[Stake]], IF(Bet_Log[[#This Row],[Result ]]="Loss", -Bet_Log[[#This Row],[Stake]], IF(Bet_Log[[#This Row],[Result ]]="Push", 0, ""))))</f>
        <v/>
      </c>
      <c r="J973" s="2" t="str">
        <f>IF(Bet_Log[[#This Row],[Return]]="", "", J972 + Bet_Log[[#This Row],[Return]])</f>
        <v/>
      </c>
      <c r="K973" s="9"/>
    </row>
    <row r="974" spans="1:11" x14ac:dyDescent="0.2">
      <c r="A974" s="27"/>
      <c r="B974" s="1"/>
      <c r="C974" s="6"/>
      <c r="D974" s="1"/>
      <c r="E974" s="7"/>
      <c r="F974" s="8"/>
      <c r="G974" s="3" t="str" cm="1">
        <f t="array" ref="G974">IF(ISBLANK(F974), "", IFERROR(_xlfn.IFS(LEFT(F974,1)="+", (VALUE(MID(F974,2,LEN(F974)))+100)/100, VALUE(F974)&gt;0, (F974+100)/100, VALUE(F974)&lt;0, (ABS(F974)+100)/ABS(F974), F974=0, 0), ""))</f>
        <v/>
      </c>
      <c r="H974" s="1"/>
      <c r="I974" s="4" t="str">
        <f>IF(Bet_Log[[#This Row],[Result ]]="", "", IF(Bet_Log[[#This Row],[Result ]]="Win", Bet_Log[[#This Row],[Stake]]*Bet_Log[[#This Row],[Decimal]]-Bet_Log[[#This Row],[Stake]], IF(Bet_Log[[#This Row],[Result ]]="Loss", -Bet_Log[[#This Row],[Stake]], IF(Bet_Log[[#This Row],[Result ]]="Push", 0, ""))))</f>
        <v/>
      </c>
      <c r="J974" s="2" t="str">
        <f>IF(Bet_Log[[#This Row],[Return]]="", "", J973 + Bet_Log[[#This Row],[Return]])</f>
        <v/>
      </c>
      <c r="K974" s="9"/>
    </row>
    <row r="975" spans="1:11" x14ac:dyDescent="0.2">
      <c r="A975" s="27"/>
      <c r="B975" s="1"/>
      <c r="C975" s="6"/>
      <c r="D975" s="1"/>
      <c r="E975" s="7"/>
      <c r="F975" s="8"/>
      <c r="G975" s="3" t="str" cm="1">
        <f t="array" ref="G975">IF(ISBLANK(F975), "", IFERROR(_xlfn.IFS(LEFT(F975,1)="+", (VALUE(MID(F975,2,LEN(F975)))+100)/100, VALUE(F975)&gt;0, (F975+100)/100, VALUE(F975)&lt;0, (ABS(F975)+100)/ABS(F975), F975=0, 0), ""))</f>
        <v/>
      </c>
      <c r="H975" s="1"/>
      <c r="I975" s="4" t="str">
        <f>IF(Bet_Log[[#This Row],[Result ]]="", "", IF(Bet_Log[[#This Row],[Result ]]="Win", Bet_Log[[#This Row],[Stake]]*Bet_Log[[#This Row],[Decimal]]-Bet_Log[[#This Row],[Stake]], IF(Bet_Log[[#This Row],[Result ]]="Loss", -Bet_Log[[#This Row],[Stake]], IF(Bet_Log[[#This Row],[Result ]]="Push", 0, ""))))</f>
        <v/>
      </c>
      <c r="J975" s="2" t="str">
        <f>IF(Bet_Log[[#This Row],[Return]]="", "", J974 + Bet_Log[[#This Row],[Return]])</f>
        <v/>
      </c>
      <c r="K975" s="9"/>
    </row>
    <row r="976" spans="1:11" x14ac:dyDescent="0.2">
      <c r="A976" s="27"/>
      <c r="B976" s="1"/>
      <c r="C976" s="6"/>
      <c r="D976" s="1"/>
      <c r="E976" s="7"/>
      <c r="F976" s="8"/>
      <c r="G976" s="3" t="str" cm="1">
        <f t="array" ref="G976">IF(ISBLANK(F976), "", IFERROR(_xlfn.IFS(LEFT(F976,1)="+", (VALUE(MID(F976,2,LEN(F976)))+100)/100, VALUE(F976)&gt;0, (F976+100)/100, VALUE(F976)&lt;0, (ABS(F976)+100)/ABS(F976), F976=0, 0), ""))</f>
        <v/>
      </c>
      <c r="H976" s="1"/>
      <c r="I976" s="4" t="str">
        <f>IF(Bet_Log[[#This Row],[Result ]]="", "", IF(Bet_Log[[#This Row],[Result ]]="Win", Bet_Log[[#This Row],[Stake]]*Bet_Log[[#This Row],[Decimal]]-Bet_Log[[#This Row],[Stake]], IF(Bet_Log[[#This Row],[Result ]]="Loss", -Bet_Log[[#This Row],[Stake]], IF(Bet_Log[[#This Row],[Result ]]="Push", 0, ""))))</f>
        <v/>
      </c>
      <c r="J976" s="2" t="str">
        <f>IF(Bet_Log[[#This Row],[Return]]="", "", J975 + Bet_Log[[#This Row],[Return]])</f>
        <v/>
      </c>
      <c r="K976" s="9"/>
    </row>
    <row r="977" spans="1:11" x14ac:dyDescent="0.2">
      <c r="A977" s="27"/>
      <c r="B977" s="1"/>
      <c r="C977" s="6"/>
      <c r="D977" s="1"/>
      <c r="E977" s="7"/>
      <c r="F977" s="8"/>
      <c r="G977" s="3" t="str" cm="1">
        <f t="array" ref="G977">IF(ISBLANK(F977), "", IFERROR(_xlfn.IFS(LEFT(F977,1)="+", (VALUE(MID(F977,2,LEN(F977)))+100)/100, VALUE(F977)&gt;0, (F977+100)/100, VALUE(F977)&lt;0, (ABS(F977)+100)/ABS(F977), F977=0, 0), ""))</f>
        <v/>
      </c>
      <c r="H977" s="1"/>
      <c r="I977" s="4" t="str">
        <f>IF(Bet_Log[[#This Row],[Result ]]="", "", IF(Bet_Log[[#This Row],[Result ]]="Win", Bet_Log[[#This Row],[Stake]]*Bet_Log[[#This Row],[Decimal]]-Bet_Log[[#This Row],[Stake]], IF(Bet_Log[[#This Row],[Result ]]="Loss", -Bet_Log[[#This Row],[Stake]], IF(Bet_Log[[#This Row],[Result ]]="Push", 0, ""))))</f>
        <v/>
      </c>
      <c r="J977" s="2" t="str">
        <f>IF(Bet_Log[[#This Row],[Return]]="", "", J976 + Bet_Log[[#This Row],[Return]])</f>
        <v/>
      </c>
      <c r="K977" s="9"/>
    </row>
    <row r="978" spans="1:11" x14ac:dyDescent="0.2">
      <c r="A978" s="27"/>
      <c r="B978" s="1"/>
      <c r="C978" s="6"/>
      <c r="D978" s="1"/>
      <c r="E978" s="7"/>
      <c r="F978" s="8"/>
      <c r="G978" s="3" t="str" cm="1">
        <f t="array" ref="G978">IF(ISBLANK(F978), "", IFERROR(_xlfn.IFS(LEFT(F978,1)="+", (VALUE(MID(F978,2,LEN(F978)))+100)/100, VALUE(F978)&gt;0, (F978+100)/100, VALUE(F978)&lt;0, (ABS(F978)+100)/ABS(F978), F978=0, 0), ""))</f>
        <v/>
      </c>
      <c r="H978" s="1"/>
      <c r="I978" s="4" t="str">
        <f>IF(Bet_Log[[#This Row],[Result ]]="", "", IF(Bet_Log[[#This Row],[Result ]]="Win", Bet_Log[[#This Row],[Stake]]*Bet_Log[[#This Row],[Decimal]]-Bet_Log[[#This Row],[Stake]], IF(Bet_Log[[#This Row],[Result ]]="Loss", -Bet_Log[[#This Row],[Stake]], IF(Bet_Log[[#This Row],[Result ]]="Push", 0, ""))))</f>
        <v/>
      </c>
      <c r="J978" s="2" t="str">
        <f>IF(Bet_Log[[#This Row],[Return]]="", "", J977 + Bet_Log[[#This Row],[Return]])</f>
        <v/>
      </c>
      <c r="K978" s="9"/>
    </row>
    <row r="979" spans="1:11" x14ac:dyDescent="0.2">
      <c r="A979" s="27"/>
      <c r="B979" s="1"/>
      <c r="C979" s="6"/>
      <c r="D979" s="1"/>
      <c r="E979" s="7"/>
      <c r="F979" s="8"/>
      <c r="G979" s="3" t="str" cm="1">
        <f t="array" ref="G979">IF(ISBLANK(F979), "", IFERROR(_xlfn.IFS(LEFT(F979,1)="+", (VALUE(MID(F979,2,LEN(F979)))+100)/100, VALUE(F979)&gt;0, (F979+100)/100, VALUE(F979)&lt;0, (ABS(F979)+100)/ABS(F979), F979=0, 0), ""))</f>
        <v/>
      </c>
      <c r="H979" s="1"/>
      <c r="I979" s="4" t="str">
        <f>IF(Bet_Log[[#This Row],[Result ]]="", "", IF(Bet_Log[[#This Row],[Result ]]="Win", Bet_Log[[#This Row],[Stake]]*Bet_Log[[#This Row],[Decimal]]-Bet_Log[[#This Row],[Stake]], IF(Bet_Log[[#This Row],[Result ]]="Loss", -Bet_Log[[#This Row],[Stake]], IF(Bet_Log[[#This Row],[Result ]]="Push", 0, ""))))</f>
        <v/>
      </c>
      <c r="J979" s="2" t="str">
        <f>IF(Bet_Log[[#This Row],[Return]]="", "", J978 + Bet_Log[[#This Row],[Return]])</f>
        <v/>
      </c>
      <c r="K979" s="9"/>
    </row>
    <row r="980" spans="1:11" x14ac:dyDescent="0.2">
      <c r="A980" s="27"/>
      <c r="B980" s="1"/>
      <c r="C980" s="6"/>
      <c r="D980" s="1"/>
      <c r="E980" s="7"/>
      <c r="F980" s="8"/>
      <c r="G980" s="3" t="str" cm="1">
        <f t="array" ref="G980">IF(ISBLANK(F980), "", IFERROR(_xlfn.IFS(LEFT(F980,1)="+", (VALUE(MID(F980,2,LEN(F980)))+100)/100, VALUE(F980)&gt;0, (F980+100)/100, VALUE(F980)&lt;0, (ABS(F980)+100)/ABS(F980), F980=0, 0), ""))</f>
        <v/>
      </c>
      <c r="H980" s="1"/>
      <c r="I980" s="4" t="str">
        <f>IF(Bet_Log[[#This Row],[Result ]]="", "", IF(Bet_Log[[#This Row],[Result ]]="Win", Bet_Log[[#This Row],[Stake]]*Bet_Log[[#This Row],[Decimal]]-Bet_Log[[#This Row],[Stake]], IF(Bet_Log[[#This Row],[Result ]]="Loss", -Bet_Log[[#This Row],[Stake]], IF(Bet_Log[[#This Row],[Result ]]="Push", 0, ""))))</f>
        <v/>
      </c>
      <c r="J980" s="2" t="str">
        <f>IF(Bet_Log[[#This Row],[Return]]="", "", J979 + Bet_Log[[#This Row],[Return]])</f>
        <v/>
      </c>
      <c r="K980" s="9"/>
    </row>
    <row r="981" spans="1:11" x14ac:dyDescent="0.2">
      <c r="A981" s="27"/>
      <c r="B981" s="1"/>
      <c r="C981" s="6"/>
      <c r="D981" s="1"/>
      <c r="E981" s="7"/>
      <c r="F981" s="8"/>
      <c r="G981" s="3" t="str" cm="1">
        <f t="array" ref="G981">IF(ISBLANK(F981), "", IFERROR(_xlfn.IFS(LEFT(F981,1)="+", (VALUE(MID(F981,2,LEN(F981)))+100)/100, VALUE(F981)&gt;0, (F981+100)/100, VALUE(F981)&lt;0, (ABS(F981)+100)/ABS(F981), F981=0, 0), ""))</f>
        <v/>
      </c>
      <c r="H981" s="1"/>
      <c r="I981" s="4" t="str">
        <f>IF(Bet_Log[[#This Row],[Result ]]="", "", IF(Bet_Log[[#This Row],[Result ]]="Win", Bet_Log[[#This Row],[Stake]]*Bet_Log[[#This Row],[Decimal]]-Bet_Log[[#This Row],[Stake]], IF(Bet_Log[[#This Row],[Result ]]="Loss", -Bet_Log[[#This Row],[Stake]], IF(Bet_Log[[#This Row],[Result ]]="Push", 0, ""))))</f>
        <v/>
      </c>
      <c r="J981" s="2" t="str">
        <f>IF(Bet_Log[[#This Row],[Return]]="", "", J980 + Bet_Log[[#This Row],[Return]])</f>
        <v/>
      </c>
      <c r="K981" s="9"/>
    </row>
    <row r="982" spans="1:11" x14ac:dyDescent="0.2">
      <c r="A982" s="27"/>
      <c r="B982" s="1"/>
      <c r="C982" s="6"/>
      <c r="D982" s="1"/>
      <c r="E982" s="7"/>
      <c r="F982" s="8"/>
      <c r="G982" s="3" t="str" cm="1">
        <f t="array" ref="G982">IF(ISBLANK(F982), "", IFERROR(_xlfn.IFS(LEFT(F982,1)="+", (VALUE(MID(F982,2,LEN(F982)))+100)/100, VALUE(F982)&gt;0, (F982+100)/100, VALUE(F982)&lt;0, (ABS(F982)+100)/ABS(F982), F982=0, 0), ""))</f>
        <v/>
      </c>
      <c r="H982" s="1"/>
      <c r="I982" s="4" t="str">
        <f>IF(Bet_Log[[#This Row],[Result ]]="", "", IF(Bet_Log[[#This Row],[Result ]]="Win", Bet_Log[[#This Row],[Stake]]*Bet_Log[[#This Row],[Decimal]]-Bet_Log[[#This Row],[Stake]], IF(Bet_Log[[#This Row],[Result ]]="Loss", -Bet_Log[[#This Row],[Stake]], IF(Bet_Log[[#This Row],[Result ]]="Push", 0, ""))))</f>
        <v/>
      </c>
      <c r="J982" s="2" t="str">
        <f>IF(Bet_Log[[#This Row],[Return]]="", "", J981 + Bet_Log[[#This Row],[Return]])</f>
        <v/>
      </c>
      <c r="K982" s="9"/>
    </row>
    <row r="983" spans="1:11" x14ac:dyDescent="0.2">
      <c r="A983" s="27"/>
      <c r="B983" s="1"/>
      <c r="C983" s="6"/>
      <c r="D983" s="1"/>
      <c r="E983" s="7"/>
      <c r="F983" s="8"/>
      <c r="G983" s="3" t="str" cm="1">
        <f t="array" ref="G983">IF(ISBLANK(F983), "", IFERROR(_xlfn.IFS(LEFT(F983,1)="+", (VALUE(MID(F983,2,LEN(F983)))+100)/100, VALUE(F983)&gt;0, (F983+100)/100, VALUE(F983)&lt;0, (ABS(F983)+100)/ABS(F983), F983=0, 0), ""))</f>
        <v/>
      </c>
      <c r="H983" s="1"/>
      <c r="I983" s="4" t="str">
        <f>IF(Bet_Log[[#This Row],[Result ]]="", "", IF(Bet_Log[[#This Row],[Result ]]="Win", Bet_Log[[#This Row],[Stake]]*Bet_Log[[#This Row],[Decimal]]-Bet_Log[[#This Row],[Stake]], IF(Bet_Log[[#This Row],[Result ]]="Loss", -Bet_Log[[#This Row],[Stake]], IF(Bet_Log[[#This Row],[Result ]]="Push", 0, ""))))</f>
        <v/>
      </c>
      <c r="J983" s="2" t="str">
        <f>IF(Bet_Log[[#This Row],[Return]]="", "", J982 + Bet_Log[[#This Row],[Return]])</f>
        <v/>
      </c>
      <c r="K983" s="9"/>
    </row>
    <row r="984" spans="1:11" x14ac:dyDescent="0.2">
      <c r="A984" s="27"/>
      <c r="B984" s="1"/>
      <c r="C984" s="6"/>
      <c r="D984" s="1"/>
      <c r="E984" s="7"/>
      <c r="F984" s="8"/>
      <c r="G984" s="3" t="str" cm="1">
        <f t="array" ref="G984">IF(ISBLANK(F984), "", IFERROR(_xlfn.IFS(LEFT(F984,1)="+", (VALUE(MID(F984,2,LEN(F984)))+100)/100, VALUE(F984)&gt;0, (F984+100)/100, VALUE(F984)&lt;0, (ABS(F984)+100)/ABS(F984), F984=0, 0), ""))</f>
        <v/>
      </c>
      <c r="H984" s="1"/>
      <c r="I984" s="4" t="str">
        <f>IF(Bet_Log[[#This Row],[Result ]]="", "", IF(Bet_Log[[#This Row],[Result ]]="Win", Bet_Log[[#This Row],[Stake]]*Bet_Log[[#This Row],[Decimal]]-Bet_Log[[#This Row],[Stake]], IF(Bet_Log[[#This Row],[Result ]]="Loss", -Bet_Log[[#This Row],[Stake]], IF(Bet_Log[[#This Row],[Result ]]="Push", 0, ""))))</f>
        <v/>
      </c>
      <c r="J984" s="2" t="str">
        <f>IF(Bet_Log[[#This Row],[Return]]="", "", J983 + Bet_Log[[#This Row],[Return]])</f>
        <v/>
      </c>
      <c r="K984" s="9"/>
    </row>
    <row r="985" spans="1:11" x14ac:dyDescent="0.2">
      <c r="A985" s="27"/>
      <c r="B985" s="1"/>
      <c r="C985" s="6"/>
      <c r="D985" s="1"/>
      <c r="E985" s="7"/>
      <c r="F985" s="8"/>
      <c r="G985" s="3" t="str" cm="1">
        <f t="array" ref="G985">IF(ISBLANK(F985), "", IFERROR(_xlfn.IFS(LEFT(F985,1)="+", (VALUE(MID(F985,2,LEN(F985)))+100)/100, VALUE(F985)&gt;0, (F985+100)/100, VALUE(F985)&lt;0, (ABS(F985)+100)/ABS(F985), F985=0, 0), ""))</f>
        <v/>
      </c>
      <c r="H985" s="1"/>
      <c r="I985" s="4" t="str">
        <f>IF(Bet_Log[[#This Row],[Result ]]="", "", IF(Bet_Log[[#This Row],[Result ]]="Win", Bet_Log[[#This Row],[Stake]]*Bet_Log[[#This Row],[Decimal]]-Bet_Log[[#This Row],[Stake]], IF(Bet_Log[[#This Row],[Result ]]="Loss", -Bet_Log[[#This Row],[Stake]], IF(Bet_Log[[#This Row],[Result ]]="Push", 0, ""))))</f>
        <v/>
      </c>
      <c r="J985" s="2" t="str">
        <f>IF(Bet_Log[[#This Row],[Return]]="", "", J984 + Bet_Log[[#This Row],[Return]])</f>
        <v/>
      </c>
      <c r="K985" s="9"/>
    </row>
    <row r="986" spans="1:11" x14ac:dyDescent="0.2">
      <c r="A986" s="27"/>
      <c r="B986" s="1"/>
      <c r="C986" s="6"/>
      <c r="D986" s="1"/>
      <c r="E986" s="7"/>
      <c r="F986" s="8"/>
      <c r="G986" s="3" t="str" cm="1">
        <f t="array" ref="G986">IF(ISBLANK(F986), "", IFERROR(_xlfn.IFS(LEFT(F986,1)="+", (VALUE(MID(F986,2,LEN(F986)))+100)/100, VALUE(F986)&gt;0, (F986+100)/100, VALUE(F986)&lt;0, (ABS(F986)+100)/ABS(F986), F986=0, 0), ""))</f>
        <v/>
      </c>
      <c r="H986" s="1"/>
      <c r="I986" s="4" t="str">
        <f>IF(Bet_Log[[#This Row],[Result ]]="", "", IF(Bet_Log[[#This Row],[Result ]]="Win", Bet_Log[[#This Row],[Stake]]*Bet_Log[[#This Row],[Decimal]]-Bet_Log[[#This Row],[Stake]], IF(Bet_Log[[#This Row],[Result ]]="Loss", -Bet_Log[[#This Row],[Stake]], IF(Bet_Log[[#This Row],[Result ]]="Push", 0, ""))))</f>
        <v/>
      </c>
      <c r="J986" s="2" t="str">
        <f>IF(Bet_Log[[#This Row],[Return]]="", "", J985 + Bet_Log[[#This Row],[Return]])</f>
        <v/>
      </c>
      <c r="K986" s="9"/>
    </row>
    <row r="987" spans="1:11" x14ac:dyDescent="0.2">
      <c r="A987" s="27"/>
      <c r="B987" s="1"/>
      <c r="C987" s="6"/>
      <c r="D987" s="1"/>
      <c r="E987" s="7"/>
      <c r="F987" s="8"/>
      <c r="G987" s="3" t="str" cm="1">
        <f t="array" ref="G987">IF(ISBLANK(F987), "", IFERROR(_xlfn.IFS(LEFT(F987,1)="+", (VALUE(MID(F987,2,LEN(F987)))+100)/100, VALUE(F987)&gt;0, (F987+100)/100, VALUE(F987)&lt;0, (ABS(F987)+100)/ABS(F987), F987=0, 0), ""))</f>
        <v/>
      </c>
      <c r="H987" s="1"/>
      <c r="I987" s="4" t="str">
        <f>IF(Bet_Log[[#This Row],[Result ]]="", "", IF(Bet_Log[[#This Row],[Result ]]="Win", Bet_Log[[#This Row],[Stake]]*Bet_Log[[#This Row],[Decimal]]-Bet_Log[[#This Row],[Stake]], IF(Bet_Log[[#This Row],[Result ]]="Loss", -Bet_Log[[#This Row],[Stake]], IF(Bet_Log[[#This Row],[Result ]]="Push", 0, ""))))</f>
        <v/>
      </c>
      <c r="J987" s="2" t="str">
        <f>IF(Bet_Log[[#This Row],[Return]]="", "", J986 + Bet_Log[[#This Row],[Return]])</f>
        <v/>
      </c>
      <c r="K987" s="9"/>
    </row>
    <row r="988" spans="1:11" x14ac:dyDescent="0.2">
      <c r="A988" s="27"/>
      <c r="B988" s="1"/>
      <c r="C988" s="6"/>
      <c r="D988" s="1"/>
      <c r="E988" s="7"/>
      <c r="F988" s="8"/>
      <c r="G988" s="3" t="str" cm="1">
        <f t="array" ref="G988">IF(ISBLANK(F988), "", IFERROR(_xlfn.IFS(LEFT(F988,1)="+", (VALUE(MID(F988,2,LEN(F988)))+100)/100, VALUE(F988)&gt;0, (F988+100)/100, VALUE(F988)&lt;0, (ABS(F988)+100)/ABS(F988), F988=0, 0), ""))</f>
        <v/>
      </c>
      <c r="H988" s="1"/>
      <c r="I988" s="4" t="str">
        <f>IF(Bet_Log[[#This Row],[Result ]]="", "", IF(Bet_Log[[#This Row],[Result ]]="Win", Bet_Log[[#This Row],[Stake]]*Bet_Log[[#This Row],[Decimal]]-Bet_Log[[#This Row],[Stake]], IF(Bet_Log[[#This Row],[Result ]]="Loss", -Bet_Log[[#This Row],[Stake]], IF(Bet_Log[[#This Row],[Result ]]="Push", 0, ""))))</f>
        <v/>
      </c>
      <c r="J988" s="2" t="str">
        <f>IF(Bet_Log[[#This Row],[Return]]="", "", J987 + Bet_Log[[#This Row],[Return]])</f>
        <v/>
      </c>
      <c r="K988" s="9"/>
    </row>
    <row r="989" spans="1:11" x14ac:dyDescent="0.2">
      <c r="A989" s="27"/>
      <c r="B989" s="1"/>
      <c r="C989" s="6"/>
      <c r="D989" s="1"/>
      <c r="E989" s="7"/>
      <c r="F989" s="8"/>
      <c r="G989" s="3" t="str" cm="1">
        <f t="array" ref="G989">IF(ISBLANK(F989), "", IFERROR(_xlfn.IFS(LEFT(F989,1)="+", (VALUE(MID(F989,2,LEN(F989)))+100)/100, VALUE(F989)&gt;0, (F989+100)/100, VALUE(F989)&lt;0, (ABS(F989)+100)/ABS(F989), F989=0, 0), ""))</f>
        <v/>
      </c>
      <c r="H989" s="1"/>
      <c r="I989" s="4" t="str">
        <f>IF(Bet_Log[[#This Row],[Result ]]="", "", IF(Bet_Log[[#This Row],[Result ]]="Win", Bet_Log[[#This Row],[Stake]]*Bet_Log[[#This Row],[Decimal]]-Bet_Log[[#This Row],[Stake]], IF(Bet_Log[[#This Row],[Result ]]="Loss", -Bet_Log[[#This Row],[Stake]], IF(Bet_Log[[#This Row],[Result ]]="Push", 0, ""))))</f>
        <v/>
      </c>
      <c r="J989" s="2" t="str">
        <f>IF(Bet_Log[[#This Row],[Return]]="", "", J988 + Bet_Log[[#This Row],[Return]])</f>
        <v/>
      </c>
      <c r="K989" s="9"/>
    </row>
    <row r="990" spans="1:11" x14ac:dyDescent="0.2">
      <c r="A990" s="27"/>
      <c r="B990" s="1"/>
      <c r="C990" s="6"/>
      <c r="D990" s="1"/>
      <c r="E990" s="7"/>
      <c r="F990" s="8"/>
      <c r="G990" s="3" t="str" cm="1">
        <f t="array" ref="G990">IF(ISBLANK(F990), "", IFERROR(_xlfn.IFS(LEFT(F990,1)="+", (VALUE(MID(F990,2,LEN(F990)))+100)/100, VALUE(F990)&gt;0, (F990+100)/100, VALUE(F990)&lt;0, (ABS(F990)+100)/ABS(F990), F990=0, 0), ""))</f>
        <v/>
      </c>
      <c r="H990" s="1"/>
      <c r="I990" s="4" t="str">
        <f>IF(Bet_Log[[#This Row],[Result ]]="", "", IF(Bet_Log[[#This Row],[Result ]]="Win", Bet_Log[[#This Row],[Stake]]*Bet_Log[[#This Row],[Decimal]]-Bet_Log[[#This Row],[Stake]], IF(Bet_Log[[#This Row],[Result ]]="Loss", -Bet_Log[[#This Row],[Stake]], IF(Bet_Log[[#This Row],[Result ]]="Push", 0, ""))))</f>
        <v/>
      </c>
      <c r="J990" s="2" t="str">
        <f>IF(Bet_Log[[#This Row],[Return]]="", "", J989 + Bet_Log[[#This Row],[Return]])</f>
        <v/>
      </c>
      <c r="K990" s="9"/>
    </row>
    <row r="991" spans="1:11" x14ac:dyDescent="0.2">
      <c r="A991" s="27"/>
      <c r="B991" s="1"/>
      <c r="C991" s="6"/>
      <c r="D991" s="1"/>
      <c r="E991" s="7"/>
      <c r="F991" s="8"/>
      <c r="G991" s="3" t="str" cm="1">
        <f t="array" ref="G991">IF(ISBLANK(F991), "", IFERROR(_xlfn.IFS(LEFT(F991,1)="+", (VALUE(MID(F991,2,LEN(F991)))+100)/100, VALUE(F991)&gt;0, (F991+100)/100, VALUE(F991)&lt;0, (ABS(F991)+100)/ABS(F991), F991=0, 0), ""))</f>
        <v/>
      </c>
      <c r="H991" s="1"/>
      <c r="I991" s="4" t="str">
        <f>IF(Bet_Log[[#This Row],[Result ]]="", "", IF(Bet_Log[[#This Row],[Result ]]="Win", Bet_Log[[#This Row],[Stake]]*Bet_Log[[#This Row],[Decimal]]-Bet_Log[[#This Row],[Stake]], IF(Bet_Log[[#This Row],[Result ]]="Loss", -Bet_Log[[#This Row],[Stake]], IF(Bet_Log[[#This Row],[Result ]]="Push", 0, ""))))</f>
        <v/>
      </c>
      <c r="J991" s="2" t="str">
        <f>IF(Bet_Log[[#This Row],[Return]]="", "", J990 + Bet_Log[[#This Row],[Return]])</f>
        <v/>
      </c>
      <c r="K991" s="9"/>
    </row>
    <row r="992" spans="1:11" x14ac:dyDescent="0.2">
      <c r="A992" s="27"/>
      <c r="B992" s="1"/>
      <c r="C992" s="6"/>
      <c r="D992" s="1"/>
      <c r="E992" s="7"/>
      <c r="F992" s="8"/>
      <c r="G992" s="3" t="str" cm="1">
        <f t="array" ref="G992">IF(ISBLANK(F992), "", IFERROR(_xlfn.IFS(LEFT(F992,1)="+", (VALUE(MID(F992,2,LEN(F992)))+100)/100, VALUE(F992)&gt;0, (F992+100)/100, VALUE(F992)&lt;0, (ABS(F992)+100)/ABS(F992), F992=0, 0), ""))</f>
        <v/>
      </c>
      <c r="H992" s="1"/>
      <c r="I992" s="4" t="str">
        <f>IF(Bet_Log[[#This Row],[Result ]]="", "", IF(Bet_Log[[#This Row],[Result ]]="Win", Bet_Log[[#This Row],[Stake]]*Bet_Log[[#This Row],[Decimal]]-Bet_Log[[#This Row],[Stake]], IF(Bet_Log[[#This Row],[Result ]]="Loss", -Bet_Log[[#This Row],[Stake]], IF(Bet_Log[[#This Row],[Result ]]="Push", 0, ""))))</f>
        <v/>
      </c>
      <c r="J992" s="2" t="str">
        <f>IF(Bet_Log[[#This Row],[Return]]="", "", J991 + Bet_Log[[#This Row],[Return]])</f>
        <v/>
      </c>
      <c r="K992" s="9"/>
    </row>
    <row r="993" spans="1:11" x14ac:dyDescent="0.2">
      <c r="A993" s="27"/>
      <c r="B993" s="1"/>
      <c r="C993" s="6"/>
      <c r="D993" s="1"/>
      <c r="E993" s="7"/>
      <c r="F993" s="8"/>
      <c r="G993" s="3" t="str" cm="1">
        <f t="array" ref="G993">IF(ISBLANK(F993), "", IFERROR(_xlfn.IFS(LEFT(F993,1)="+", (VALUE(MID(F993,2,LEN(F993)))+100)/100, VALUE(F993)&gt;0, (F993+100)/100, VALUE(F993)&lt;0, (ABS(F993)+100)/ABS(F993), F993=0, 0), ""))</f>
        <v/>
      </c>
      <c r="H993" s="1"/>
      <c r="I993" s="4" t="str">
        <f>IF(Bet_Log[[#This Row],[Result ]]="", "", IF(Bet_Log[[#This Row],[Result ]]="Win", Bet_Log[[#This Row],[Stake]]*Bet_Log[[#This Row],[Decimal]]-Bet_Log[[#This Row],[Stake]], IF(Bet_Log[[#This Row],[Result ]]="Loss", -Bet_Log[[#This Row],[Stake]], IF(Bet_Log[[#This Row],[Result ]]="Push", 0, ""))))</f>
        <v/>
      </c>
      <c r="J993" s="2" t="str">
        <f>IF(Bet_Log[[#This Row],[Return]]="", "", J992 + Bet_Log[[#This Row],[Return]])</f>
        <v/>
      </c>
      <c r="K993" s="9"/>
    </row>
    <row r="994" spans="1:11" x14ac:dyDescent="0.2">
      <c r="A994" s="27"/>
      <c r="B994" s="1"/>
      <c r="C994" s="6"/>
      <c r="D994" s="1"/>
      <c r="E994" s="7"/>
      <c r="F994" s="8"/>
      <c r="G994" s="3" t="str" cm="1">
        <f t="array" ref="G994">IF(ISBLANK(F994), "", IFERROR(_xlfn.IFS(LEFT(F994,1)="+", (VALUE(MID(F994,2,LEN(F994)))+100)/100, VALUE(F994)&gt;0, (F994+100)/100, VALUE(F994)&lt;0, (ABS(F994)+100)/ABS(F994), F994=0, 0), ""))</f>
        <v/>
      </c>
      <c r="H994" s="1"/>
      <c r="I994" s="4" t="str">
        <f>IF(Bet_Log[[#This Row],[Result ]]="", "", IF(Bet_Log[[#This Row],[Result ]]="Win", Bet_Log[[#This Row],[Stake]]*Bet_Log[[#This Row],[Decimal]]-Bet_Log[[#This Row],[Stake]], IF(Bet_Log[[#This Row],[Result ]]="Loss", -Bet_Log[[#This Row],[Stake]], IF(Bet_Log[[#This Row],[Result ]]="Push", 0, ""))))</f>
        <v/>
      </c>
      <c r="J994" s="2" t="str">
        <f>IF(Bet_Log[[#This Row],[Return]]="", "", J993 + Bet_Log[[#This Row],[Return]])</f>
        <v/>
      </c>
      <c r="K994" s="9"/>
    </row>
    <row r="995" spans="1:11" x14ac:dyDescent="0.2">
      <c r="A995" s="27"/>
      <c r="B995" s="1"/>
      <c r="C995" s="6"/>
      <c r="D995" s="1"/>
      <c r="E995" s="7"/>
      <c r="F995" s="8"/>
      <c r="G995" s="3" t="str" cm="1">
        <f t="array" ref="G995">IF(ISBLANK(F995), "", IFERROR(_xlfn.IFS(LEFT(F995,1)="+", (VALUE(MID(F995,2,LEN(F995)))+100)/100, VALUE(F995)&gt;0, (F995+100)/100, VALUE(F995)&lt;0, (ABS(F995)+100)/ABS(F995), F995=0, 0), ""))</f>
        <v/>
      </c>
      <c r="H995" s="1"/>
      <c r="I995" s="4" t="str">
        <f>IF(Bet_Log[[#This Row],[Result ]]="", "", IF(Bet_Log[[#This Row],[Result ]]="Win", Bet_Log[[#This Row],[Stake]]*Bet_Log[[#This Row],[Decimal]]-Bet_Log[[#This Row],[Stake]], IF(Bet_Log[[#This Row],[Result ]]="Loss", -Bet_Log[[#This Row],[Stake]], IF(Bet_Log[[#This Row],[Result ]]="Push", 0, ""))))</f>
        <v/>
      </c>
      <c r="J995" s="2" t="str">
        <f>IF(Bet_Log[[#This Row],[Return]]="", "", J994 + Bet_Log[[#This Row],[Return]])</f>
        <v/>
      </c>
      <c r="K995" s="9"/>
    </row>
    <row r="996" spans="1:11" x14ac:dyDescent="0.2">
      <c r="A996" s="27"/>
      <c r="B996" s="1"/>
      <c r="C996" s="6"/>
      <c r="D996" s="1"/>
      <c r="E996" s="7"/>
      <c r="F996" s="8"/>
      <c r="G996" s="3" t="str" cm="1">
        <f t="array" ref="G996">IF(ISBLANK(F996), "", IFERROR(_xlfn.IFS(LEFT(F996,1)="+", (VALUE(MID(F996,2,LEN(F996)))+100)/100, VALUE(F996)&gt;0, (F996+100)/100, VALUE(F996)&lt;0, (ABS(F996)+100)/ABS(F996), F996=0, 0), ""))</f>
        <v/>
      </c>
      <c r="H996" s="1"/>
      <c r="I996" s="4" t="str">
        <f>IF(Bet_Log[[#This Row],[Result ]]="", "", IF(Bet_Log[[#This Row],[Result ]]="Win", Bet_Log[[#This Row],[Stake]]*Bet_Log[[#This Row],[Decimal]]-Bet_Log[[#This Row],[Stake]], IF(Bet_Log[[#This Row],[Result ]]="Loss", -Bet_Log[[#This Row],[Stake]], IF(Bet_Log[[#This Row],[Result ]]="Push", 0, ""))))</f>
        <v/>
      </c>
      <c r="J996" s="2" t="str">
        <f>IF(Bet_Log[[#This Row],[Return]]="", "", J995 + Bet_Log[[#This Row],[Return]])</f>
        <v/>
      </c>
      <c r="K996" s="9"/>
    </row>
    <row r="997" spans="1:11" x14ac:dyDescent="0.2">
      <c r="A997" s="27"/>
      <c r="B997" s="1"/>
      <c r="C997" s="6"/>
      <c r="D997" s="1"/>
      <c r="E997" s="7"/>
      <c r="F997" s="8"/>
      <c r="G997" s="3" t="str" cm="1">
        <f t="array" ref="G997">IF(ISBLANK(F997), "", IFERROR(_xlfn.IFS(LEFT(F997,1)="+", (VALUE(MID(F997,2,LEN(F997)))+100)/100, VALUE(F997)&gt;0, (F997+100)/100, VALUE(F997)&lt;0, (ABS(F997)+100)/ABS(F997), F997=0, 0), ""))</f>
        <v/>
      </c>
      <c r="H997" s="1"/>
      <c r="I997" s="4" t="str">
        <f>IF(Bet_Log[[#This Row],[Result ]]="", "", IF(Bet_Log[[#This Row],[Result ]]="Win", Bet_Log[[#This Row],[Stake]]*Bet_Log[[#This Row],[Decimal]]-Bet_Log[[#This Row],[Stake]], IF(Bet_Log[[#This Row],[Result ]]="Loss", -Bet_Log[[#This Row],[Stake]], IF(Bet_Log[[#This Row],[Result ]]="Push", 0, ""))))</f>
        <v/>
      </c>
      <c r="J997" s="2" t="str">
        <f>IF(Bet_Log[[#This Row],[Return]]="", "", J996 + Bet_Log[[#This Row],[Return]])</f>
        <v/>
      </c>
      <c r="K997" s="9"/>
    </row>
    <row r="998" spans="1:11" x14ac:dyDescent="0.2">
      <c r="A998" s="27"/>
      <c r="B998" s="1"/>
      <c r="C998" s="6"/>
      <c r="D998" s="1"/>
      <c r="E998" s="7"/>
      <c r="F998" s="8"/>
      <c r="G998" s="3" t="str" cm="1">
        <f t="array" ref="G998">IF(ISBLANK(F998), "", IFERROR(_xlfn.IFS(LEFT(F998,1)="+", (VALUE(MID(F998,2,LEN(F998)))+100)/100, VALUE(F998)&gt;0, (F998+100)/100, VALUE(F998)&lt;0, (ABS(F998)+100)/ABS(F998), F998=0, 0), ""))</f>
        <v/>
      </c>
      <c r="H998" s="1"/>
      <c r="I998" s="4" t="str">
        <f>IF(Bet_Log[[#This Row],[Result ]]="", "", IF(Bet_Log[[#This Row],[Result ]]="Win", Bet_Log[[#This Row],[Stake]]*Bet_Log[[#This Row],[Decimal]]-Bet_Log[[#This Row],[Stake]], IF(Bet_Log[[#This Row],[Result ]]="Loss", -Bet_Log[[#This Row],[Stake]], IF(Bet_Log[[#This Row],[Result ]]="Push", 0, ""))))</f>
        <v/>
      </c>
      <c r="J998" s="2" t="str">
        <f>IF(Bet_Log[[#This Row],[Return]]="", "", J997 + Bet_Log[[#This Row],[Return]])</f>
        <v/>
      </c>
      <c r="K998" s="9"/>
    </row>
    <row r="999" spans="1:11" x14ac:dyDescent="0.2">
      <c r="A999" s="27"/>
      <c r="B999" s="1"/>
      <c r="C999" s="6"/>
      <c r="D999" s="1"/>
      <c r="E999" s="7"/>
      <c r="F999" s="8"/>
      <c r="G999" s="3" t="str" cm="1">
        <f t="array" ref="G999">IF(ISBLANK(F999), "", IFERROR(_xlfn.IFS(LEFT(F999,1)="+", (VALUE(MID(F999,2,LEN(F999)))+100)/100, VALUE(F999)&gt;0, (F999+100)/100, VALUE(F999)&lt;0, (ABS(F999)+100)/ABS(F999), F999=0, 0), ""))</f>
        <v/>
      </c>
      <c r="H999" s="1"/>
      <c r="I999" s="4" t="str">
        <f>IF(Bet_Log[[#This Row],[Result ]]="", "", IF(Bet_Log[[#This Row],[Result ]]="Win", Bet_Log[[#This Row],[Stake]]*Bet_Log[[#This Row],[Decimal]]-Bet_Log[[#This Row],[Stake]], IF(Bet_Log[[#This Row],[Result ]]="Loss", -Bet_Log[[#This Row],[Stake]], IF(Bet_Log[[#This Row],[Result ]]="Push", 0, ""))))</f>
        <v/>
      </c>
      <c r="J999" s="2" t="str">
        <f>IF(Bet_Log[[#This Row],[Return]]="", "", J998 + Bet_Log[[#This Row],[Return]])</f>
        <v/>
      </c>
      <c r="K999" s="9"/>
    </row>
    <row r="1000" spans="1:11" x14ac:dyDescent="0.2">
      <c r="A1000" s="27"/>
      <c r="B1000" s="1"/>
      <c r="C1000" s="6"/>
      <c r="D1000" s="1"/>
      <c r="E1000" s="7"/>
      <c r="F1000" s="8"/>
      <c r="G1000" s="3" t="str" cm="1">
        <f t="array" ref="G1000">IF(ISBLANK(F1000), "", IFERROR(_xlfn.IFS(LEFT(F1000,1)="+", (VALUE(MID(F1000,2,LEN(F1000)))+100)/100, VALUE(F1000)&gt;0, (F1000+100)/100, VALUE(F1000)&lt;0, (ABS(F1000)+100)/ABS(F1000), F1000=0, 0), ""))</f>
        <v/>
      </c>
      <c r="H1000" s="1"/>
      <c r="I1000" s="4" t="str">
        <f>IF(Bet_Log[[#This Row],[Result ]]="", "", IF(Bet_Log[[#This Row],[Result ]]="Win", Bet_Log[[#This Row],[Stake]]*Bet_Log[[#This Row],[Decimal]]-Bet_Log[[#This Row],[Stake]], IF(Bet_Log[[#This Row],[Result ]]="Loss", -Bet_Log[[#This Row],[Stake]], IF(Bet_Log[[#This Row],[Result ]]="Push", 0, ""))))</f>
        <v/>
      </c>
      <c r="J1000" s="2" t="str">
        <f>IF(Bet_Log[[#This Row],[Return]]="", "", J999 + Bet_Log[[#This Row],[Return]])</f>
        <v/>
      </c>
      <c r="K1000" s="9"/>
    </row>
  </sheetData>
  <phoneticPr fontId="1" type="noConversion"/>
  <dataValidations count="4">
    <dataValidation type="list" allowBlank="1" showInputMessage="1" showErrorMessage="1" sqref="D2:D1000" xr:uid="{132E0C76-F8A7-0A41-A852-AF65327839BC}">
      <formula1>INDIRECT("Bet_Type")</formula1>
    </dataValidation>
    <dataValidation type="list" allowBlank="1" showInputMessage="1" showErrorMessage="1" sqref="H2:H1000" xr:uid="{05900E61-B4C8-974F-A525-CC97129FEAC4}">
      <formula1>INDIRECT("Result")</formula1>
    </dataValidation>
    <dataValidation type="list" allowBlank="1" showInputMessage="1" showErrorMessage="1" sqref="K2:K1000" xr:uid="{597B4BEB-40AC-944B-8AA3-28F1B196C53D}">
      <formula1>INDIRECT("Sportsbook")</formula1>
    </dataValidation>
    <dataValidation type="list" allowBlank="1" showInputMessage="1" showErrorMessage="1" sqref="B2:B1000" xr:uid="{CEB43BEE-225E-1A4F-A088-DCBB38D561EE}">
      <formula1>INDIRECT("League")</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D9047-F57E-C542-87B2-D7C6369DD1C8}">
  <sheetPr codeName="Sheet5"/>
  <dimension ref="B2:H12"/>
  <sheetViews>
    <sheetView workbookViewId="0">
      <selection activeCell="F11" sqref="F11"/>
    </sheetView>
  </sheetViews>
  <sheetFormatPr baseColWidth="10" defaultRowHeight="16" x14ac:dyDescent="0.2"/>
  <cols>
    <col min="4" max="4" width="12.83203125" customWidth="1"/>
  </cols>
  <sheetData>
    <row r="2" spans="2:8" x14ac:dyDescent="0.2">
      <c r="B2" t="s">
        <v>0</v>
      </c>
      <c r="D2" t="s">
        <v>4</v>
      </c>
      <c r="F2" t="s">
        <v>9</v>
      </c>
      <c r="H2" t="s">
        <v>22</v>
      </c>
    </row>
    <row r="3" spans="2:8" x14ac:dyDescent="0.2">
      <c r="B3" t="s">
        <v>1</v>
      </c>
      <c r="D3" t="s">
        <v>5</v>
      </c>
      <c r="F3" t="s">
        <v>10</v>
      </c>
      <c r="H3" t="s">
        <v>27</v>
      </c>
    </row>
    <row r="4" spans="2:8" x14ac:dyDescent="0.2">
      <c r="B4" t="s">
        <v>50</v>
      </c>
      <c r="D4" t="s">
        <v>6</v>
      </c>
      <c r="F4" t="s">
        <v>11</v>
      </c>
      <c r="H4" t="s">
        <v>29</v>
      </c>
    </row>
    <row r="5" spans="2:8" x14ac:dyDescent="0.2">
      <c r="B5" t="s">
        <v>2</v>
      </c>
      <c r="D5" t="s">
        <v>7</v>
      </c>
      <c r="F5" t="s">
        <v>12</v>
      </c>
      <c r="H5" t="s">
        <v>30</v>
      </c>
    </row>
    <row r="6" spans="2:8" x14ac:dyDescent="0.2">
      <c r="B6" t="s">
        <v>51</v>
      </c>
      <c r="D6" t="s">
        <v>8</v>
      </c>
      <c r="F6" t="s">
        <v>53</v>
      </c>
    </row>
    <row r="7" spans="2:8" x14ac:dyDescent="0.2">
      <c r="B7" t="s">
        <v>39</v>
      </c>
      <c r="F7" t="s">
        <v>13</v>
      </c>
    </row>
    <row r="8" spans="2:8" x14ac:dyDescent="0.2">
      <c r="B8" t="s">
        <v>3</v>
      </c>
      <c r="F8" t="s">
        <v>16</v>
      </c>
    </row>
    <row r="9" spans="2:8" x14ac:dyDescent="0.2">
      <c r="B9" t="s">
        <v>43</v>
      </c>
      <c r="F9" t="s">
        <v>14</v>
      </c>
    </row>
    <row r="10" spans="2:8" x14ac:dyDescent="0.2">
      <c r="F10" t="s">
        <v>15</v>
      </c>
    </row>
    <row r="11" spans="2:8" x14ac:dyDescent="0.2">
      <c r="F11" t="s">
        <v>32</v>
      </c>
    </row>
    <row r="12" spans="2:8" x14ac:dyDescent="0.2">
      <c r="F12" t="s">
        <v>54</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22E4F-4F80-E54F-9086-E9368261FD51}">
  <sheetPr codeName="Sheet2"/>
  <dimension ref="B2:W50"/>
  <sheetViews>
    <sheetView workbookViewId="0">
      <selection activeCell="H23" sqref="H23:H26"/>
      <pivotSelection pane="bottomRight" showHeader="1" activeRow="26" activeCol="7" click="1" r:id="rId18">
        <pivotArea dataOnly="0" labelOnly="1" fieldPosition="0">
          <references count="1">
            <reference field="5" count="0"/>
          </references>
        </pivotArea>
      </pivotSelection>
    </sheetView>
  </sheetViews>
  <sheetFormatPr baseColWidth="10" defaultRowHeight="16" x14ac:dyDescent="0.2"/>
  <cols>
    <col min="1" max="1" width="13" bestFit="1" customWidth="1"/>
    <col min="2" max="2" width="12.6640625" bestFit="1" customWidth="1"/>
    <col min="3" max="3" width="11.83203125" bestFit="1" customWidth="1"/>
    <col min="4" max="4" width="14.1640625" bestFit="1" customWidth="1"/>
    <col min="5" max="5" width="10.5" customWidth="1"/>
    <col min="6" max="6" width="13" bestFit="1" customWidth="1"/>
    <col min="7" max="7" width="12.6640625" customWidth="1"/>
    <col min="8" max="8" width="13.83203125" bestFit="1" customWidth="1"/>
    <col min="9" max="9" width="10.1640625" bestFit="1" customWidth="1"/>
    <col min="10" max="10" width="12.83203125" bestFit="1" customWidth="1"/>
    <col min="11" max="11" width="13" bestFit="1" customWidth="1"/>
    <col min="12" max="12" width="11.83203125" customWidth="1"/>
    <col min="13" max="13" width="13" customWidth="1"/>
    <col min="14" max="14" width="12.6640625" customWidth="1"/>
    <col min="16" max="16" width="10.5" customWidth="1"/>
    <col min="17" max="17" width="12.6640625" bestFit="1" customWidth="1"/>
    <col min="18" max="18" width="20.83203125" bestFit="1" customWidth="1"/>
    <col min="19" max="19" width="13" bestFit="1" customWidth="1"/>
    <col min="20" max="20" width="16" bestFit="1" customWidth="1"/>
    <col min="21" max="21" width="9" bestFit="1" customWidth="1"/>
    <col min="22" max="22" width="8" bestFit="1" customWidth="1"/>
    <col min="23" max="23" width="10.5" bestFit="1" customWidth="1"/>
    <col min="24" max="24" width="11.5" bestFit="1" customWidth="1"/>
    <col min="25" max="26" width="10.5" bestFit="1" customWidth="1"/>
    <col min="27" max="27" width="11.5" bestFit="1" customWidth="1"/>
    <col min="28" max="28" width="9.5" bestFit="1" customWidth="1"/>
    <col min="29" max="29" width="10.5" bestFit="1" customWidth="1"/>
    <col min="30" max="30" width="11.5" bestFit="1" customWidth="1"/>
    <col min="31" max="31" width="9" bestFit="1" customWidth="1"/>
    <col min="32" max="32" width="10.5" bestFit="1" customWidth="1"/>
    <col min="33" max="33" width="11.5" bestFit="1" customWidth="1"/>
    <col min="34" max="34" width="8.83203125" bestFit="1" customWidth="1"/>
    <col min="35" max="35" width="9" bestFit="1" customWidth="1"/>
    <col min="36" max="36" width="9.5" bestFit="1" customWidth="1"/>
    <col min="37" max="37" width="9" bestFit="1" customWidth="1"/>
    <col min="38" max="40" width="10.5" bestFit="1" customWidth="1"/>
    <col min="41" max="41" width="11.5" bestFit="1" customWidth="1"/>
    <col min="42" max="43" width="9" bestFit="1" customWidth="1"/>
    <col min="44" max="44" width="10.5" bestFit="1" customWidth="1"/>
    <col min="45" max="45" width="11.5" bestFit="1" customWidth="1"/>
    <col min="46" max="46" width="9" bestFit="1" customWidth="1"/>
    <col min="47" max="47" width="11.5" bestFit="1" customWidth="1"/>
    <col min="48" max="48" width="8.83203125" bestFit="1" customWidth="1"/>
    <col min="49" max="49" width="8" bestFit="1" customWidth="1"/>
    <col min="50" max="50" width="9.5" bestFit="1" customWidth="1"/>
    <col min="51" max="53" width="9" bestFit="1" customWidth="1"/>
    <col min="54" max="54" width="11.1640625" bestFit="1" customWidth="1"/>
    <col min="55" max="55" width="11.5" bestFit="1" customWidth="1"/>
  </cols>
  <sheetData>
    <row r="2" spans="2:23" x14ac:dyDescent="0.2">
      <c r="B2" t="s">
        <v>48</v>
      </c>
      <c r="D2" t="s">
        <v>47</v>
      </c>
      <c r="F2" t="s">
        <v>52</v>
      </c>
      <c r="H2" s="15" t="s">
        <v>44</v>
      </c>
      <c r="I2" t="s">
        <v>47</v>
      </c>
      <c r="K2" s="15" t="s">
        <v>44</v>
      </c>
      <c r="L2" t="s">
        <v>45</v>
      </c>
      <c r="S2" s="21" t="s">
        <v>58</v>
      </c>
      <c r="T2" s="21" t="s">
        <v>22</v>
      </c>
      <c r="U2" s="22"/>
      <c r="V2" s="22"/>
    </row>
    <row r="3" spans="2:23" x14ac:dyDescent="0.2">
      <c r="B3" s="20">
        <v>79.573934837092736</v>
      </c>
      <c r="D3" s="33">
        <v>6</v>
      </c>
      <c r="F3" s="18">
        <v>0.13838945189059607</v>
      </c>
      <c r="H3" s="16" t="s">
        <v>29</v>
      </c>
      <c r="I3" s="18">
        <v>0.33333333333333331</v>
      </c>
      <c r="K3" s="16" t="s">
        <v>14</v>
      </c>
      <c r="L3" s="20">
        <v>120</v>
      </c>
      <c r="P3" t="s">
        <v>48</v>
      </c>
      <c r="R3" s="24"/>
      <c r="S3" s="21" t="s">
        <v>9</v>
      </c>
      <c r="T3" s="22" t="s">
        <v>27</v>
      </c>
      <c r="U3" s="22" t="s">
        <v>29</v>
      </c>
      <c r="V3" s="22" t="s">
        <v>31</v>
      </c>
    </row>
    <row r="4" spans="2:23" x14ac:dyDescent="0.2">
      <c r="H4" s="16" t="s">
        <v>27</v>
      </c>
      <c r="I4" s="18">
        <v>0.66666666666666663</v>
      </c>
      <c r="K4" s="16" t="s">
        <v>11</v>
      </c>
      <c r="L4" s="20">
        <v>160</v>
      </c>
      <c r="P4" s="17">
        <v>79.573934837092736</v>
      </c>
      <c r="R4" s="24"/>
      <c r="S4" s="23" t="s">
        <v>14</v>
      </c>
      <c r="T4" s="33"/>
      <c r="U4" s="33">
        <v>1</v>
      </c>
      <c r="V4" s="33">
        <v>1</v>
      </c>
    </row>
    <row r="5" spans="2:23" x14ac:dyDescent="0.2">
      <c r="B5" t="s">
        <v>45</v>
      </c>
      <c r="E5" t="s">
        <v>62</v>
      </c>
      <c r="F5" s="31">
        <f>GETPIVOTDATA("Return",$B$2)/F7</f>
        <v>3.9786967418546371E-2</v>
      </c>
      <c r="H5" s="16" t="s">
        <v>31</v>
      </c>
      <c r="I5" s="18">
        <v>1</v>
      </c>
      <c r="K5" s="16" t="s">
        <v>10</v>
      </c>
      <c r="L5" s="20">
        <v>140</v>
      </c>
      <c r="R5" s="24"/>
      <c r="S5" s="23" t="s">
        <v>11</v>
      </c>
      <c r="T5" s="33">
        <v>2</v>
      </c>
      <c r="U5" s="33"/>
      <c r="V5" s="33">
        <v>2</v>
      </c>
    </row>
    <row r="6" spans="2:23" x14ac:dyDescent="0.2">
      <c r="B6" s="30">
        <v>575</v>
      </c>
      <c r="E6" t="s">
        <v>64</v>
      </c>
      <c r="F6" s="31">
        <f>100%-F5</f>
        <v>0.96021303258145363</v>
      </c>
      <c r="K6" s="16" t="s">
        <v>31</v>
      </c>
      <c r="L6" s="20">
        <v>420</v>
      </c>
      <c r="R6" s="24"/>
      <c r="S6" s="23" t="s">
        <v>10</v>
      </c>
      <c r="T6" s="33">
        <v>1</v>
      </c>
      <c r="U6" s="33"/>
      <c r="V6" s="33">
        <v>1</v>
      </c>
    </row>
    <row r="7" spans="2:23" x14ac:dyDescent="0.2">
      <c r="C7" s="29"/>
      <c r="E7" t="s">
        <v>63</v>
      </c>
      <c r="F7" s="32">
        <v>2000</v>
      </c>
      <c r="R7" s="24"/>
      <c r="S7" s="23" t="s">
        <v>31</v>
      </c>
      <c r="T7" s="33">
        <v>3</v>
      </c>
      <c r="U7" s="33">
        <v>1</v>
      </c>
      <c r="V7" s="33">
        <v>4</v>
      </c>
    </row>
    <row r="8" spans="2:23" x14ac:dyDescent="0.2">
      <c r="R8" s="24"/>
    </row>
    <row r="9" spans="2:23" x14ac:dyDescent="0.2">
      <c r="R9" s="24"/>
    </row>
    <row r="10" spans="2:23" x14ac:dyDescent="0.2">
      <c r="F10" s="15" t="s">
        <v>44</v>
      </c>
      <c r="G10" t="s">
        <v>48</v>
      </c>
      <c r="R10" s="24"/>
    </row>
    <row r="11" spans="2:23" x14ac:dyDescent="0.2">
      <c r="F11" s="16" t="s">
        <v>1</v>
      </c>
      <c r="G11" s="20">
        <v>35.714285714285722</v>
      </c>
      <c r="R11" s="24"/>
    </row>
    <row r="12" spans="2:23" x14ac:dyDescent="0.2">
      <c r="F12" s="16" t="s">
        <v>51</v>
      </c>
      <c r="G12" s="20">
        <v>200</v>
      </c>
      <c r="R12" s="24"/>
    </row>
    <row r="13" spans="2:23" x14ac:dyDescent="0.2">
      <c r="B13" s="15" t="s">
        <v>44</v>
      </c>
      <c r="C13" t="s">
        <v>45</v>
      </c>
      <c r="F13" s="16" t="s">
        <v>50</v>
      </c>
      <c r="G13" s="20">
        <v>-120</v>
      </c>
      <c r="R13" s="24"/>
    </row>
    <row r="14" spans="2:23" x14ac:dyDescent="0.2">
      <c r="B14" s="16" t="s">
        <v>14</v>
      </c>
      <c r="C14" s="18">
        <v>0.2857142857142857</v>
      </c>
      <c r="F14" s="16" t="s">
        <v>2</v>
      </c>
      <c r="G14" s="20">
        <v>-36.140350877192986</v>
      </c>
      <c r="L14" s="21" t="s">
        <v>47</v>
      </c>
      <c r="M14" s="21" t="s">
        <v>46</v>
      </c>
      <c r="N14" s="22"/>
      <c r="O14" s="22"/>
      <c r="R14" s="24"/>
      <c r="S14" s="11" t="s">
        <v>57</v>
      </c>
      <c r="T14" s="11" t="s">
        <v>0</v>
      </c>
      <c r="U14" s="12"/>
      <c r="V14" s="12"/>
      <c r="W14" s="12"/>
    </row>
    <row r="15" spans="2:23" x14ac:dyDescent="0.2">
      <c r="B15" s="16" t="s">
        <v>11</v>
      </c>
      <c r="C15" s="18">
        <v>0.38095238095238093</v>
      </c>
      <c r="F15" s="16" t="s">
        <v>65</v>
      </c>
      <c r="G15" s="20">
        <v>0</v>
      </c>
      <c r="L15" s="21" t="s">
        <v>44</v>
      </c>
      <c r="M15" s="22" t="s">
        <v>27</v>
      </c>
      <c r="N15" s="22" t="s">
        <v>29</v>
      </c>
      <c r="O15" s="22" t="s">
        <v>31</v>
      </c>
      <c r="R15" s="24"/>
      <c r="S15" s="11" t="s">
        <v>9</v>
      </c>
      <c r="T15" s="12" t="s">
        <v>2</v>
      </c>
      <c r="U15" s="12" t="s">
        <v>50</v>
      </c>
      <c r="V15" s="12" t="s">
        <v>51</v>
      </c>
      <c r="W15" s="12" t="s">
        <v>31</v>
      </c>
    </row>
    <row r="16" spans="2:23" x14ac:dyDescent="0.2">
      <c r="B16" s="16" t="s">
        <v>10</v>
      </c>
      <c r="C16" s="18">
        <v>0.33333333333333331</v>
      </c>
      <c r="F16" s="16" t="s">
        <v>31</v>
      </c>
      <c r="G16" s="20">
        <v>79.573934837092736</v>
      </c>
      <c r="L16" s="23" t="s">
        <v>14</v>
      </c>
      <c r="M16" s="33"/>
      <c r="N16" s="33">
        <v>1</v>
      </c>
      <c r="O16" s="33">
        <v>1</v>
      </c>
      <c r="R16" s="24"/>
      <c r="S16" s="12" t="s">
        <v>14</v>
      </c>
      <c r="T16" s="13">
        <v>0</v>
      </c>
      <c r="U16" s="13">
        <v>-120</v>
      </c>
      <c r="V16" s="13">
        <v>0</v>
      </c>
      <c r="W16" s="13">
        <v>-120</v>
      </c>
    </row>
    <row r="17" spans="2:23" x14ac:dyDescent="0.2">
      <c r="B17" s="16" t="s">
        <v>31</v>
      </c>
      <c r="C17" s="18">
        <v>1</v>
      </c>
      <c r="L17" s="23" t="s">
        <v>11</v>
      </c>
      <c r="M17" s="33">
        <v>2</v>
      </c>
      <c r="N17" s="33"/>
      <c r="O17" s="33">
        <v>2</v>
      </c>
      <c r="R17" s="24"/>
      <c r="S17" s="12" t="s">
        <v>11</v>
      </c>
      <c r="T17" s="13">
        <v>43.859649122807014</v>
      </c>
      <c r="U17" s="13">
        <v>0</v>
      </c>
      <c r="V17" s="13">
        <v>100</v>
      </c>
      <c r="W17" s="13">
        <v>143.85964912280701</v>
      </c>
    </row>
    <row r="18" spans="2:23" x14ac:dyDescent="0.2">
      <c r="L18" s="23" t="s">
        <v>10</v>
      </c>
      <c r="M18" s="33">
        <v>1</v>
      </c>
      <c r="N18" s="33"/>
      <c r="O18" s="33">
        <v>1</v>
      </c>
      <c r="R18" s="24"/>
      <c r="S18" s="12" t="s">
        <v>10</v>
      </c>
      <c r="T18" s="13">
        <v>0</v>
      </c>
      <c r="U18" s="13">
        <v>0</v>
      </c>
      <c r="V18" s="13">
        <v>100</v>
      </c>
      <c r="W18" s="13">
        <v>100</v>
      </c>
    </row>
    <row r="19" spans="2:23" x14ac:dyDescent="0.2">
      <c r="L19" s="23" t="s">
        <v>31</v>
      </c>
      <c r="M19" s="33">
        <v>3</v>
      </c>
      <c r="N19" s="33">
        <v>1</v>
      </c>
      <c r="O19" s="33">
        <v>4</v>
      </c>
      <c r="R19" s="24"/>
      <c r="S19" s="12" t="s">
        <v>31</v>
      </c>
      <c r="T19" s="13">
        <v>43.859649122807014</v>
      </c>
      <c r="U19" s="13">
        <v>-120</v>
      </c>
      <c r="V19" s="13">
        <v>200</v>
      </c>
      <c r="W19" s="13">
        <v>123.85964912280701</v>
      </c>
    </row>
    <row r="20" spans="2:23" x14ac:dyDescent="0.2">
      <c r="R20" s="24"/>
    </row>
    <row r="21" spans="2:23" x14ac:dyDescent="0.2">
      <c r="R21" s="24"/>
    </row>
    <row r="22" spans="2:23" x14ac:dyDescent="0.2">
      <c r="H22" s="15" t="s">
        <v>44</v>
      </c>
      <c r="I22" t="s">
        <v>52</v>
      </c>
      <c r="R22" s="24"/>
    </row>
    <row r="23" spans="2:23" x14ac:dyDescent="0.2">
      <c r="H23" s="16" t="s">
        <v>73</v>
      </c>
      <c r="I23" s="18" t="e">
        <v>#DIV/0!</v>
      </c>
      <c r="R23" s="24"/>
    </row>
    <row r="24" spans="2:23" x14ac:dyDescent="0.2">
      <c r="H24" s="16" t="s">
        <v>59</v>
      </c>
      <c r="I24" s="18">
        <v>0.6312292358803987</v>
      </c>
      <c r="N24" s="15" t="s">
        <v>44</v>
      </c>
      <c r="O24" t="s">
        <v>48</v>
      </c>
      <c r="R24" s="16"/>
    </row>
    <row r="25" spans="2:23" x14ac:dyDescent="0.2">
      <c r="H25" s="16" t="s">
        <v>60</v>
      </c>
      <c r="I25" s="18">
        <v>0.89912280701754388</v>
      </c>
      <c r="N25" s="16" t="s">
        <v>72</v>
      </c>
      <c r="O25" s="17">
        <v>79.573934837092736</v>
      </c>
    </row>
    <row r="26" spans="2:23" x14ac:dyDescent="0.2">
      <c r="H26" s="16" t="s">
        <v>61</v>
      </c>
      <c r="I26" s="18">
        <v>-1</v>
      </c>
      <c r="N26" s="16" t="s">
        <v>31</v>
      </c>
      <c r="O26" s="17">
        <v>79.573934837092736</v>
      </c>
      <c r="S26" s="15" t="s">
        <v>45</v>
      </c>
      <c r="T26" s="15" t="s">
        <v>46</v>
      </c>
    </row>
    <row r="27" spans="2:23" x14ac:dyDescent="0.2">
      <c r="B27" s="15" t="s">
        <v>44</v>
      </c>
      <c r="C27" t="s">
        <v>52</v>
      </c>
      <c r="H27" s="16" t="s">
        <v>31</v>
      </c>
      <c r="I27" s="18">
        <v>0.13838945189059607</v>
      </c>
      <c r="S27" s="15" t="s">
        <v>44</v>
      </c>
      <c r="T27" t="s">
        <v>51</v>
      </c>
      <c r="U27" t="s">
        <v>50</v>
      </c>
      <c r="V27" t="s">
        <v>2</v>
      </c>
      <c r="W27" t="s">
        <v>31</v>
      </c>
    </row>
    <row r="28" spans="2:23" x14ac:dyDescent="0.2">
      <c r="B28" s="16" t="s">
        <v>1</v>
      </c>
      <c r="C28" s="18">
        <v>0.47619047619047628</v>
      </c>
      <c r="K28" s="15" t="s">
        <v>44</v>
      </c>
      <c r="L28" t="s">
        <v>48</v>
      </c>
      <c r="P28" s="18"/>
      <c r="S28" s="16" t="s">
        <v>14</v>
      </c>
      <c r="T28" s="29"/>
      <c r="U28" s="29">
        <v>120</v>
      </c>
      <c r="V28" s="29"/>
      <c r="W28" s="29">
        <v>120</v>
      </c>
    </row>
    <row r="29" spans="2:23" x14ac:dyDescent="0.2">
      <c r="B29" s="16" t="s">
        <v>51</v>
      </c>
      <c r="C29" s="18">
        <v>0.8</v>
      </c>
      <c r="K29" s="16" t="s">
        <v>1</v>
      </c>
      <c r="L29" s="17">
        <v>35.714285714285722</v>
      </c>
      <c r="S29" s="16" t="s">
        <v>11</v>
      </c>
      <c r="T29" s="29">
        <v>110</v>
      </c>
      <c r="U29" s="29"/>
      <c r="V29" s="29">
        <v>50</v>
      </c>
      <c r="W29" s="29">
        <v>160</v>
      </c>
    </row>
    <row r="30" spans="2:23" x14ac:dyDescent="0.2">
      <c r="B30" s="16" t="s">
        <v>50</v>
      </c>
      <c r="C30" s="18">
        <v>-1</v>
      </c>
      <c r="K30" s="16" t="s">
        <v>51</v>
      </c>
      <c r="L30" s="17">
        <v>200</v>
      </c>
      <c r="S30" s="16" t="s">
        <v>10</v>
      </c>
      <c r="T30" s="29">
        <v>140</v>
      </c>
      <c r="U30" s="29"/>
      <c r="V30" s="29"/>
      <c r="W30" s="29">
        <v>140</v>
      </c>
    </row>
    <row r="31" spans="2:23" x14ac:dyDescent="0.2">
      <c r="B31" s="16" t="s">
        <v>2</v>
      </c>
      <c r="C31" s="18">
        <v>-0.27800269905533065</v>
      </c>
      <c r="K31" s="16" t="s">
        <v>50</v>
      </c>
      <c r="L31" s="17">
        <v>-120</v>
      </c>
      <c r="S31" s="16" t="s">
        <v>31</v>
      </c>
      <c r="T31" s="29">
        <v>250</v>
      </c>
      <c r="U31" s="29">
        <v>120</v>
      </c>
      <c r="V31" s="29">
        <v>50</v>
      </c>
      <c r="W31" s="29">
        <v>420</v>
      </c>
    </row>
    <row r="32" spans="2:23" x14ac:dyDescent="0.2">
      <c r="B32" s="16" t="s">
        <v>65</v>
      </c>
      <c r="C32" s="18" t="e">
        <v>#DIV/0!</v>
      </c>
      <c r="K32" s="16" t="s">
        <v>2</v>
      </c>
      <c r="L32" s="17">
        <v>-36.140350877192986</v>
      </c>
    </row>
    <row r="33" spans="2:21" x14ac:dyDescent="0.2">
      <c r="B33" s="16" t="s">
        <v>31</v>
      </c>
      <c r="C33" s="18">
        <v>0.13838945189059607</v>
      </c>
      <c r="K33" s="16" t="s">
        <v>65</v>
      </c>
      <c r="L33" s="17">
        <v>0</v>
      </c>
    </row>
    <row r="34" spans="2:21" x14ac:dyDescent="0.2">
      <c r="K34" s="16" t="s">
        <v>31</v>
      </c>
      <c r="L34" s="17">
        <v>79.573934837092736</v>
      </c>
    </row>
    <row r="37" spans="2:21" x14ac:dyDescent="0.2">
      <c r="S37" s="15" t="s">
        <v>44</v>
      </c>
      <c r="T37" t="s">
        <v>48</v>
      </c>
    </row>
    <row r="38" spans="2:21" x14ac:dyDescent="0.2">
      <c r="S38" s="16" t="s">
        <v>7</v>
      </c>
      <c r="T38" s="17">
        <v>35.714285714285722</v>
      </c>
    </row>
    <row r="39" spans="2:21" x14ac:dyDescent="0.2">
      <c r="S39" s="16" t="s">
        <v>6</v>
      </c>
      <c r="T39" s="17">
        <v>-20</v>
      </c>
    </row>
    <row r="40" spans="2:21" x14ac:dyDescent="0.2">
      <c r="S40" s="16" t="s">
        <v>5</v>
      </c>
      <c r="T40" s="17">
        <v>100</v>
      </c>
    </row>
    <row r="41" spans="2:21" x14ac:dyDescent="0.2">
      <c r="S41" s="16" t="s">
        <v>8</v>
      </c>
      <c r="T41" s="17">
        <v>-80</v>
      </c>
    </row>
    <row r="42" spans="2:21" x14ac:dyDescent="0.2">
      <c r="S42" s="16" t="s">
        <v>31</v>
      </c>
      <c r="T42" s="17">
        <v>35.714285714285722</v>
      </c>
    </row>
    <row r="47" spans="2:21" x14ac:dyDescent="0.2">
      <c r="T47" s="21" t="s">
        <v>44</v>
      </c>
      <c r="U47" s="22" t="s">
        <v>48</v>
      </c>
    </row>
    <row r="48" spans="2:21" x14ac:dyDescent="0.2">
      <c r="T48" s="23" t="s">
        <v>11</v>
      </c>
      <c r="U48" s="17">
        <v>143.85964912280701</v>
      </c>
    </row>
    <row r="49" spans="20:21" x14ac:dyDescent="0.2">
      <c r="T49" s="23" t="s">
        <v>10</v>
      </c>
      <c r="U49" s="17">
        <v>100</v>
      </c>
    </row>
    <row r="50" spans="20:21" x14ac:dyDescent="0.2">
      <c r="T50" s="23" t="s">
        <v>31</v>
      </c>
      <c r="U50" s="17">
        <v>243.85964912280701</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Visuals</vt:lpstr>
      <vt:lpstr>Pivot Tables</vt:lpstr>
      <vt:lpstr>Bet Log</vt:lpstr>
      <vt:lpstr>Tables</vt:lpstr>
      <vt:lpstr>PT for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Danur Mahendra</dc:creator>
  <cp:lastModifiedBy>Danur Mahendra</cp:lastModifiedBy>
  <dcterms:created xsi:type="dcterms:W3CDTF">2024-10-10T19:27:35Z</dcterms:created>
  <dcterms:modified xsi:type="dcterms:W3CDTF">2025-01-07T14:53:46Z</dcterms:modified>
</cp:coreProperties>
</file>